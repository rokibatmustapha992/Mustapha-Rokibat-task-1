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DE1852A-E1E3-4B42-9B15-6251990652E2}" xr6:coauthVersionLast="47" xr6:coauthVersionMax="47" xr10:uidLastSave="{00000000-0000-0000-0000-000000000000}"/>
  <bookViews>
    <workbookView xWindow="-120" yWindow="-120" windowWidth="20730" windowHeight="11160" activeTab="2" xr2:uid="{76F12FB6-48F4-4EB4-9847-EFDDF5DA5705}"/>
  </bookViews>
  <sheets>
    <sheet name="Customer Personality Data" sheetId="2" r:id="rId1"/>
    <sheet name="Cleaned Data" sheetId="1" r:id="rId2"/>
    <sheet name="Data Cleaning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" i="1"/>
</calcChain>
</file>

<file path=xl/sharedStrings.xml><?xml version="1.0" encoding="utf-8"?>
<sst xmlns="http://schemas.openxmlformats.org/spreadsheetml/2006/main" count="26078" uniqueCount="507">
  <si>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</si>
  <si>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</si>
  <si>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</si>
  <si>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</si>
  <si>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</si>
  <si>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</si>
  <si>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</si>
  <si>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</si>
  <si>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</si>
  <si>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</si>
  <si>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</si>
  <si>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</si>
  <si>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</si>
  <si>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</si>
  <si>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</si>
  <si>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</si>
  <si>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</si>
  <si>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</si>
  <si>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</si>
  <si>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</si>
  <si>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</si>
  <si>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</si>
  <si>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</si>
  <si>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</si>
  <si>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</si>
  <si>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</si>
  <si>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</si>
  <si>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</si>
  <si>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</si>
  <si>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</si>
  <si>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</si>
  <si>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</si>
  <si>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</si>
  <si>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</si>
  <si>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</si>
  <si>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</si>
  <si>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</si>
  <si>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</si>
  <si>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</si>
  <si>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</si>
  <si>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</si>
  <si>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</si>
  <si>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</si>
  <si>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</si>
  <si>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</si>
  <si>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</si>
  <si>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</si>
  <si>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</si>
  <si>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</si>
  <si>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</si>
  <si>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</si>
  <si>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</si>
  <si>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</si>
  <si>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</si>
  <si>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</si>
  <si>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</si>
  <si>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</si>
  <si>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</si>
  <si>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</si>
  <si>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</si>
  <si>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</si>
  <si>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</si>
  <si>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</si>
  <si>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</si>
  <si>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</si>
  <si>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</si>
  <si>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</si>
  <si>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</si>
  <si>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</si>
  <si>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</si>
  <si>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</si>
  <si>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</si>
  <si>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</si>
  <si>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</si>
  <si>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</si>
  <si>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</si>
  <si>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</si>
  <si>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</si>
  <si>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</si>
  <si>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</si>
  <si>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</si>
  <si>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</si>
  <si>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</si>
  <si>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</si>
  <si>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</si>
  <si>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</si>
  <si>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</si>
  <si>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</si>
  <si>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</si>
  <si>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</si>
  <si>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</si>
  <si>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</si>
  <si>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</si>
  <si>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</si>
  <si>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</si>
  <si>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</si>
  <si>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</si>
  <si>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</si>
  <si>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</si>
  <si>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</si>
  <si>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</si>
  <si>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</si>
  <si>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</si>
  <si>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</si>
  <si>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</si>
  <si>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</si>
  <si>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</si>
  <si>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</si>
  <si>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</si>
  <si>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</si>
  <si>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</si>
  <si>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</si>
  <si>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</si>
  <si>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</si>
  <si>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</si>
  <si>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</si>
  <si>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</si>
  <si>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</si>
  <si>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</si>
  <si>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</si>
  <si>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</si>
  <si>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</si>
  <si>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</si>
  <si>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</si>
  <si>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</si>
  <si>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</si>
  <si>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</si>
  <si>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</si>
  <si>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</si>
  <si>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</si>
  <si>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</si>
  <si>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</si>
  <si>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</si>
  <si>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</si>
  <si>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</si>
  <si>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</si>
  <si>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</si>
  <si>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</si>
  <si>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</si>
  <si>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</si>
  <si>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</si>
  <si>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</si>
  <si>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</si>
  <si>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</si>
  <si>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</si>
  <si>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</si>
  <si>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</si>
  <si>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</si>
  <si>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</si>
  <si>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</si>
  <si>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</si>
  <si>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</si>
  <si>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</si>
  <si>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</si>
  <si>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</si>
  <si>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</si>
  <si>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</si>
  <si>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</si>
  <si>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</si>
  <si>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</si>
  <si>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</si>
  <si>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</si>
  <si>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</si>
  <si>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</si>
  <si>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</si>
  <si>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</si>
  <si>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</si>
  <si>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</si>
  <si>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</si>
  <si>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</si>
  <si>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</si>
  <si>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</si>
  <si>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</si>
  <si>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</si>
  <si>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</si>
  <si>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</si>
  <si>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</si>
  <si>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</si>
  <si>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</si>
  <si>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</si>
  <si>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</si>
  <si>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</si>
  <si>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</si>
  <si>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</si>
  <si>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</si>
  <si>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</si>
  <si>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</si>
  <si>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</si>
  <si>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</si>
  <si>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</si>
  <si>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</si>
  <si>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</si>
  <si>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</si>
  <si>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</si>
  <si>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</si>
  <si>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</si>
  <si>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</si>
  <si>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</si>
  <si>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</si>
  <si>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</si>
  <si>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</si>
  <si>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</si>
  <si>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</si>
  <si>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</si>
  <si>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</si>
  <si>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</si>
  <si>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</si>
  <si>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</si>
  <si>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</si>
  <si>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</si>
  <si>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</si>
  <si>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</si>
  <si>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</si>
  <si>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</si>
  <si>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</si>
  <si>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</si>
  <si>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</si>
  <si>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</si>
  <si>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</si>
  <si>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</si>
  <si>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</si>
  <si>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</si>
  <si>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</si>
  <si>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</si>
  <si>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</si>
  <si>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</si>
  <si>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</si>
  <si>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</si>
  <si>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</si>
  <si>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</si>
  <si>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</si>
  <si>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</si>
  <si>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</si>
  <si>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</si>
  <si>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</si>
  <si>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</si>
  <si>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</si>
  <si>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</si>
  <si>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</si>
  <si>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</si>
  <si>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</si>
  <si>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</si>
  <si>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</si>
  <si>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</si>
  <si>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</si>
  <si>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</si>
  <si>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</si>
  <si>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</si>
  <si>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</si>
  <si>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</si>
  <si>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</si>
  <si>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</si>
  <si>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</si>
  <si>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</si>
  <si>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</si>
  <si>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</si>
  <si>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</si>
  <si>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</si>
  <si>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</si>
  <si>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</si>
  <si>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</si>
  <si>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</si>
  <si>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</si>
  <si>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</si>
  <si>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</si>
  <si>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</si>
  <si>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</si>
  <si>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</si>
  <si>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</si>
  <si>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</si>
  <si>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</si>
  <si>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</si>
  <si>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</si>
  <si>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</si>
  <si>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</si>
  <si>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</si>
  <si>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</si>
  <si>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</si>
  <si>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</si>
  <si>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</si>
  <si>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</si>
  <si>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</si>
  <si>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</si>
  <si>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</si>
  <si>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</si>
  <si>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</si>
  <si>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</si>
  <si>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</si>
  <si>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</si>
  <si>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</si>
  <si>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</si>
  <si>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</si>
  <si>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</si>
  <si>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</si>
  <si>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</si>
  <si>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</si>
  <si>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</si>
  <si>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</si>
  <si>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</si>
  <si>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</si>
  <si>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</si>
  <si>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</si>
  <si>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</si>
  <si>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</si>
  <si>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</si>
  <si>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</si>
  <si>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</si>
  <si>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</si>
  <si>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</si>
  <si>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</si>
  <si>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</si>
  <si>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</si>
  <si>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</si>
  <si>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</si>
  <si>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</si>
  <si>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</si>
  <si>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</si>
  <si>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</si>
  <si>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</si>
  <si>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</si>
  <si>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</si>
  <si>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</si>
  <si>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</si>
  <si>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</si>
  <si>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</si>
  <si>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</si>
  <si>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</si>
  <si>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</si>
  <si>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</si>
  <si>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</si>
  <si>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</si>
  <si>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</si>
  <si>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</si>
  <si>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</si>
  <si>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</si>
  <si>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</si>
  <si>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</si>
  <si>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</si>
  <si>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</si>
  <si>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</si>
  <si>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</si>
  <si>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</si>
  <si>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</si>
  <si>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</si>
  <si>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</si>
  <si>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</si>
  <si>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</si>
  <si>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</si>
  <si>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</si>
  <si>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</si>
  <si>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</si>
  <si>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</si>
  <si>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</si>
  <si>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</si>
  <si>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</si>
  <si>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</si>
  <si>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</si>
  <si>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</si>
  <si>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</si>
  <si>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</si>
  <si>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</si>
  <si>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</si>
  <si>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</si>
  <si>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</si>
  <si>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</si>
  <si>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</si>
  <si>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</si>
  <si>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</si>
  <si>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</si>
  <si>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</si>
  <si>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</si>
  <si>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</si>
  <si>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</si>
  <si>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</si>
  <si>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</si>
  <si>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</si>
  <si>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</si>
  <si>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</si>
  <si>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</si>
  <si>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</si>
  <si>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</si>
  <si>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</si>
  <si>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</si>
  <si>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</si>
  <si>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</si>
  <si>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</si>
  <si>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</si>
  <si>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</si>
  <si>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</si>
  <si>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</si>
  <si>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</si>
  <si>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</si>
  <si>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</si>
  <si>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</si>
  <si>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</si>
  <si>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</si>
  <si>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</si>
  <si>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</si>
  <si>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</si>
  <si>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</si>
  <si>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</si>
  <si>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</si>
  <si>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</si>
  <si>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</si>
  <si>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</si>
  <si>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</si>
  <si>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</si>
  <si>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</si>
  <si>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</si>
  <si>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</si>
  <si>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</si>
  <si>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</si>
  <si>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</si>
  <si>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</si>
  <si>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</si>
  <si>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</si>
  <si>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</si>
  <si>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</si>
  <si>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</si>
  <si>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</si>
  <si>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</si>
  <si>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</si>
  <si>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</si>
  <si>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</si>
  <si>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</si>
  <si>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</si>
  <si>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</si>
  <si>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</si>
  <si>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</si>
  <si>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</si>
  <si>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</si>
  <si>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</si>
  <si>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</si>
  <si>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</si>
  <si>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</si>
  <si>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</si>
  <si>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</si>
  <si>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</si>
  <si>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</si>
  <si>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</si>
  <si>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</si>
  <si>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</si>
  <si>
    <t>year_birth</t>
  </si>
  <si>
    <t>id</t>
  </si>
  <si>
    <t>education</t>
  </si>
  <si>
    <t>marital_status</t>
  </si>
  <si>
    <t>income</t>
  </si>
  <si>
    <t>kids</t>
  </si>
  <si>
    <t>teens</t>
  </si>
  <si>
    <t>customers'_join_date</t>
  </si>
  <si>
    <t>wines</t>
  </si>
  <si>
    <t>fruits</t>
  </si>
  <si>
    <t>meat</t>
  </si>
  <si>
    <t>fish</t>
  </si>
  <si>
    <t>sweet_products</t>
  </si>
  <si>
    <t>gold</t>
  </si>
  <si>
    <t>discount_purchases</t>
  </si>
  <si>
    <t>website_purchases</t>
  </si>
  <si>
    <t>catalog_purchases</t>
  </si>
  <si>
    <t>store_purchases</t>
  </si>
  <si>
    <t>accepted_campaign3</t>
  </si>
  <si>
    <t>accepted_campaign4</t>
  </si>
  <si>
    <t>accepted_campaign5</t>
  </si>
  <si>
    <t>accepted_campaign2</t>
  </si>
  <si>
    <t>Unknown</t>
  </si>
  <si>
    <t>days_since_lastpurchase</t>
  </si>
  <si>
    <t>Undergraduate</t>
  </si>
  <si>
    <t>maritalstatus_category</t>
  </si>
  <si>
    <t>website_visits_in_the_lastmonth</t>
  </si>
  <si>
    <t>customer_revenue_per_contact</t>
  </si>
  <si>
    <t>marketing_cost</t>
  </si>
  <si>
    <t>complain</t>
  </si>
  <si>
    <t>last_campaign</t>
  </si>
  <si>
    <t>No</t>
  </si>
  <si>
    <t>Yes</t>
  </si>
  <si>
    <t>accepted_campaignYes</t>
  </si>
  <si>
    <t>total_no_of_children</t>
  </si>
  <si>
    <t>Data Issue</t>
  </si>
  <si>
    <t>Action Taken</t>
  </si>
  <si>
    <t>Outcome</t>
  </si>
  <si>
    <t>Missing Income Values</t>
  </si>
  <si>
    <t>Replaced 24 blank records with “Unknown”</t>
  </si>
  <si>
    <t>Preserved records and identified missing data</t>
  </si>
  <si>
    <t>Text Inconsistencies</t>
  </si>
  <si>
    <t>Removed extra spaces and standardized text</t>
  </si>
  <si>
    <t>Improved consistency</t>
  </si>
  <si>
    <t>Column Headers</t>
  </si>
  <si>
    <t>Renamed using documentation reference</t>
  </si>
  <si>
    <t>Enhanced readability</t>
  </si>
  <si>
    <t>Data Types</t>
  </si>
  <si>
    <t>Corrected column data types</t>
  </si>
  <si>
    <t>Improved analysis accuracy</t>
  </si>
  <si>
    <t>Date Format</t>
  </si>
  <si>
    <t>Converted to DD-MM-YYYY</t>
  </si>
  <si>
    <t>Ensured consistency</t>
  </si>
  <si>
    <t>Education Category</t>
  </si>
  <si>
    <t>Replaced Graduation with Undergraduate</t>
  </si>
  <si>
    <t>Improved clarity</t>
  </si>
  <si>
    <t>Marital Status</t>
  </si>
  <si>
    <t>Created standardized marital status column</t>
  </si>
  <si>
    <t>Reduced category fragmentation</t>
  </si>
  <si>
    <t>Children Data</t>
  </si>
  <si>
    <t>Combined kids and teens into Total Children</t>
  </si>
  <si>
    <t>Simplified household analysis</t>
  </si>
  <si>
    <t>Campaign Flags</t>
  </si>
  <si>
    <t>Converted 0/1 to No/Yes</t>
  </si>
  <si>
    <t>Improved interpretability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</si>
</sst>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-F800]dddd\,\ mmmm\ dd\,\ yyyy"/>
    <numFmt numFmtId="165" formatCode="&quot;$&quot;#,##0.00"/>
    <numFmt numFmtId="166" formatCode="dd\-mm\-yyyy"/>
    <numFmt numFmtId="167" formatCode="&quot;$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44" fontId="0" fillId="0" borderId="0" xfId="42" applyFont="1"/>
    <xf numFmtId="165" fontId="0" fillId="0" borderId="0" xfId="42" applyNumberFormat="1" applyFon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10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 indent="1"/>
    </xf>
    <xf numFmtId="0" fontId="0" fillId="0" borderId="17" xfId="0" applyBorder="1" applyAlignment="1">
      <alignment horizontal="left" vertical="center" indent="1"/>
    </xf>
    <xf numFmtId="0" fontId="0" fillId="0" borderId="18" xfId="0" applyBorder="1" applyAlignment="1">
      <alignment horizontal="left" vertical="center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alignment horizontal="left" vertical="center" textRotation="0" wrapText="0" indent="1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alignment horizontal="left" vertical="center" textRotation="0" wrapText="0" 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alignment horizontal="left" vertical="center" textRotation="0" wrapText="0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&quot;$&quot;#,##0"/>
    </dxf>
    <dxf>
      <numFmt numFmtId="167" formatCode="&quot;$&quot;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" formatCode="0"/>
    </dxf>
    <dxf>
      <numFmt numFmtId="166" formatCode="dd\-mm\-yyyy"/>
    </dxf>
    <dxf>
      <numFmt numFmtId="1" formatCode="0"/>
    </dxf>
    <dxf>
      <numFmt numFmtId="1" formatCode="0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1343025</xdr:colOff>
      <xdr:row>0</xdr:row>
      <xdr:rowOff>104775</xdr:rowOff>
    </xdr:from>
    <xdr:to>
      <xdr:col>2</xdr:col>
      <xdr:colOff>762000</xdr:colOff>
      <xdr:row>2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EF61964-E836-BE9C-FF7F-2D2488AEC578}"/>
            </a:ext>
          </a:extLst>
        </xdr:cNvPr>
        <xdr:cNvSpPr/>
      </xdr:nvSpPr>
      <xdr:spPr>
        <a:xfrm>
          <a:off x="1343025" y="104775"/>
          <a:ext cx="3762375" cy="409575"/>
        </a:xfrm>
        <a:prstGeom prst="roundRect">
          <a:avLst/>
        </a:prstGeom>
        <a:solidFill>
          <a:schemeClr val="bg2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DATA CLEANING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AND TRANSFORMATION SUMMARY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0</xdr:colOff>
      <xdr:row>14</xdr:row>
      <xdr:rowOff>47626</xdr:rowOff>
    </xdr:from>
    <xdr:to>
      <xdr:col>2</xdr:col>
      <xdr:colOff>2895600</xdr:colOff>
      <xdr:row>18</xdr:row>
      <xdr:rowOff>28576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96098D-56F0-A82B-A774-A5DED9A3575A}"/>
            </a:ext>
          </a:extLst>
        </xdr:cNvPr>
        <xdr:cNvSpPr/>
      </xdr:nvSpPr>
      <xdr:spPr>
        <a:xfrm>
          <a:off x="0" y="2800351"/>
          <a:ext cx="7239000" cy="7429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The </a:t>
          </a:r>
          <a:r>
            <a:rPr lang="en-US" b="1">
              <a:solidFill>
                <a:schemeClr val="tx1"/>
              </a:solidFill>
              <a:effectLst/>
            </a:rPr>
            <a:t>cleaning and transformation process improved data completeness, consistency, readability, and analytical reliability. The dataset is now better structured for exploratory analysis, visualization, and decision-making, while retaining important original information where necessary.</a:t>
          </a:r>
        </a:p>
        <a:p>
          <a:pPr marL="0" indent="0"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6F20A3-3B3F-4843-8083-552BCE48DCB9}" name="Table13" displayName="Table13" ref="A1:AC2241" totalsRowShown="0">
  <autoFilter ref="A1:AC2241" xr:uid="{865E73F9-E66F-46D0-9AFF-F6DA3D7E7CA7}"/>
  <tableColumns count="29">
    <tableColumn id="1" xr3:uid="{2EC5CC6B-BD66-4572-BFBE-E72E52A538FE}" name="ID"/>
    <tableColumn id="2" xr3:uid="{C296AE69-CC70-416A-89F0-7CFC2C30F181}" name="Year_Birth"/>
    <tableColumn id="3" xr3:uid="{9E21474D-E209-4C67-8FDD-65754B46BE6A}" name="Education"/>
    <tableColumn id="4" xr3:uid="{0998E9FD-A214-4469-9A3E-6D50F3153736}" name="Marital_Status"/>
    <tableColumn id="5" xr3:uid="{A3DBBD0B-66B5-4229-8F9A-2F1B569A530C}" name="Income"/>
    <tableColumn id="6" xr3:uid="{EAA8406B-F597-4940-A621-B2BEBBB902CA}" name="Kidhome"/>
    <tableColumn id="7" xr3:uid="{4916645F-F06C-405D-8C73-1BE32E5B80A8}" name="Teenhome"/>
    <tableColumn id="8" xr3:uid="{B6D5B87C-BA91-4799-A03C-1A537DB98F11}" name="Dt_Customer"/>
    <tableColumn id="9" xr3:uid="{FAA77AD8-0F7D-44B9-99C8-6727A660125F}" name="Recency"/>
    <tableColumn id="10" xr3:uid="{7D56F0BE-1BD6-46A5-B344-47532ED908B7}" name="MntWines"/>
    <tableColumn id="11" xr3:uid="{18B6A0F7-442D-4890-A392-C0F30BD29E84}" name="MntFruits"/>
    <tableColumn id="12" xr3:uid="{377AC1DD-6D1B-475C-82F2-3BB4C780141F}" name="MntMeatProducts"/>
    <tableColumn id="13" xr3:uid="{D7929F15-F1EE-4B54-9D22-8BAEEEEEF2E2}" name="MntFishProducts"/>
    <tableColumn id="14" xr3:uid="{8E584870-09BF-422B-BBB1-4069359F873F}" name="MntSweetProducts"/>
    <tableColumn id="15" xr3:uid="{87DAB516-414B-4191-A2EE-691F02CF2DCB}" name="MntGoldProds"/>
    <tableColumn id="16" xr3:uid="{652BC89A-128D-4CD9-8247-5F3E31F86347}" name="NumDealsPurchases"/>
    <tableColumn id="17" xr3:uid="{33DD0FF9-3961-4506-8A29-E576AC138465}" name="NumWebPurchases"/>
    <tableColumn id="18" xr3:uid="{BBAC91A2-C644-40C8-B013-4BB7BC9AEB49}" name="NumCatalogPurchases"/>
    <tableColumn id="19" xr3:uid="{683CE7CE-876C-4BEA-A0F4-C969EC7F8F95}" name="NumStorePurchases"/>
    <tableColumn id="20" xr3:uid="{2F7FBCE1-E433-4515-A416-B38A4F0B8419}" name="NumWebVisitsMonth"/>
    <tableColumn id="21" xr3:uid="{1A5E94B7-566C-4434-B490-452DBEF843E5}" name="AcceptedCmp3"/>
    <tableColumn id="22" xr3:uid="{07F64D8F-3C40-40F1-B848-93B8D54CEBDA}" name="AcceptedCmp4"/>
    <tableColumn id="23" xr3:uid="{DF112141-1BB9-415E-96A6-686E6ACDE7F6}" name="AcceptedCmp5"/>
    <tableColumn id="24" xr3:uid="{F8DB9531-C52D-4C64-B6C6-9F80668D600E}" name="AcceptedCmp1"/>
    <tableColumn id="25" xr3:uid="{3939AF5E-1729-4EC4-BE8F-414629A9C459}" name="AcceptedCmp2"/>
    <tableColumn id="26" xr3:uid="{9D0AA98D-2076-46FD-B0C0-E6BABF2914E8}" name="Complain"/>
    <tableColumn id="27" xr3:uid="{A9BFAED5-04FE-42D1-AE12-987D4F279D4B}" name="Z_CostContact"/>
    <tableColumn id="28" xr3:uid="{79471C6E-2312-4A34-B8B7-A764926FCD9D}" name="Z_Revenue"/>
    <tableColumn id="29" xr3:uid="{FE29F5DF-597D-4BE4-9B68-EB9EA32282CB}" name="Respons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5E73F9-E66F-46D0-9AFF-F6DA3D7E7CA7}" name="Table1" displayName="Table1" ref="A1:AE2241" totalsRowShown="0">
  <autoFilter ref="A1:AE2241" xr:uid="{865E73F9-E66F-46D0-9AFF-F6DA3D7E7CA7}"/>
  <tableColumns count="31">
    <tableColumn id="1" xr3:uid="{1921EB8A-45BD-41D2-8137-72223A635219}" name="id"/>
    <tableColumn id="2" xr3:uid="{75E3FFEA-EB5C-4053-A725-3D4BED397FD5}" name="year_birth"/>
    <tableColumn id="3" xr3:uid="{6431CAF2-68B1-445D-8CE3-33D332355EE4}" name="education"/>
    <tableColumn id="4" xr3:uid="{29C34342-666E-4787-AA5A-3664AD473097}" name="marital_status"/>
    <tableColumn id="31" xr3:uid="{0A45EE74-A014-4860-94B3-B201BF57B785}" name="maritalstatus_category" dataDxfId="27">
      <calculatedColumnFormula>IF(OR(Table1[[#This Row],[marital_status]]="Married", Table1[[#This Row],[marital_status]]="Together"), "Partnered", "Single")</calculatedColumnFormula>
    </tableColumn>
    <tableColumn id="5" xr3:uid="{044C0A90-B0E5-4395-98E9-CDA2A747AA00}" name="income" dataDxfId="26" dataCellStyle="Currency"/>
    <tableColumn id="6" xr3:uid="{B7614E90-838D-4771-9562-BB974F6E128D}" name="kids" dataDxfId="25"/>
    <tableColumn id="7" xr3:uid="{C94FEEDD-8C3C-43A5-B319-53D6E8A58F98}" name="teens" dataDxfId="24"/>
    <tableColumn id="30" xr3:uid="{16B16E4B-37E9-4417-AE3A-701F5AAE0114}" name="total_no_of_children" dataDxfId="7">
      <calculatedColumnFormula>Table1[[#This Row],[kids]]+Table1[[#This Row],[teens]]</calculatedColumnFormula>
    </tableColumn>
    <tableColumn id="8" xr3:uid="{1E451167-969B-41EF-8D23-49C9C616DF35}" name="customers'_join_date" dataDxfId="23"/>
    <tableColumn id="9" xr3:uid="{F2170D72-7442-47A4-A88B-0A40EAF352AF}" name="days_since_lastpurchase" dataDxfId="22"/>
    <tableColumn id="10" xr3:uid="{71F9D2A5-C1EB-4B12-A7A0-B33A704FB910}" name="wines" dataCellStyle="Currency"/>
    <tableColumn id="11" xr3:uid="{638096B1-0A08-4267-BF8E-BE1186531EE9}" name="fruits" dataDxfId="21"/>
    <tableColumn id="12" xr3:uid="{A12617F0-55C7-4941-B2EB-01767ECE26C3}" name="meat" dataDxfId="20"/>
    <tableColumn id="13" xr3:uid="{613D12F0-3839-4A17-8641-A8FE2DDF500F}" name="fish" dataDxfId="19"/>
    <tableColumn id="14" xr3:uid="{2F35CB12-C860-4F27-BF4D-73E6A91FC1B2}" name="sweet_products" dataDxfId="18"/>
    <tableColumn id="15" xr3:uid="{1EADB8D8-AD04-44EF-8FFF-F1FFA13FE964}" name="gold" dataDxfId="17"/>
    <tableColumn id="16" xr3:uid="{B4F9B3FC-8B61-4D26-9F1C-5517F71A04D6}" name="discount_purchases" dataDxfId="16"/>
    <tableColumn id="17" xr3:uid="{7FA59B51-785F-4591-8716-57405B59645E}" name="website_purchases" dataDxfId="15"/>
    <tableColumn id="18" xr3:uid="{09211815-E65D-4067-AFDA-D843619D0089}" name="catalog_purchases" dataDxfId="14"/>
    <tableColumn id="19" xr3:uid="{04790876-181C-4C3F-993F-7B5F4DC032E0}" name="store_purchases" dataDxfId="13"/>
    <tableColumn id="20" xr3:uid="{59A69F8B-29CF-49BB-AB5A-53E5B3D607C5}" name="website_visits_in_the_lastmonth" dataDxfId="12"/>
    <tableColumn id="21" xr3:uid="{0D8E2981-F620-4A8F-B6FC-DD8E77D1B445}" name="accepted_campaign3"/>
    <tableColumn id="22" xr3:uid="{12BB686A-EB36-4F9D-AE1A-784238495BB5}" name="accepted_campaign4"/>
    <tableColumn id="23" xr3:uid="{C1A1C42B-B53B-4A19-ABC1-A3464122F268}" name="accepted_campaign5"/>
    <tableColumn id="24" xr3:uid="{5130D773-76AB-4B0C-B057-7C81A9B30B25}" name="accepted_campaignYes"/>
    <tableColumn id="25" xr3:uid="{85D6BF55-5FB5-4AFC-8DF2-75E6766BBE7F}" name="accepted_campaign2"/>
    <tableColumn id="26" xr3:uid="{1B9F1807-E315-4770-A0AB-24B0EC035DA6}" name="complain"/>
    <tableColumn id="27" xr3:uid="{A338B66E-2846-424B-AD22-69913B62E2D1}" name="marketing_cost" dataDxfId="11"/>
    <tableColumn id="28" xr3:uid="{7E4E6D0C-C43A-4F8D-A6C8-0030E48D6586}" name="customer_revenue_per_contact" dataDxfId="10"/>
    <tableColumn id="29" xr3:uid="{18C80A3B-67DE-4B46-88B5-3D882B10B4B4}" name="last_campaign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04914B-A998-4C5B-9D65-3164C60EE454}" name="Table3" displayName="Table3" ref="A4:C13" totalsRowShown="0" headerRowDxfId="0" headerRowBorderDxfId="5" tableBorderDxfId="6" totalsRowBorderDxfId="4">
  <autoFilter ref="A4:C13" xr:uid="{BA04914B-A998-4C5B-9D65-3164C60EE454}"/>
  <tableColumns count="3">
    <tableColumn id="1" xr3:uid="{29DEB01E-E13C-444A-8895-67457F1E8DD3}" name="Data Issue" dataDxfId="3"/>
    <tableColumn id="2" xr3:uid="{1032C93E-A19B-443E-B94C-680F84309B07}" name="Action Taken" dataDxfId="2"/>
    <tableColumn id="3" xr3:uid="{6F4C6C76-CAF5-4D69-A6AD-AC38842DAB5E}" name="Outcome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A954F-BAE5-4FDB-BE99-0A7ECB70167A}">
  <dimension ref="A1:AC2241"/>
  <sheetViews>
    <sheetView workbookViewId="0">
      <selection activeCell="D22" sqref="D22"/>
    </sheetView>
  </sheetViews>
  <sheetFormatPr defaultRowHeight="15" x14ac:dyDescent="0.25"/>
  <cols>
    <col min="2" max="3" width="12" customWidth="1"/>
    <col min="4" max="4" width="15.7109375" customWidth="1"/>
    <col min="5" max="5" width="9.7109375" customWidth="1"/>
    <col min="6" max="6" width="11" customWidth="1"/>
    <col min="7" max="7" width="12.28515625" customWidth="1"/>
    <col min="8" max="8" width="14.28515625" customWidth="1"/>
    <col min="9" max="9" width="10.28515625" customWidth="1"/>
    <col min="10" max="10" width="11.85546875" customWidth="1"/>
    <col min="11" max="11" width="11.42578125" customWidth="1"/>
    <col min="12" max="12" width="18.5703125" customWidth="1"/>
    <col min="13" max="13" width="18" customWidth="1"/>
    <col min="14" max="14" width="19.28515625" customWidth="1"/>
    <col min="15" max="15" width="15.7109375" customWidth="1"/>
    <col min="16" max="16" width="21.7109375" customWidth="1"/>
    <col min="17" max="17" width="20.5703125" customWidth="1"/>
    <col min="18" max="18" width="23.42578125" customWidth="1"/>
    <col min="19" max="19" width="21.140625" customWidth="1"/>
    <col min="20" max="20" width="21.7109375" customWidth="1"/>
    <col min="21" max="25" width="16.140625" customWidth="1"/>
    <col min="26" max="26" width="11.7109375" customWidth="1"/>
    <col min="27" max="27" width="15.5703125" customWidth="1"/>
    <col min="28" max="28" width="12.28515625" customWidth="1"/>
    <col min="29" max="29" width="11.710937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2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25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2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25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t="s">
        <v>32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25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2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5">
      <c r="A6">
        <v>5324</v>
      </c>
      <c r="B6">
        <v>1981</v>
      </c>
      <c r="C6" t="s">
        <v>33</v>
      </c>
      <c r="D6" t="s">
        <v>34</v>
      </c>
      <c r="E6">
        <v>58293</v>
      </c>
      <c r="F6">
        <v>1</v>
      </c>
      <c r="G6">
        <v>0</v>
      </c>
      <c r="H6" t="s">
        <v>35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5">
      <c r="A7">
        <v>7446</v>
      </c>
      <c r="B7">
        <v>1967</v>
      </c>
      <c r="C7" t="s">
        <v>36</v>
      </c>
      <c r="D7" t="s">
        <v>31</v>
      </c>
      <c r="E7">
        <v>62513</v>
      </c>
      <c r="F7">
        <v>0</v>
      </c>
      <c r="G7">
        <v>1</v>
      </c>
      <c r="H7" s="2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25">
      <c r="A8">
        <v>965</v>
      </c>
      <c r="B8">
        <v>1971</v>
      </c>
      <c r="C8" t="s">
        <v>29</v>
      </c>
      <c r="D8" t="s">
        <v>37</v>
      </c>
      <c r="E8">
        <v>55635</v>
      </c>
      <c r="F8">
        <v>0</v>
      </c>
      <c r="G8">
        <v>1</v>
      </c>
      <c r="H8" t="s">
        <v>38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5">
      <c r="A9">
        <v>6177</v>
      </c>
      <c r="B9">
        <v>1985</v>
      </c>
      <c r="C9" t="s">
        <v>33</v>
      </c>
      <c r="D9" t="s">
        <v>34</v>
      </c>
      <c r="E9">
        <v>33454</v>
      </c>
      <c r="F9">
        <v>1</v>
      </c>
      <c r="G9">
        <v>0</v>
      </c>
      <c r="H9" s="2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>
        <v>4855</v>
      </c>
      <c r="B10">
        <v>1974</v>
      </c>
      <c r="C10" t="s">
        <v>33</v>
      </c>
      <c r="D10" t="s">
        <v>31</v>
      </c>
      <c r="E10">
        <v>30351</v>
      </c>
      <c r="F10">
        <v>1</v>
      </c>
      <c r="G10">
        <v>0</v>
      </c>
      <c r="H10" s="2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25">
      <c r="A11">
        <v>5899</v>
      </c>
      <c r="B11">
        <v>1950</v>
      </c>
      <c r="C11" t="s">
        <v>33</v>
      </c>
      <c r="D11" t="s">
        <v>31</v>
      </c>
      <c r="E11">
        <v>5648</v>
      </c>
      <c r="F11">
        <v>1</v>
      </c>
      <c r="G11">
        <v>1</v>
      </c>
      <c r="H11" t="s">
        <v>39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25">
      <c r="A12">
        <v>1994</v>
      </c>
      <c r="B12">
        <v>1983</v>
      </c>
      <c r="C12" t="s">
        <v>29</v>
      </c>
      <c r="D12" t="s">
        <v>34</v>
      </c>
      <c r="F12">
        <v>1</v>
      </c>
      <c r="G12">
        <v>0</v>
      </c>
      <c r="H12" t="s">
        <v>40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5">
      <c r="A13">
        <v>387</v>
      </c>
      <c r="B13">
        <v>1976</v>
      </c>
      <c r="C13" t="s">
        <v>41</v>
      </c>
      <c r="D13" t="s">
        <v>34</v>
      </c>
      <c r="E13">
        <v>7500</v>
      </c>
      <c r="F13">
        <v>0</v>
      </c>
      <c r="G13">
        <v>0</v>
      </c>
      <c r="H13" t="s">
        <v>38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5">
      <c r="A14">
        <v>2125</v>
      </c>
      <c r="B14">
        <v>1959</v>
      </c>
      <c r="C14" t="s">
        <v>29</v>
      </c>
      <c r="D14" t="s">
        <v>37</v>
      </c>
      <c r="E14">
        <v>63033</v>
      </c>
      <c r="F14">
        <v>0</v>
      </c>
      <c r="G14">
        <v>0</v>
      </c>
      <c r="H14" t="s">
        <v>40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5">
      <c r="A15">
        <v>8180</v>
      </c>
      <c r="B15">
        <v>1952</v>
      </c>
      <c r="C15" t="s">
        <v>36</v>
      </c>
      <c r="D15" t="s">
        <v>37</v>
      </c>
      <c r="E15">
        <v>59354</v>
      </c>
      <c r="F15">
        <v>1</v>
      </c>
      <c r="G15">
        <v>1</v>
      </c>
      <c r="H15" t="s">
        <v>40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5">
      <c r="A16">
        <v>2569</v>
      </c>
      <c r="B16">
        <v>1987</v>
      </c>
      <c r="C16" t="s">
        <v>29</v>
      </c>
      <c r="D16" t="s">
        <v>34</v>
      </c>
      <c r="E16">
        <v>17323</v>
      </c>
      <c r="F16">
        <v>0</v>
      </c>
      <c r="G16">
        <v>0</v>
      </c>
      <c r="H16" s="2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>
        <v>2114</v>
      </c>
      <c r="B17">
        <v>1946</v>
      </c>
      <c r="C17" t="s">
        <v>33</v>
      </c>
      <c r="D17" t="s">
        <v>30</v>
      </c>
      <c r="E17">
        <v>82800</v>
      </c>
      <c r="F17">
        <v>0</v>
      </c>
      <c r="G17">
        <v>0</v>
      </c>
      <c r="H17" t="s">
        <v>42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25">
      <c r="A18">
        <v>9736</v>
      </c>
      <c r="B18">
        <v>1980</v>
      </c>
      <c r="C18" t="s">
        <v>29</v>
      </c>
      <c r="D18" t="s">
        <v>34</v>
      </c>
      <c r="E18">
        <v>41850</v>
      </c>
      <c r="F18">
        <v>1</v>
      </c>
      <c r="G18">
        <v>1</v>
      </c>
      <c r="H18" t="s">
        <v>43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>
        <v>4939</v>
      </c>
      <c r="B19">
        <v>1946</v>
      </c>
      <c r="C19" t="s">
        <v>29</v>
      </c>
      <c r="D19" t="s">
        <v>31</v>
      </c>
      <c r="E19">
        <v>37760</v>
      </c>
      <c r="F19">
        <v>0</v>
      </c>
      <c r="G19">
        <v>0</v>
      </c>
      <c r="H19" t="s">
        <v>44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>
        <v>6565</v>
      </c>
      <c r="B20">
        <v>1949</v>
      </c>
      <c r="C20" t="s">
        <v>36</v>
      </c>
      <c r="D20" t="s">
        <v>34</v>
      </c>
      <c r="E20">
        <v>76995</v>
      </c>
      <c r="F20">
        <v>0</v>
      </c>
      <c r="G20">
        <v>1</v>
      </c>
      <c r="H20" t="s">
        <v>45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>
        <v>2278</v>
      </c>
      <c r="B21">
        <v>1985</v>
      </c>
      <c r="C21" t="s">
        <v>46</v>
      </c>
      <c r="D21" t="s">
        <v>30</v>
      </c>
      <c r="E21">
        <v>33812</v>
      </c>
      <c r="F21">
        <v>1</v>
      </c>
      <c r="G21">
        <v>0</v>
      </c>
      <c r="H21" s="2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>
        <v>9360</v>
      </c>
      <c r="B22">
        <v>1982</v>
      </c>
      <c r="C22" t="s">
        <v>29</v>
      </c>
      <c r="D22" t="s">
        <v>34</v>
      </c>
      <c r="E22">
        <v>37040</v>
      </c>
      <c r="F22">
        <v>0</v>
      </c>
      <c r="G22">
        <v>0</v>
      </c>
      <c r="H22" s="2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>
        <v>5376</v>
      </c>
      <c r="B23">
        <v>1979</v>
      </c>
      <c r="C23" t="s">
        <v>29</v>
      </c>
      <c r="D23" t="s">
        <v>34</v>
      </c>
      <c r="E23">
        <v>2447</v>
      </c>
      <c r="F23">
        <v>1</v>
      </c>
      <c r="G23">
        <v>0</v>
      </c>
      <c r="H23" s="2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>
        <v>1993</v>
      </c>
      <c r="B24">
        <v>1949</v>
      </c>
      <c r="C24" t="s">
        <v>33</v>
      </c>
      <c r="D24" t="s">
        <v>34</v>
      </c>
      <c r="E24">
        <v>58607</v>
      </c>
      <c r="F24">
        <v>0</v>
      </c>
      <c r="G24">
        <v>1</v>
      </c>
      <c r="H24" t="s">
        <v>47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>
        <v>4047</v>
      </c>
      <c r="B25">
        <v>1954</v>
      </c>
      <c r="C25" t="s">
        <v>33</v>
      </c>
      <c r="D25" t="s">
        <v>34</v>
      </c>
      <c r="E25">
        <v>65324</v>
      </c>
      <c r="F25">
        <v>0</v>
      </c>
      <c r="G25">
        <v>1</v>
      </c>
      <c r="H25" s="2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>
        <v>1409</v>
      </c>
      <c r="B26">
        <v>1951</v>
      </c>
      <c r="C26" t="s">
        <v>29</v>
      </c>
      <c r="D26" t="s">
        <v>31</v>
      </c>
      <c r="E26">
        <v>40689</v>
      </c>
      <c r="F26">
        <v>0</v>
      </c>
      <c r="G26">
        <v>1</v>
      </c>
      <c r="H26" t="s">
        <v>48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s="2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>
        <v>2404</v>
      </c>
      <c r="B28">
        <v>1976</v>
      </c>
      <c r="C28" t="s">
        <v>29</v>
      </c>
      <c r="D28" t="s">
        <v>34</v>
      </c>
      <c r="E28">
        <v>53359</v>
      </c>
      <c r="F28">
        <v>1</v>
      </c>
      <c r="G28">
        <v>1</v>
      </c>
      <c r="H28" t="s">
        <v>49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t="s">
        <v>50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25">
      <c r="A30">
        <v>9422</v>
      </c>
      <c r="B30">
        <v>1989</v>
      </c>
      <c r="C30" t="s">
        <v>29</v>
      </c>
      <c r="D30" t="s">
        <v>34</v>
      </c>
      <c r="E30">
        <v>38360</v>
      </c>
      <c r="F30">
        <v>1</v>
      </c>
      <c r="G30">
        <v>0</v>
      </c>
      <c r="H30" t="s">
        <v>51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>
        <v>1966</v>
      </c>
      <c r="B31">
        <v>1965</v>
      </c>
      <c r="C31" t="s">
        <v>33</v>
      </c>
      <c r="D31" t="s">
        <v>34</v>
      </c>
      <c r="E31">
        <v>84618</v>
      </c>
      <c r="F31">
        <v>0</v>
      </c>
      <c r="G31">
        <v>0</v>
      </c>
      <c r="H31" t="s">
        <v>52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>
        <v>6864</v>
      </c>
      <c r="B32">
        <v>1989</v>
      </c>
      <c r="C32" t="s">
        <v>36</v>
      </c>
      <c r="D32" t="s">
        <v>37</v>
      </c>
      <c r="E32">
        <v>10979</v>
      </c>
      <c r="F32">
        <v>0</v>
      </c>
      <c r="G32">
        <v>0</v>
      </c>
      <c r="H32" t="s">
        <v>53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>
        <v>3033</v>
      </c>
      <c r="B33">
        <v>1963</v>
      </c>
      <c r="C33" t="s">
        <v>36</v>
      </c>
      <c r="D33" t="s">
        <v>31</v>
      </c>
      <c r="E33">
        <v>38620</v>
      </c>
      <c r="F33">
        <v>0</v>
      </c>
      <c r="G33">
        <v>0</v>
      </c>
      <c r="H33" s="2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>
        <v>5710</v>
      </c>
      <c r="B34">
        <v>1970</v>
      </c>
      <c r="C34" t="s">
        <v>29</v>
      </c>
      <c r="D34" t="s">
        <v>31</v>
      </c>
      <c r="E34">
        <v>40548</v>
      </c>
      <c r="F34">
        <v>0</v>
      </c>
      <c r="G34">
        <v>1</v>
      </c>
      <c r="H34" s="2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>
        <v>7373</v>
      </c>
      <c r="B35">
        <v>1952</v>
      </c>
      <c r="C35" t="s">
        <v>33</v>
      </c>
      <c r="D35" t="s">
        <v>37</v>
      </c>
      <c r="E35">
        <v>46610</v>
      </c>
      <c r="F35">
        <v>0</v>
      </c>
      <c r="G35">
        <v>2</v>
      </c>
      <c r="H35" t="s">
        <v>54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25">
      <c r="A36">
        <v>8755</v>
      </c>
      <c r="B36">
        <v>1946</v>
      </c>
      <c r="C36" t="s">
        <v>36</v>
      </c>
      <c r="D36" t="s">
        <v>34</v>
      </c>
      <c r="E36">
        <v>68657</v>
      </c>
      <c r="F36">
        <v>0</v>
      </c>
      <c r="G36">
        <v>0</v>
      </c>
      <c r="H36" t="s">
        <v>50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>
        <v>10738</v>
      </c>
      <c r="B37">
        <v>1951</v>
      </c>
      <c r="C37" t="s">
        <v>36</v>
      </c>
      <c r="D37" t="s">
        <v>30</v>
      </c>
      <c r="E37">
        <v>49389</v>
      </c>
      <c r="F37">
        <v>1</v>
      </c>
      <c r="G37">
        <v>1</v>
      </c>
      <c r="H37" t="s">
        <v>55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5">
      <c r="A38">
        <v>4339</v>
      </c>
      <c r="B38">
        <v>1970</v>
      </c>
      <c r="C38" t="s">
        <v>33</v>
      </c>
      <c r="D38" t="s">
        <v>34</v>
      </c>
      <c r="E38">
        <v>67353</v>
      </c>
      <c r="F38">
        <v>0</v>
      </c>
      <c r="G38">
        <v>1</v>
      </c>
      <c r="H38" t="s">
        <v>56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>
        <v>10755</v>
      </c>
      <c r="B39">
        <v>1976</v>
      </c>
      <c r="C39" t="s">
        <v>46</v>
      </c>
      <c r="D39" t="s">
        <v>34</v>
      </c>
      <c r="E39">
        <v>23718</v>
      </c>
      <c r="F39">
        <v>1</v>
      </c>
      <c r="G39">
        <v>0</v>
      </c>
      <c r="H39" s="2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>
        <v>8595</v>
      </c>
      <c r="B40">
        <v>1973</v>
      </c>
      <c r="C40" t="s">
        <v>29</v>
      </c>
      <c r="D40" t="s">
        <v>57</v>
      </c>
      <c r="E40">
        <v>42429</v>
      </c>
      <c r="F40">
        <v>0</v>
      </c>
      <c r="G40">
        <v>1</v>
      </c>
      <c r="H40" s="2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>
        <v>2968</v>
      </c>
      <c r="B41">
        <v>1943</v>
      </c>
      <c r="C41" t="s">
        <v>33</v>
      </c>
      <c r="D41" t="s">
        <v>37</v>
      </c>
      <c r="E41">
        <v>48948</v>
      </c>
      <c r="F41">
        <v>0</v>
      </c>
      <c r="G41">
        <v>0</v>
      </c>
      <c r="H41" s="2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25">
      <c r="A42">
        <v>8601</v>
      </c>
      <c r="B42">
        <v>1980</v>
      </c>
      <c r="C42" t="s">
        <v>29</v>
      </c>
      <c r="D42" t="s">
        <v>34</v>
      </c>
      <c r="E42">
        <v>80011</v>
      </c>
      <c r="F42">
        <v>0</v>
      </c>
      <c r="G42">
        <v>1</v>
      </c>
      <c r="H42" t="s">
        <v>58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>
        <v>503</v>
      </c>
      <c r="B43">
        <v>1985</v>
      </c>
      <c r="C43" t="s">
        <v>36</v>
      </c>
      <c r="D43" t="s">
        <v>34</v>
      </c>
      <c r="E43">
        <v>20559</v>
      </c>
      <c r="F43">
        <v>1</v>
      </c>
      <c r="G43">
        <v>0</v>
      </c>
      <c r="H43" s="2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>
        <v>8430</v>
      </c>
      <c r="B44">
        <v>1957</v>
      </c>
      <c r="C44" t="s">
        <v>29</v>
      </c>
      <c r="D44" t="s">
        <v>31</v>
      </c>
      <c r="E44">
        <v>21994</v>
      </c>
      <c r="F44">
        <v>0</v>
      </c>
      <c r="G44">
        <v>1</v>
      </c>
      <c r="H44" t="s">
        <v>43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>
        <v>7281</v>
      </c>
      <c r="B45">
        <v>1959</v>
      </c>
      <c r="C45" t="s">
        <v>33</v>
      </c>
      <c r="D45" t="s">
        <v>30</v>
      </c>
      <c r="F45">
        <v>0</v>
      </c>
      <c r="G45">
        <v>0</v>
      </c>
      <c r="H45" s="2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>
        <v>2139</v>
      </c>
      <c r="B46">
        <v>1975</v>
      </c>
      <c r="C46" t="s">
        <v>36</v>
      </c>
      <c r="D46" t="s">
        <v>34</v>
      </c>
      <c r="E46">
        <v>7500</v>
      </c>
      <c r="F46">
        <v>1</v>
      </c>
      <c r="G46">
        <v>0</v>
      </c>
      <c r="H46" s="2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5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t="s">
        <v>59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>
        <v>9909</v>
      </c>
      <c r="B48">
        <v>1996</v>
      </c>
      <c r="C48" t="s">
        <v>46</v>
      </c>
      <c r="D48" t="s">
        <v>34</v>
      </c>
      <c r="E48">
        <v>7500</v>
      </c>
      <c r="F48">
        <v>0</v>
      </c>
      <c r="G48">
        <v>0</v>
      </c>
      <c r="H48" s="2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25">
      <c r="A49">
        <v>7286</v>
      </c>
      <c r="B49">
        <v>1968</v>
      </c>
      <c r="C49" t="s">
        <v>29</v>
      </c>
      <c r="D49" t="s">
        <v>31</v>
      </c>
      <c r="E49">
        <v>41728</v>
      </c>
      <c r="F49">
        <v>1</v>
      </c>
      <c r="G49">
        <v>0</v>
      </c>
      <c r="H49" t="s">
        <v>60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s="2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>
        <v>6566</v>
      </c>
      <c r="B51">
        <v>1954</v>
      </c>
      <c r="C51" t="s">
        <v>33</v>
      </c>
      <c r="D51" t="s">
        <v>34</v>
      </c>
      <c r="E51">
        <v>72550</v>
      </c>
      <c r="F51">
        <v>1</v>
      </c>
      <c r="G51">
        <v>1</v>
      </c>
      <c r="H51" s="2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25">
      <c r="A52">
        <v>8614</v>
      </c>
      <c r="B52">
        <v>1957</v>
      </c>
      <c r="C52" t="s">
        <v>29</v>
      </c>
      <c r="D52" t="s">
        <v>57</v>
      </c>
      <c r="E52">
        <v>65486</v>
      </c>
      <c r="F52">
        <v>0</v>
      </c>
      <c r="G52">
        <v>1</v>
      </c>
      <c r="H52" s="2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>
        <v>4114</v>
      </c>
      <c r="B53">
        <v>1964</v>
      </c>
      <c r="C53" t="s">
        <v>36</v>
      </c>
      <c r="D53" t="s">
        <v>34</v>
      </c>
      <c r="E53">
        <v>79143</v>
      </c>
      <c r="F53">
        <v>0</v>
      </c>
      <c r="G53">
        <v>0</v>
      </c>
      <c r="H53" s="2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s="2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>
        <v>2225</v>
      </c>
      <c r="B55">
        <v>1977</v>
      </c>
      <c r="C55" t="s">
        <v>29</v>
      </c>
      <c r="D55" t="s">
        <v>37</v>
      </c>
      <c r="E55">
        <v>82582</v>
      </c>
      <c r="F55">
        <v>0</v>
      </c>
      <c r="G55">
        <v>0</v>
      </c>
      <c r="H55" s="2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25">
      <c r="A56">
        <v>9381</v>
      </c>
      <c r="B56">
        <v>1978</v>
      </c>
      <c r="C56" t="s">
        <v>29</v>
      </c>
      <c r="D56" t="s">
        <v>34</v>
      </c>
      <c r="E56">
        <v>66373</v>
      </c>
      <c r="F56">
        <v>1</v>
      </c>
      <c r="G56">
        <v>1</v>
      </c>
      <c r="H56" s="2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>
        <v>6260</v>
      </c>
      <c r="B57">
        <v>1955</v>
      </c>
      <c r="C57" t="s">
        <v>36</v>
      </c>
      <c r="D57" t="s">
        <v>31</v>
      </c>
      <c r="E57">
        <v>82384</v>
      </c>
      <c r="F57">
        <v>0</v>
      </c>
      <c r="G57">
        <v>0</v>
      </c>
      <c r="H57" t="s">
        <v>61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25">
      <c r="A58">
        <v>10383</v>
      </c>
      <c r="B58">
        <v>1966</v>
      </c>
      <c r="C58" t="s">
        <v>29</v>
      </c>
      <c r="D58" t="s">
        <v>37</v>
      </c>
      <c r="E58">
        <v>70287</v>
      </c>
      <c r="F58">
        <v>0</v>
      </c>
      <c r="G58">
        <v>0</v>
      </c>
      <c r="H58" s="2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25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t="s">
        <v>62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t="s">
        <v>63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>
        <v>8375</v>
      </c>
      <c r="B61">
        <v>1968</v>
      </c>
      <c r="C61" t="s">
        <v>33</v>
      </c>
      <c r="D61" t="s">
        <v>34</v>
      </c>
      <c r="E61">
        <v>55954</v>
      </c>
      <c r="F61">
        <v>0</v>
      </c>
      <c r="G61">
        <v>1</v>
      </c>
      <c r="H61" s="2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>
        <v>6853</v>
      </c>
      <c r="B62">
        <v>1982</v>
      </c>
      <c r="C62" t="s">
        <v>36</v>
      </c>
      <c r="D62" t="s">
        <v>30</v>
      </c>
      <c r="E62">
        <v>75777</v>
      </c>
      <c r="F62">
        <v>0</v>
      </c>
      <c r="G62">
        <v>0</v>
      </c>
      <c r="H62" s="2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25">
      <c r="A63">
        <v>3076</v>
      </c>
      <c r="B63">
        <v>1975</v>
      </c>
      <c r="C63" t="s">
        <v>29</v>
      </c>
      <c r="D63" t="s">
        <v>31</v>
      </c>
      <c r="E63">
        <v>66653</v>
      </c>
      <c r="F63">
        <v>1</v>
      </c>
      <c r="G63">
        <v>1</v>
      </c>
      <c r="H63" s="2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5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t="s">
        <v>64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>
        <v>6518</v>
      </c>
      <c r="B65">
        <v>1951</v>
      </c>
      <c r="C65" t="s">
        <v>33</v>
      </c>
      <c r="D65" t="s">
        <v>57</v>
      </c>
      <c r="E65">
        <v>67680</v>
      </c>
      <c r="F65">
        <v>0</v>
      </c>
      <c r="G65">
        <v>1</v>
      </c>
      <c r="H65" s="2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>
        <v>4137</v>
      </c>
      <c r="B66">
        <v>1948</v>
      </c>
      <c r="C66" t="s">
        <v>29</v>
      </c>
      <c r="D66" t="s">
        <v>31</v>
      </c>
      <c r="E66">
        <v>70666</v>
      </c>
      <c r="F66">
        <v>0</v>
      </c>
      <c r="G66">
        <v>0</v>
      </c>
      <c r="H66" s="2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>
        <v>8082</v>
      </c>
      <c r="B67">
        <v>1971</v>
      </c>
      <c r="C67" t="s">
        <v>29</v>
      </c>
      <c r="D67" t="s">
        <v>34</v>
      </c>
      <c r="E67">
        <v>25721</v>
      </c>
      <c r="F67">
        <v>1</v>
      </c>
      <c r="G67">
        <v>0</v>
      </c>
      <c r="H67" t="s">
        <v>65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25">
      <c r="A68">
        <v>1386</v>
      </c>
      <c r="B68">
        <v>1967</v>
      </c>
      <c r="C68" t="s">
        <v>29</v>
      </c>
      <c r="D68" t="s">
        <v>31</v>
      </c>
      <c r="E68">
        <v>32474</v>
      </c>
      <c r="F68">
        <v>1</v>
      </c>
      <c r="G68">
        <v>1</v>
      </c>
      <c r="H68" s="2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>
        <v>9369</v>
      </c>
      <c r="B69">
        <v>1979</v>
      </c>
      <c r="C69" t="s">
        <v>46</v>
      </c>
      <c r="D69" t="s">
        <v>30</v>
      </c>
      <c r="E69">
        <v>88194</v>
      </c>
      <c r="F69">
        <v>0</v>
      </c>
      <c r="G69">
        <v>1</v>
      </c>
      <c r="H69" t="s">
        <v>66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25">
      <c r="A70">
        <v>4477</v>
      </c>
      <c r="B70">
        <v>1958</v>
      </c>
      <c r="C70" t="s">
        <v>29</v>
      </c>
      <c r="D70" t="s">
        <v>31</v>
      </c>
      <c r="E70">
        <v>69096</v>
      </c>
      <c r="F70">
        <v>0</v>
      </c>
      <c r="G70">
        <v>1</v>
      </c>
      <c r="H70" t="s">
        <v>67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>
        <v>1357</v>
      </c>
      <c r="B71">
        <v>1970</v>
      </c>
      <c r="C71" t="s">
        <v>29</v>
      </c>
      <c r="D71" t="s">
        <v>31</v>
      </c>
      <c r="E71">
        <v>74854</v>
      </c>
      <c r="F71">
        <v>1</v>
      </c>
      <c r="G71">
        <v>2</v>
      </c>
      <c r="H71" s="2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5">
      <c r="A72">
        <v>1402</v>
      </c>
      <c r="B72">
        <v>1954</v>
      </c>
      <c r="C72" t="s">
        <v>36</v>
      </c>
      <c r="D72" t="s">
        <v>34</v>
      </c>
      <c r="E72">
        <v>66991</v>
      </c>
      <c r="F72">
        <v>0</v>
      </c>
      <c r="G72">
        <v>0</v>
      </c>
      <c r="H72" s="2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5">
      <c r="A73">
        <v>10629</v>
      </c>
      <c r="B73">
        <v>1973</v>
      </c>
      <c r="C73" t="s">
        <v>46</v>
      </c>
      <c r="D73" t="s">
        <v>34</v>
      </c>
      <c r="F73">
        <v>1</v>
      </c>
      <c r="G73">
        <v>0</v>
      </c>
      <c r="H73" t="s">
        <v>68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>
        <v>6312</v>
      </c>
      <c r="B74">
        <v>1959</v>
      </c>
      <c r="C74" t="s">
        <v>29</v>
      </c>
      <c r="D74" t="s">
        <v>34</v>
      </c>
      <c r="E74">
        <v>65031</v>
      </c>
      <c r="F74">
        <v>0</v>
      </c>
      <c r="G74">
        <v>1</v>
      </c>
      <c r="H74" t="s">
        <v>69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5">
      <c r="A75">
        <v>8132</v>
      </c>
      <c r="B75">
        <v>1975</v>
      </c>
      <c r="C75" t="s">
        <v>33</v>
      </c>
      <c r="D75" t="s">
        <v>34</v>
      </c>
      <c r="E75">
        <v>60631</v>
      </c>
      <c r="F75">
        <v>1</v>
      </c>
      <c r="G75">
        <v>1</v>
      </c>
      <c r="H75" s="2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>
        <v>1050</v>
      </c>
      <c r="B76">
        <v>1952</v>
      </c>
      <c r="C76" t="s">
        <v>29</v>
      </c>
      <c r="D76" t="s">
        <v>34</v>
      </c>
      <c r="E76">
        <v>28332</v>
      </c>
      <c r="F76">
        <v>0</v>
      </c>
      <c r="G76">
        <v>0</v>
      </c>
      <c r="H76" t="s">
        <v>70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>
        <v>5846</v>
      </c>
      <c r="B77">
        <v>1977</v>
      </c>
      <c r="C77" t="s">
        <v>29</v>
      </c>
      <c r="D77" t="s">
        <v>37</v>
      </c>
      <c r="E77">
        <v>40246</v>
      </c>
      <c r="F77">
        <v>1</v>
      </c>
      <c r="G77">
        <v>0</v>
      </c>
      <c r="H77" t="s">
        <v>71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>
        <v>1859</v>
      </c>
      <c r="B78">
        <v>1972</v>
      </c>
      <c r="C78" t="s">
        <v>36</v>
      </c>
      <c r="D78" t="s">
        <v>34</v>
      </c>
      <c r="E78">
        <v>75251</v>
      </c>
      <c r="F78">
        <v>0</v>
      </c>
      <c r="G78">
        <v>0</v>
      </c>
      <c r="H78" t="s">
        <v>72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5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s="2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25">
      <c r="A80">
        <v>10401</v>
      </c>
      <c r="B80">
        <v>1976</v>
      </c>
      <c r="C80" t="s">
        <v>46</v>
      </c>
      <c r="D80" t="s">
        <v>31</v>
      </c>
      <c r="E80">
        <v>26326</v>
      </c>
      <c r="F80">
        <v>0</v>
      </c>
      <c r="G80">
        <v>0</v>
      </c>
      <c r="H80" s="2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5">
      <c r="A81">
        <v>1618</v>
      </c>
      <c r="B81">
        <v>1965</v>
      </c>
      <c r="C81" t="s">
        <v>29</v>
      </c>
      <c r="D81" t="s">
        <v>31</v>
      </c>
      <c r="E81">
        <v>56046</v>
      </c>
      <c r="F81">
        <v>0</v>
      </c>
      <c r="G81">
        <v>0</v>
      </c>
      <c r="H81" s="2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25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t="s">
        <v>73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5">
      <c r="A83">
        <v>2261</v>
      </c>
      <c r="B83">
        <v>1969</v>
      </c>
      <c r="C83" t="s">
        <v>29</v>
      </c>
      <c r="D83" t="s">
        <v>34</v>
      </c>
      <c r="E83">
        <v>26304</v>
      </c>
      <c r="F83">
        <v>1</v>
      </c>
      <c r="G83">
        <v>0</v>
      </c>
      <c r="H83" t="s">
        <v>74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>
        <v>5346</v>
      </c>
      <c r="B84">
        <v>1973</v>
      </c>
      <c r="C84" t="s">
        <v>46</v>
      </c>
      <c r="D84" t="s">
        <v>34</v>
      </c>
      <c r="E84">
        <v>23559</v>
      </c>
      <c r="F84">
        <v>1</v>
      </c>
      <c r="G84">
        <v>0</v>
      </c>
      <c r="H84" s="2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>
        <v>4119</v>
      </c>
      <c r="B85">
        <v>1963</v>
      </c>
      <c r="C85" t="s">
        <v>36</v>
      </c>
      <c r="D85" t="s">
        <v>31</v>
      </c>
      <c r="E85">
        <v>38620</v>
      </c>
      <c r="F85">
        <v>0</v>
      </c>
      <c r="G85">
        <v>0</v>
      </c>
      <c r="H85" s="2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>
        <v>535</v>
      </c>
      <c r="B86">
        <v>1987</v>
      </c>
      <c r="C86" t="s">
        <v>29</v>
      </c>
      <c r="D86" t="s">
        <v>37</v>
      </c>
      <c r="E86">
        <v>81361</v>
      </c>
      <c r="F86">
        <v>0</v>
      </c>
      <c r="G86">
        <v>0</v>
      </c>
      <c r="H86" t="s">
        <v>75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>
        <v>5268</v>
      </c>
      <c r="B87">
        <v>1960</v>
      </c>
      <c r="C87" t="s">
        <v>29</v>
      </c>
      <c r="D87" t="s">
        <v>34</v>
      </c>
      <c r="E87">
        <v>29440</v>
      </c>
      <c r="F87">
        <v>1</v>
      </c>
      <c r="G87">
        <v>1</v>
      </c>
      <c r="H87" s="2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>
        <v>273</v>
      </c>
      <c r="B88">
        <v>1970</v>
      </c>
      <c r="C88" t="s">
        <v>36</v>
      </c>
      <c r="D88" t="s">
        <v>34</v>
      </c>
      <c r="E88">
        <v>36138</v>
      </c>
      <c r="F88">
        <v>1</v>
      </c>
      <c r="G88">
        <v>1</v>
      </c>
      <c r="H88" t="s">
        <v>76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t="s">
        <v>77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25">
      <c r="A90">
        <v>8504</v>
      </c>
      <c r="B90">
        <v>1973</v>
      </c>
      <c r="C90" t="s">
        <v>29</v>
      </c>
      <c r="D90" t="s">
        <v>34</v>
      </c>
      <c r="E90">
        <v>79593</v>
      </c>
      <c r="F90">
        <v>0</v>
      </c>
      <c r="G90">
        <v>0</v>
      </c>
      <c r="H90" s="2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>
        <v>771</v>
      </c>
      <c r="B91">
        <v>1967</v>
      </c>
      <c r="C91" t="s">
        <v>29</v>
      </c>
      <c r="D91" t="s">
        <v>31</v>
      </c>
      <c r="E91">
        <v>54178</v>
      </c>
      <c r="F91">
        <v>0</v>
      </c>
      <c r="G91">
        <v>1</v>
      </c>
      <c r="H91" t="s">
        <v>78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>
        <v>8996</v>
      </c>
      <c r="B92">
        <v>1957</v>
      </c>
      <c r="C92" t="s">
        <v>33</v>
      </c>
      <c r="D92" t="s">
        <v>34</v>
      </c>
      <c r="F92">
        <v>2</v>
      </c>
      <c r="G92">
        <v>1</v>
      </c>
      <c r="H92" t="s">
        <v>61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t="s">
        <v>79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>
        <v>5798</v>
      </c>
      <c r="B94">
        <v>1973</v>
      </c>
      <c r="C94" t="s">
        <v>36</v>
      </c>
      <c r="D94" t="s">
        <v>31</v>
      </c>
      <c r="F94">
        <v>0</v>
      </c>
      <c r="G94">
        <v>0</v>
      </c>
      <c r="H94" t="s">
        <v>80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>
        <v>11178</v>
      </c>
      <c r="B95">
        <v>1972</v>
      </c>
      <c r="C95" t="s">
        <v>36</v>
      </c>
      <c r="D95" t="s">
        <v>30</v>
      </c>
      <c r="E95">
        <v>42394</v>
      </c>
      <c r="F95">
        <v>1</v>
      </c>
      <c r="G95">
        <v>0</v>
      </c>
      <c r="H95" t="s">
        <v>81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5">
      <c r="A96">
        <v>2230</v>
      </c>
      <c r="B96">
        <v>1970</v>
      </c>
      <c r="C96" t="s">
        <v>33</v>
      </c>
      <c r="D96" t="s">
        <v>34</v>
      </c>
      <c r="E96">
        <v>23626</v>
      </c>
      <c r="F96">
        <v>1</v>
      </c>
      <c r="G96">
        <v>0</v>
      </c>
      <c r="H96" t="s">
        <v>82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>
        <v>7516</v>
      </c>
      <c r="B97">
        <v>1983</v>
      </c>
      <c r="C97" t="s">
        <v>29</v>
      </c>
      <c r="D97" t="s">
        <v>34</v>
      </c>
      <c r="E97">
        <v>30096</v>
      </c>
      <c r="F97">
        <v>1</v>
      </c>
      <c r="G97">
        <v>0</v>
      </c>
      <c r="H97" t="s">
        <v>53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>
        <v>7247</v>
      </c>
      <c r="B98">
        <v>1960</v>
      </c>
      <c r="C98" t="s">
        <v>29</v>
      </c>
      <c r="D98" t="s">
        <v>57</v>
      </c>
      <c r="E98">
        <v>47916</v>
      </c>
      <c r="F98">
        <v>0</v>
      </c>
      <c r="G98">
        <v>1</v>
      </c>
      <c r="H98" t="s">
        <v>83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5">
      <c r="A99">
        <v>11100</v>
      </c>
      <c r="B99">
        <v>1972</v>
      </c>
      <c r="C99" t="s">
        <v>29</v>
      </c>
      <c r="D99" t="s">
        <v>37</v>
      </c>
      <c r="E99">
        <v>51813</v>
      </c>
      <c r="F99">
        <v>1</v>
      </c>
      <c r="G99">
        <v>1</v>
      </c>
      <c r="H99" s="2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25">
      <c r="A100">
        <v>4646</v>
      </c>
      <c r="B100">
        <v>1951</v>
      </c>
      <c r="C100" t="s">
        <v>46</v>
      </c>
      <c r="D100" t="s">
        <v>34</v>
      </c>
      <c r="E100">
        <v>78497</v>
      </c>
      <c r="F100">
        <v>0</v>
      </c>
      <c r="G100">
        <v>0</v>
      </c>
      <c r="H100" s="2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>
        <v>3037</v>
      </c>
      <c r="B101">
        <v>1983</v>
      </c>
      <c r="C101" t="s">
        <v>33</v>
      </c>
      <c r="D101" t="s">
        <v>34</v>
      </c>
      <c r="E101">
        <v>50150</v>
      </c>
      <c r="F101">
        <v>0</v>
      </c>
      <c r="G101">
        <v>0</v>
      </c>
      <c r="H101" t="s">
        <v>84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>
        <v>1473</v>
      </c>
      <c r="B102">
        <v>1960</v>
      </c>
      <c r="C102" t="s">
        <v>46</v>
      </c>
      <c r="D102" t="s">
        <v>30</v>
      </c>
      <c r="E102">
        <v>47823</v>
      </c>
      <c r="F102">
        <v>0</v>
      </c>
      <c r="G102">
        <v>1</v>
      </c>
      <c r="H102" t="s">
        <v>85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5">
      <c r="A103">
        <v>1016</v>
      </c>
      <c r="B103">
        <v>1959</v>
      </c>
      <c r="C103" t="s">
        <v>33</v>
      </c>
      <c r="D103" t="s">
        <v>30</v>
      </c>
      <c r="E103">
        <v>34554</v>
      </c>
      <c r="F103">
        <v>0</v>
      </c>
      <c r="G103">
        <v>1</v>
      </c>
      <c r="H103" t="s">
        <v>86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>
        <v>4518</v>
      </c>
      <c r="B104">
        <v>1979</v>
      </c>
      <c r="C104" t="s">
        <v>29</v>
      </c>
      <c r="D104" t="s">
        <v>31</v>
      </c>
      <c r="E104">
        <v>85693</v>
      </c>
      <c r="F104">
        <v>0</v>
      </c>
      <c r="G104">
        <v>1</v>
      </c>
      <c r="H104" t="s">
        <v>87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>
        <v>9370</v>
      </c>
      <c r="B105">
        <v>1945</v>
      </c>
      <c r="C105" t="s">
        <v>33</v>
      </c>
      <c r="D105" t="s">
        <v>34</v>
      </c>
      <c r="E105">
        <v>65846</v>
      </c>
      <c r="F105">
        <v>0</v>
      </c>
      <c r="G105">
        <v>0</v>
      </c>
      <c r="H105" t="s">
        <v>88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>
        <v>8908</v>
      </c>
      <c r="B106">
        <v>1959</v>
      </c>
      <c r="C106" t="s">
        <v>29</v>
      </c>
      <c r="D106" t="s">
        <v>34</v>
      </c>
      <c r="E106">
        <v>87195</v>
      </c>
      <c r="F106">
        <v>0</v>
      </c>
      <c r="G106">
        <v>0</v>
      </c>
      <c r="H106" s="2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5">
      <c r="A107">
        <v>8373</v>
      </c>
      <c r="B107">
        <v>1979</v>
      </c>
      <c r="C107" t="s">
        <v>41</v>
      </c>
      <c r="D107" t="s">
        <v>31</v>
      </c>
      <c r="E107">
        <v>24594</v>
      </c>
      <c r="F107">
        <v>1</v>
      </c>
      <c r="G107">
        <v>0</v>
      </c>
      <c r="H107" s="2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>
        <v>7533</v>
      </c>
      <c r="B108">
        <v>1964</v>
      </c>
      <c r="C108" t="s">
        <v>29</v>
      </c>
      <c r="D108" t="s">
        <v>34</v>
      </c>
      <c r="E108">
        <v>49096</v>
      </c>
      <c r="F108">
        <v>1</v>
      </c>
      <c r="G108">
        <v>1</v>
      </c>
      <c r="H108" t="s">
        <v>89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5">
      <c r="A109">
        <v>2683</v>
      </c>
      <c r="B109">
        <v>1969</v>
      </c>
      <c r="C109" t="s">
        <v>29</v>
      </c>
      <c r="D109" t="s">
        <v>34</v>
      </c>
      <c r="E109">
        <v>52413</v>
      </c>
      <c r="F109">
        <v>0</v>
      </c>
      <c r="G109">
        <v>2</v>
      </c>
      <c r="H109" s="2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t="s">
        <v>71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>
        <v>10991</v>
      </c>
      <c r="B111">
        <v>1960</v>
      </c>
      <c r="C111" t="s">
        <v>36</v>
      </c>
      <c r="D111" t="s">
        <v>34</v>
      </c>
      <c r="E111">
        <v>89058</v>
      </c>
      <c r="F111">
        <v>0</v>
      </c>
      <c r="G111">
        <v>0</v>
      </c>
      <c r="H111" s="2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25">
      <c r="A112">
        <v>5077</v>
      </c>
      <c r="B112">
        <v>1979</v>
      </c>
      <c r="C112" t="s">
        <v>29</v>
      </c>
      <c r="D112" t="s">
        <v>31</v>
      </c>
      <c r="E112">
        <v>77298</v>
      </c>
      <c r="F112">
        <v>0</v>
      </c>
      <c r="G112">
        <v>1</v>
      </c>
      <c r="H112" s="2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>
        <v>7431</v>
      </c>
      <c r="B113">
        <v>1991</v>
      </c>
      <c r="C113" t="s">
        <v>33</v>
      </c>
      <c r="D113" t="s">
        <v>30</v>
      </c>
      <c r="E113">
        <v>68126</v>
      </c>
      <c r="F113">
        <v>0</v>
      </c>
      <c r="G113">
        <v>0</v>
      </c>
      <c r="H113" s="2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25">
      <c r="A114">
        <v>3267</v>
      </c>
      <c r="B114">
        <v>1963</v>
      </c>
      <c r="C114" t="s">
        <v>36</v>
      </c>
      <c r="D114" t="s">
        <v>31</v>
      </c>
      <c r="E114">
        <v>57288</v>
      </c>
      <c r="F114">
        <v>0</v>
      </c>
      <c r="G114">
        <v>1</v>
      </c>
      <c r="H114" t="s">
        <v>90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s="2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25">
      <c r="A116">
        <v>9215</v>
      </c>
      <c r="B116">
        <v>1980</v>
      </c>
      <c r="C116" t="s">
        <v>33</v>
      </c>
      <c r="D116" t="s">
        <v>34</v>
      </c>
      <c r="E116">
        <v>43974</v>
      </c>
      <c r="F116">
        <v>1</v>
      </c>
      <c r="G116">
        <v>0</v>
      </c>
      <c r="H116" s="2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s="2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5">
      <c r="A118">
        <v>1592</v>
      </c>
      <c r="B118">
        <v>1970</v>
      </c>
      <c r="C118" t="s">
        <v>29</v>
      </c>
      <c r="D118" t="s">
        <v>34</v>
      </c>
      <c r="E118">
        <v>90765</v>
      </c>
      <c r="F118">
        <v>0</v>
      </c>
      <c r="G118">
        <v>0</v>
      </c>
      <c r="H118" t="s">
        <v>91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>
        <v>367</v>
      </c>
      <c r="B119">
        <v>1978</v>
      </c>
      <c r="C119" t="s">
        <v>46</v>
      </c>
      <c r="D119" t="s">
        <v>34</v>
      </c>
      <c r="E119">
        <v>36550</v>
      </c>
      <c r="F119">
        <v>1</v>
      </c>
      <c r="G119">
        <v>0</v>
      </c>
      <c r="H119" t="s">
        <v>92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>
        <v>5234</v>
      </c>
      <c r="B120">
        <v>1967</v>
      </c>
      <c r="C120" t="s">
        <v>46</v>
      </c>
      <c r="D120" t="s">
        <v>31</v>
      </c>
      <c r="E120">
        <v>30753</v>
      </c>
      <c r="F120">
        <v>1</v>
      </c>
      <c r="G120">
        <v>1</v>
      </c>
      <c r="H120" s="2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>
        <v>9862</v>
      </c>
      <c r="B121">
        <v>1969</v>
      </c>
      <c r="C121" t="s">
        <v>29</v>
      </c>
      <c r="D121" t="s">
        <v>31</v>
      </c>
      <c r="E121">
        <v>21918</v>
      </c>
      <c r="F121">
        <v>1</v>
      </c>
      <c r="G121">
        <v>0</v>
      </c>
      <c r="H121" t="s">
        <v>93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>
        <v>9805</v>
      </c>
      <c r="B122">
        <v>1953</v>
      </c>
      <c r="C122" t="s">
        <v>36</v>
      </c>
      <c r="D122" t="s">
        <v>31</v>
      </c>
      <c r="E122">
        <v>56129</v>
      </c>
      <c r="F122">
        <v>0</v>
      </c>
      <c r="G122">
        <v>1</v>
      </c>
      <c r="H122" t="s">
        <v>84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>
        <v>6205</v>
      </c>
      <c r="B123">
        <v>1967</v>
      </c>
      <c r="C123" t="s">
        <v>36</v>
      </c>
      <c r="D123" t="s">
        <v>30</v>
      </c>
      <c r="E123">
        <v>32557</v>
      </c>
      <c r="F123">
        <v>1</v>
      </c>
      <c r="G123">
        <v>0</v>
      </c>
      <c r="H123" t="s">
        <v>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25">
      <c r="A124">
        <v>8442</v>
      </c>
      <c r="B124">
        <v>1985</v>
      </c>
      <c r="C124" t="s">
        <v>36</v>
      </c>
      <c r="D124" t="s">
        <v>34</v>
      </c>
      <c r="E124">
        <v>19510</v>
      </c>
      <c r="F124">
        <v>2</v>
      </c>
      <c r="G124">
        <v>0</v>
      </c>
      <c r="H124" s="2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>
        <v>7386</v>
      </c>
      <c r="B125">
        <v>1976</v>
      </c>
      <c r="C125" t="s">
        <v>29</v>
      </c>
      <c r="D125" t="s">
        <v>37</v>
      </c>
      <c r="E125">
        <v>30992</v>
      </c>
      <c r="F125">
        <v>1</v>
      </c>
      <c r="G125">
        <v>0</v>
      </c>
      <c r="H125" t="s">
        <v>95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s="2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25">
      <c r="A127">
        <v>1491</v>
      </c>
      <c r="B127">
        <v>1965</v>
      </c>
      <c r="C127" t="s">
        <v>46</v>
      </c>
      <c r="D127" t="s">
        <v>31</v>
      </c>
      <c r="E127">
        <v>71488</v>
      </c>
      <c r="F127">
        <v>0</v>
      </c>
      <c r="G127">
        <v>0</v>
      </c>
      <c r="H127" t="s">
        <v>64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t="s">
        <v>96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25">
      <c r="A129">
        <v>3381</v>
      </c>
      <c r="B129">
        <v>1953</v>
      </c>
      <c r="C129" t="s">
        <v>36</v>
      </c>
      <c r="D129" t="s">
        <v>34</v>
      </c>
      <c r="E129">
        <v>54348</v>
      </c>
      <c r="F129">
        <v>1</v>
      </c>
      <c r="G129">
        <v>1</v>
      </c>
      <c r="H129" s="2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>
        <v>8268</v>
      </c>
      <c r="B130">
        <v>1961</v>
      </c>
      <c r="C130" t="s">
        <v>33</v>
      </c>
      <c r="D130" t="s">
        <v>34</v>
      </c>
      <c r="F130">
        <v>0</v>
      </c>
      <c r="G130">
        <v>1</v>
      </c>
      <c r="H130" s="2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>
        <v>11051</v>
      </c>
      <c r="B131">
        <v>1956</v>
      </c>
      <c r="C131" t="s">
        <v>33</v>
      </c>
      <c r="D131" t="s">
        <v>31</v>
      </c>
      <c r="E131">
        <v>77376</v>
      </c>
      <c r="F131">
        <v>1</v>
      </c>
      <c r="G131">
        <v>1</v>
      </c>
      <c r="H131" s="2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>
        <v>8026</v>
      </c>
      <c r="B132">
        <v>1952</v>
      </c>
      <c r="C132" t="s">
        <v>29</v>
      </c>
      <c r="D132" t="s">
        <v>34</v>
      </c>
      <c r="E132">
        <v>62998</v>
      </c>
      <c r="F132">
        <v>0</v>
      </c>
      <c r="G132">
        <v>1</v>
      </c>
      <c r="H132" t="s">
        <v>97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>
        <v>433</v>
      </c>
      <c r="B133">
        <v>1958</v>
      </c>
      <c r="C133" t="s">
        <v>36</v>
      </c>
      <c r="D133" t="s">
        <v>98</v>
      </c>
      <c r="E133">
        <v>61331</v>
      </c>
      <c r="F133">
        <v>1</v>
      </c>
      <c r="G133">
        <v>1</v>
      </c>
      <c r="H133" s="2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>
        <v>9597</v>
      </c>
      <c r="B134">
        <v>1969</v>
      </c>
      <c r="C134" t="s">
        <v>29</v>
      </c>
      <c r="D134" t="s">
        <v>34</v>
      </c>
      <c r="E134">
        <v>73448</v>
      </c>
      <c r="F134">
        <v>0</v>
      </c>
      <c r="G134">
        <v>0</v>
      </c>
      <c r="H134" s="2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>
        <v>1295</v>
      </c>
      <c r="B135">
        <v>1963</v>
      </c>
      <c r="C135" t="s">
        <v>29</v>
      </c>
      <c r="D135" t="s">
        <v>34</v>
      </c>
      <c r="F135">
        <v>0</v>
      </c>
      <c r="G135">
        <v>1</v>
      </c>
      <c r="H135" s="2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5">
      <c r="A136">
        <v>5290</v>
      </c>
      <c r="B136">
        <v>1964</v>
      </c>
      <c r="C136" t="s">
        <v>33</v>
      </c>
      <c r="D136" t="s">
        <v>34</v>
      </c>
      <c r="E136">
        <v>41551</v>
      </c>
      <c r="F136">
        <v>1</v>
      </c>
      <c r="G136">
        <v>1</v>
      </c>
      <c r="H136" t="s">
        <v>99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>
        <v>1685</v>
      </c>
      <c r="B137">
        <v>1967</v>
      </c>
      <c r="C137" t="s">
        <v>33</v>
      </c>
      <c r="D137" t="s">
        <v>31</v>
      </c>
      <c r="E137">
        <v>62981</v>
      </c>
      <c r="F137">
        <v>0</v>
      </c>
      <c r="G137">
        <v>0</v>
      </c>
      <c r="H137" t="s">
        <v>69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>
        <v>5342</v>
      </c>
      <c r="B138">
        <v>1976</v>
      </c>
      <c r="C138" t="s">
        <v>41</v>
      </c>
      <c r="D138" t="s">
        <v>37</v>
      </c>
      <c r="E138">
        <v>9548</v>
      </c>
      <c r="F138">
        <v>1</v>
      </c>
      <c r="G138">
        <v>0</v>
      </c>
      <c r="H138" s="2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>
        <v>9579</v>
      </c>
      <c r="B139">
        <v>1959</v>
      </c>
      <c r="C139" t="s">
        <v>33</v>
      </c>
      <c r="D139" t="s">
        <v>34</v>
      </c>
      <c r="E139">
        <v>33762</v>
      </c>
      <c r="F139">
        <v>2</v>
      </c>
      <c r="G139">
        <v>1</v>
      </c>
      <c r="H139" s="2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>
        <v>7660</v>
      </c>
      <c r="B140">
        <v>1973</v>
      </c>
      <c r="C140" t="s">
        <v>33</v>
      </c>
      <c r="D140" t="s">
        <v>98</v>
      </c>
      <c r="E140">
        <v>35860</v>
      </c>
      <c r="F140">
        <v>1</v>
      </c>
      <c r="G140">
        <v>1</v>
      </c>
      <c r="H140" t="s">
        <v>100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25">
      <c r="A141">
        <v>1461</v>
      </c>
      <c r="B141">
        <v>1965</v>
      </c>
      <c r="C141" t="s">
        <v>33</v>
      </c>
      <c r="D141" t="s">
        <v>37</v>
      </c>
      <c r="E141">
        <v>36921</v>
      </c>
      <c r="F141">
        <v>1</v>
      </c>
      <c r="G141">
        <v>1</v>
      </c>
      <c r="H141" t="s">
        <v>101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5">
      <c r="A142">
        <v>821</v>
      </c>
      <c r="B142">
        <v>1992</v>
      </c>
      <c r="C142" t="s">
        <v>36</v>
      </c>
      <c r="D142" t="s">
        <v>30</v>
      </c>
      <c r="E142">
        <v>92859</v>
      </c>
      <c r="F142">
        <v>0</v>
      </c>
      <c r="G142">
        <v>0</v>
      </c>
      <c r="H142" t="s">
        <v>102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>
        <v>11084</v>
      </c>
      <c r="B143">
        <v>1976</v>
      </c>
      <c r="C143" t="s">
        <v>36</v>
      </c>
      <c r="D143" t="s">
        <v>31</v>
      </c>
      <c r="E143">
        <v>65104</v>
      </c>
      <c r="F143">
        <v>0</v>
      </c>
      <c r="G143">
        <v>1</v>
      </c>
      <c r="H143" t="s">
        <v>93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25">
      <c r="A144">
        <v>8690</v>
      </c>
      <c r="B144">
        <v>1962</v>
      </c>
      <c r="C144" t="s">
        <v>29</v>
      </c>
      <c r="D144" t="s">
        <v>34</v>
      </c>
      <c r="E144">
        <v>86111</v>
      </c>
      <c r="F144">
        <v>0</v>
      </c>
      <c r="G144">
        <v>0</v>
      </c>
      <c r="H144" t="s">
        <v>103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>
        <v>2937</v>
      </c>
      <c r="B145">
        <v>1974</v>
      </c>
      <c r="C145" t="s">
        <v>33</v>
      </c>
      <c r="D145" t="s">
        <v>30</v>
      </c>
      <c r="E145">
        <v>68352</v>
      </c>
      <c r="F145">
        <v>0</v>
      </c>
      <c r="G145">
        <v>1</v>
      </c>
      <c r="H145" t="s">
        <v>104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>
        <v>9701</v>
      </c>
      <c r="B146">
        <v>1988</v>
      </c>
      <c r="C146" t="s">
        <v>29</v>
      </c>
      <c r="D146" t="s">
        <v>31</v>
      </c>
      <c r="E146">
        <v>41883</v>
      </c>
      <c r="F146">
        <v>1</v>
      </c>
      <c r="G146">
        <v>0</v>
      </c>
      <c r="H146" t="s">
        <v>105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5">
      <c r="A147">
        <v>9949</v>
      </c>
      <c r="B147">
        <v>1976</v>
      </c>
      <c r="C147" t="s">
        <v>29</v>
      </c>
      <c r="D147" t="s">
        <v>34</v>
      </c>
      <c r="E147">
        <v>59809</v>
      </c>
      <c r="F147">
        <v>0</v>
      </c>
      <c r="G147">
        <v>2</v>
      </c>
      <c r="H147" t="s">
        <v>106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>
        <v>10837</v>
      </c>
      <c r="B148">
        <v>1975</v>
      </c>
      <c r="C148" t="s">
        <v>29</v>
      </c>
      <c r="D148" t="s">
        <v>34</v>
      </c>
      <c r="E148">
        <v>23957</v>
      </c>
      <c r="F148">
        <v>1</v>
      </c>
      <c r="G148">
        <v>0</v>
      </c>
      <c r="H148" t="s">
        <v>107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25">
      <c r="A149">
        <v>3120</v>
      </c>
      <c r="B149">
        <v>1981</v>
      </c>
      <c r="C149" t="s">
        <v>29</v>
      </c>
      <c r="D149" t="s">
        <v>31</v>
      </c>
      <c r="E149">
        <v>38547</v>
      </c>
      <c r="F149">
        <v>1</v>
      </c>
      <c r="G149">
        <v>0</v>
      </c>
      <c r="H149" t="s">
        <v>104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25">
      <c r="A150">
        <v>5885</v>
      </c>
      <c r="B150">
        <v>1973</v>
      </c>
      <c r="C150" t="s">
        <v>46</v>
      </c>
      <c r="D150" t="s">
        <v>34</v>
      </c>
      <c r="E150">
        <v>35688</v>
      </c>
      <c r="F150">
        <v>2</v>
      </c>
      <c r="G150">
        <v>1</v>
      </c>
      <c r="H150" t="s">
        <v>108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>
        <v>4050</v>
      </c>
      <c r="B151">
        <v>1966</v>
      </c>
      <c r="C151" t="s">
        <v>36</v>
      </c>
      <c r="D151" t="s">
        <v>34</v>
      </c>
      <c r="E151">
        <v>49605</v>
      </c>
      <c r="F151">
        <v>0</v>
      </c>
      <c r="G151">
        <v>0</v>
      </c>
      <c r="H151" t="s">
        <v>109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>
        <v>3830</v>
      </c>
      <c r="B152">
        <v>1953</v>
      </c>
      <c r="C152" t="s">
        <v>36</v>
      </c>
      <c r="D152" t="s">
        <v>34</v>
      </c>
      <c r="E152">
        <v>59354</v>
      </c>
      <c r="F152">
        <v>0</v>
      </c>
      <c r="G152">
        <v>2</v>
      </c>
      <c r="H152" t="s">
        <v>110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>
        <v>7987</v>
      </c>
      <c r="B153">
        <v>1969</v>
      </c>
      <c r="C153" t="s">
        <v>29</v>
      </c>
      <c r="D153" t="s">
        <v>34</v>
      </c>
      <c r="E153">
        <v>65747</v>
      </c>
      <c r="F153">
        <v>0</v>
      </c>
      <c r="G153">
        <v>1</v>
      </c>
      <c r="H153" s="2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>
        <v>7798</v>
      </c>
      <c r="B154">
        <v>1972</v>
      </c>
      <c r="C154" t="s">
        <v>46</v>
      </c>
      <c r="D154" t="s">
        <v>31</v>
      </c>
      <c r="E154">
        <v>46344</v>
      </c>
      <c r="F154">
        <v>0</v>
      </c>
      <c r="G154">
        <v>1</v>
      </c>
      <c r="H154" t="s">
        <v>111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>
        <v>92</v>
      </c>
      <c r="B155">
        <v>1988</v>
      </c>
      <c r="C155" t="s">
        <v>29</v>
      </c>
      <c r="D155" t="s">
        <v>98</v>
      </c>
      <c r="E155">
        <v>34176</v>
      </c>
      <c r="F155">
        <v>1</v>
      </c>
      <c r="G155">
        <v>0</v>
      </c>
      <c r="H155" s="2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25">
      <c r="A156">
        <v>7055</v>
      </c>
      <c r="B156">
        <v>1952</v>
      </c>
      <c r="C156" t="s">
        <v>33</v>
      </c>
      <c r="D156" t="s">
        <v>31</v>
      </c>
      <c r="E156">
        <v>61010</v>
      </c>
      <c r="F156">
        <v>0</v>
      </c>
      <c r="G156">
        <v>1</v>
      </c>
      <c r="H156" s="2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>
        <v>10240</v>
      </c>
      <c r="B157">
        <v>1949</v>
      </c>
      <c r="C157" t="s">
        <v>29</v>
      </c>
      <c r="D157" t="s">
        <v>31</v>
      </c>
      <c r="E157">
        <v>69372</v>
      </c>
      <c r="F157">
        <v>0</v>
      </c>
      <c r="G157">
        <v>0</v>
      </c>
      <c r="H157" t="s">
        <v>92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25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s="2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s="2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>
        <v>9970</v>
      </c>
      <c r="B160">
        <v>1977</v>
      </c>
      <c r="C160" t="s">
        <v>29</v>
      </c>
      <c r="D160" t="s">
        <v>31</v>
      </c>
      <c r="E160">
        <v>55375</v>
      </c>
      <c r="F160">
        <v>0</v>
      </c>
      <c r="G160">
        <v>1</v>
      </c>
      <c r="H160" t="s">
        <v>112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t="s">
        <v>113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>
        <v>2795</v>
      </c>
      <c r="B162">
        <v>1958</v>
      </c>
      <c r="C162" t="s">
        <v>36</v>
      </c>
      <c r="D162" t="s">
        <v>30</v>
      </c>
      <c r="E162">
        <v>30523</v>
      </c>
      <c r="F162">
        <v>2</v>
      </c>
      <c r="G162">
        <v>1</v>
      </c>
      <c r="H162" s="2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>
        <v>9260</v>
      </c>
      <c r="B163">
        <v>1945</v>
      </c>
      <c r="C163" t="s">
        <v>33</v>
      </c>
      <c r="D163" t="s">
        <v>34</v>
      </c>
      <c r="E163">
        <v>70356</v>
      </c>
      <c r="F163">
        <v>0</v>
      </c>
      <c r="G163">
        <v>0</v>
      </c>
      <c r="H163" s="2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>
        <v>8182</v>
      </c>
      <c r="B164">
        <v>1984</v>
      </c>
      <c r="C164" t="s">
        <v>29</v>
      </c>
      <c r="D164" t="s">
        <v>34</v>
      </c>
      <c r="E164">
        <v>23228</v>
      </c>
      <c r="F164">
        <v>1</v>
      </c>
      <c r="G164">
        <v>0</v>
      </c>
      <c r="H164" s="2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5">
      <c r="A165">
        <v>10095</v>
      </c>
      <c r="B165">
        <v>1975</v>
      </c>
      <c r="C165" t="s">
        <v>33</v>
      </c>
      <c r="D165" t="s">
        <v>37</v>
      </c>
      <c r="E165">
        <v>74165</v>
      </c>
      <c r="F165">
        <v>0</v>
      </c>
      <c r="G165">
        <v>0</v>
      </c>
      <c r="H165" s="2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5">
      <c r="A166">
        <v>8475</v>
      </c>
      <c r="B166">
        <v>1973</v>
      </c>
      <c r="C166" t="s">
        <v>33</v>
      </c>
      <c r="D166" t="s">
        <v>34</v>
      </c>
      <c r="E166">
        <v>157243</v>
      </c>
      <c r="F166">
        <v>0</v>
      </c>
      <c r="G166">
        <v>1</v>
      </c>
      <c r="H166" s="2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>
        <v>4370</v>
      </c>
      <c r="B167">
        <v>1966</v>
      </c>
      <c r="C167" t="s">
        <v>29</v>
      </c>
      <c r="D167" t="s">
        <v>31</v>
      </c>
      <c r="E167">
        <v>43482</v>
      </c>
      <c r="F167">
        <v>2</v>
      </c>
      <c r="G167">
        <v>1</v>
      </c>
      <c r="H167" t="s">
        <v>114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>
        <v>10573</v>
      </c>
      <c r="B168">
        <v>1953</v>
      </c>
      <c r="C168" t="s">
        <v>29</v>
      </c>
      <c r="D168" t="s">
        <v>37</v>
      </c>
      <c r="E168">
        <v>62551</v>
      </c>
      <c r="F168">
        <v>0</v>
      </c>
      <c r="G168">
        <v>0</v>
      </c>
      <c r="H168" t="s">
        <v>115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>
        <v>3712</v>
      </c>
      <c r="B169">
        <v>1959</v>
      </c>
      <c r="C169" t="s">
        <v>29</v>
      </c>
      <c r="D169" t="s">
        <v>37</v>
      </c>
      <c r="E169">
        <v>52332</v>
      </c>
      <c r="F169">
        <v>0</v>
      </c>
      <c r="G169">
        <v>0</v>
      </c>
      <c r="H169" t="s">
        <v>104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s="2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>
        <v>3152</v>
      </c>
      <c r="B171">
        <v>1957</v>
      </c>
      <c r="C171" t="s">
        <v>29</v>
      </c>
      <c r="D171" t="s">
        <v>31</v>
      </c>
      <c r="E171">
        <v>26091</v>
      </c>
      <c r="F171">
        <v>1</v>
      </c>
      <c r="G171">
        <v>1</v>
      </c>
      <c r="H171" t="s">
        <v>75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>
        <v>5610</v>
      </c>
      <c r="B172">
        <v>1965</v>
      </c>
      <c r="C172" t="s">
        <v>29</v>
      </c>
      <c r="D172" t="s">
        <v>31</v>
      </c>
      <c r="E172">
        <v>33456</v>
      </c>
      <c r="F172">
        <v>1</v>
      </c>
      <c r="G172">
        <v>1</v>
      </c>
      <c r="H172" t="s">
        <v>116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>
        <v>6460</v>
      </c>
      <c r="B173">
        <v>1982</v>
      </c>
      <c r="C173" t="s">
        <v>29</v>
      </c>
      <c r="D173" t="s">
        <v>34</v>
      </c>
      <c r="E173">
        <v>28718</v>
      </c>
      <c r="F173">
        <v>1</v>
      </c>
      <c r="G173">
        <v>0</v>
      </c>
      <c r="H173" t="s">
        <v>117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5">
      <c r="A174">
        <v>1349</v>
      </c>
      <c r="B174">
        <v>1970</v>
      </c>
      <c r="C174" t="s">
        <v>29</v>
      </c>
      <c r="D174" t="s">
        <v>34</v>
      </c>
      <c r="E174">
        <v>50447</v>
      </c>
      <c r="F174">
        <v>2</v>
      </c>
      <c r="G174">
        <v>0</v>
      </c>
      <c r="H174" t="s">
        <v>116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>
        <v>1880</v>
      </c>
      <c r="B175">
        <v>1959</v>
      </c>
      <c r="C175" t="s">
        <v>33</v>
      </c>
      <c r="D175" t="s">
        <v>31</v>
      </c>
      <c r="E175">
        <v>53537</v>
      </c>
      <c r="F175">
        <v>1</v>
      </c>
      <c r="G175">
        <v>1</v>
      </c>
      <c r="H175" t="s">
        <v>118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s="2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>
        <v>8717</v>
      </c>
      <c r="B177">
        <v>1975</v>
      </c>
      <c r="C177" t="s">
        <v>33</v>
      </c>
      <c r="D177" t="s">
        <v>34</v>
      </c>
      <c r="E177">
        <v>80427</v>
      </c>
      <c r="F177">
        <v>0</v>
      </c>
      <c r="G177">
        <v>1</v>
      </c>
      <c r="H177" s="2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>
        <v>10314</v>
      </c>
      <c r="B178">
        <v>1948</v>
      </c>
      <c r="C178" t="s">
        <v>33</v>
      </c>
      <c r="D178" t="s">
        <v>34</v>
      </c>
      <c r="E178">
        <v>83837</v>
      </c>
      <c r="F178">
        <v>0</v>
      </c>
      <c r="G178">
        <v>0</v>
      </c>
      <c r="H178" t="s">
        <v>119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25">
      <c r="A179">
        <v>10854</v>
      </c>
      <c r="B179">
        <v>1970</v>
      </c>
      <c r="C179" t="s">
        <v>33</v>
      </c>
      <c r="D179" t="s">
        <v>34</v>
      </c>
      <c r="E179">
        <v>38853</v>
      </c>
      <c r="F179">
        <v>1</v>
      </c>
      <c r="G179">
        <v>1</v>
      </c>
      <c r="H179" t="s">
        <v>120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5">
      <c r="A180">
        <v>10492</v>
      </c>
      <c r="B180">
        <v>1959</v>
      </c>
      <c r="C180" t="s">
        <v>29</v>
      </c>
      <c r="D180" t="s">
        <v>31</v>
      </c>
      <c r="E180">
        <v>38285</v>
      </c>
      <c r="F180">
        <v>2</v>
      </c>
      <c r="G180">
        <v>1</v>
      </c>
      <c r="H180" t="s">
        <v>121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>
        <v>6935</v>
      </c>
      <c r="B181">
        <v>1951</v>
      </c>
      <c r="C181" t="s">
        <v>46</v>
      </c>
      <c r="D181" t="s">
        <v>34</v>
      </c>
      <c r="E181">
        <v>78497</v>
      </c>
      <c r="F181">
        <v>0</v>
      </c>
      <c r="G181">
        <v>0</v>
      </c>
      <c r="H181" s="2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>
        <v>7698</v>
      </c>
      <c r="B182">
        <v>1976</v>
      </c>
      <c r="C182" t="s">
        <v>33</v>
      </c>
      <c r="D182" t="s">
        <v>34</v>
      </c>
      <c r="E182">
        <v>51650</v>
      </c>
      <c r="F182">
        <v>0</v>
      </c>
      <c r="G182">
        <v>1</v>
      </c>
      <c r="H182" s="2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5">
      <c r="A183">
        <v>3559</v>
      </c>
      <c r="B183">
        <v>1988</v>
      </c>
      <c r="C183" t="s">
        <v>46</v>
      </c>
      <c r="D183" t="s">
        <v>34</v>
      </c>
      <c r="E183">
        <v>16248</v>
      </c>
      <c r="F183">
        <v>1</v>
      </c>
      <c r="G183">
        <v>0</v>
      </c>
      <c r="H183" s="2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>
        <v>10562</v>
      </c>
      <c r="B184">
        <v>1946</v>
      </c>
      <c r="C184" t="s">
        <v>36</v>
      </c>
      <c r="D184" t="s">
        <v>34</v>
      </c>
      <c r="E184">
        <v>66835</v>
      </c>
      <c r="F184">
        <v>0</v>
      </c>
      <c r="G184">
        <v>0</v>
      </c>
      <c r="H184" t="s">
        <v>122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>
        <v>10796</v>
      </c>
      <c r="B185">
        <v>1984</v>
      </c>
      <c r="C185" t="s">
        <v>36</v>
      </c>
      <c r="D185" t="s">
        <v>34</v>
      </c>
      <c r="E185">
        <v>30477</v>
      </c>
      <c r="F185">
        <v>1</v>
      </c>
      <c r="G185">
        <v>0</v>
      </c>
      <c r="H185" t="s">
        <v>123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5">
      <c r="A186">
        <v>2563</v>
      </c>
      <c r="B186">
        <v>1961</v>
      </c>
      <c r="C186" t="s">
        <v>41</v>
      </c>
      <c r="D186" t="s">
        <v>34</v>
      </c>
      <c r="E186">
        <v>28249</v>
      </c>
      <c r="F186">
        <v>0</v>
      </c>
      <c r="G186">
        <v>0</v>
      </c>
      <c r="H186" t="s">
        <v>124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>
        <v>3518</v>
      </c>
      <c r="B187">
        <v>1983</v>
      </c>
      <c r="C187" t="s">
        <v>29</v>
      </c>
      <c r="D187" t="s">
        <v>34</v>
      </c>
      <c r="E187">
        <v>25271</v>
      </c>
      <c r="F187">
        <v>1</v>
      </c>
      <c r="G187">
        <v>0</v>
      </c>
      <c r="H187" s="2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>
        <v>5823</v>
      </c>
      <c r="B188">
        <v>1970</v>
      </c>
      <c r="C188" t="s">
        <v>33</v>
      </c>
      <c r="D188" t="s">
        <v>30</v>
      </c>
      <c r="E188">
        <v>32303</v>
      </c>
      <c r="F188">
        <v>0</v>
      </c>
      <c r="G188">
        <v>1</v>
      </c>
      <c r="H188" s="2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>
        <v>3934</v>
      </c>
      <c r="B189">
        <v>1966</v>
      </c>
      <c r="C189" t="s">
        <v>29</v>
      </c>
      <c r="D189" t="s">
        <v>34</v>
      </c>
      <c r="E189">
        <v>61286</v>
      </c>
      <c r="F189">
        <v>0</v>
      </c>
      <c r="G189">
        <v>1</v>
      </c>
      <c r="H189" s="2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25">
      <c r="A190">
        <v>6982</v>
      </c>
      <c r="B190">
        <v>1976</v>
      </c>
      <c r="C190" t="s">
        <v>29</v>
      </c>
      <c r="D190" t="s">
        <v>34</v>
      </c>
      <c r="E190">
        <v>74068</v>
      </c>
      <c r="F190">
        <v>0</v>
      </c>
      <c r="G190">
        <v>0</v>
      </c>
      <c r="H190" t="s">
        <v>105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>
        <v>6431</v>
      </c>
      <c r="B191">
        <v>1964</v>
      </c>
      <c r="C191" t="s">
        <v>33</v>
      </c>
      <c r="D191" t="s">
        <v>34</v>
      </c>
      <c r="E191">
        <v>45759</v>
      </c>
      <c r="F191">
        <v>1</v>
      </c>
      <c r="G191">
        <v>1</v>
      </c>
      <c r="H191" t="s">
        <v>125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>
        <v>9733</v>
      </c>
      <c r="B192">
        <v>1978</v>
      </c>
      <c r="C192" t="s">
        <v>41</v>
      </c>
      <c r="D192" t="s">
        <v>31</v>
      </c>
      <c r="E192">
        <v>24882</v>
      </c>
      <c r="F192">
        <v>1</v>
      </c>
      <c r="G192">
        <v>0</v>
      </c>
      <c r="H192" s="2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>
        <v>5602</v>
      </c>
      <c r="B193">
        <v>1989</v>
      </c>
      <c r="C193" t="s">
        <v>33</v>
      </c>
      <c r="D193" t="s">
        <v>31</v>
      </c>
      <c r="E193">
        <v>66973</v>
      </c>
      <c r="F193">
        <v>0</v>
      </c>
      <c r="G193">
        <v>0</v>
      </c>
      <c r="H193" t="s">
        <v>88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>
        <v>7829</v>
      </c>
      <c r="B194">
        <v>1900</v>
      </c>
      <c r="C194" t="s">
        <v>46</v>
      </c>
      <c r="D194" t="s">
        <v>37</v>
      </c>
      <c r="E194">
        <v>36640</v>
      </c>
      <c r="F194">
        <v>1</v>
      </c>
      <c r="G194">
        <v>0</v>
      </c>
      <c r="H194" t="s">
        <v>126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25">
      <c r="A195">
        <v>1324</v>
      </c>
      <c r="B195">
        <v>1988</v>
      </c>
      <c r="C195" t="s">
        <v>29</v>
      </c>
      <c r="D195" t="s">
        <v>34</v>
      </c>
      <c r="E195">
        <v>38872</v>
      </c>
      <c r="F195">
        <v>1</v>
      </c>
      <c r="G195">
        <v>0</v>
      </c>
      <c r="H195" t="s">
        <v>127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>
        <v>326</v>
      </c>
      <c r="B196">
        <v>1973</v>
      </c>
      <c r="C196" t="s">
        <v>29</v>
      </c>
      <c r="D196" t="s">
        <v>34</v>
      </c>
      <c r="E196">
        <v>51148</v>
      </c>
      <c r="F196">
        <v>1</v>
      </c>
      <c r="G196">
        <v>1</v>
      </c>
      <c r="H196" t="s">
        <v>64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5">
      <c r="A197">
        <v>7224</v>
      </c>
      <c r="B197">
        <v>1977</v>
      </c>
      <c r="C197" t="s">
        <v>29</v>
      </c>
      <c r="D197" t="s">
        <v>34</v>
      </c>
      <c r="E197">
        <v>31353</v>
      </c>
      <c r="F197">
        <v>1</v>
      </c>
      <c r="G197">
        <v>1</v>
      </c>
      <c r="H197" t="s">
        <v>128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5">
      <c r="A198">
        <v>6999</v>
      </c>
      <c r="B198">
        <v>1980</v>
      </c>
      <c r="C198" t="s">
        <v>36</v>
      </c>
      <c r="D198" t="s">
        <v>34</v>
      </c>
      <c r="E198">
        <v>69661</v>
      </c>
      <c r="F198">
        <v>0</v>
      </c>
      <c r="G198">
        <v>0</v>
      </c>
      <c r="H198" t="s">
        <v>129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>
        <v>9938</v>
      </c>
      <c r="B199">
        <v>1954</v>
      </c>
      <c r="C199" t="s">
        <v>29</v>
      </c>
      <c r="D199" t="s">
        <v>34</v>
      </c>
      <c r="E199">
        <v>80067</v>
      </c>
      <c r="F199">
        <v>0</v>
      </c>
      <c r="G199">
        <v>0</v>
      </c>
      <c r="H199" t="s">
        <v>130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>
        <v>6422</v>
      </c>
      <c r="B200">
        <v>1954</v>
      </c>
      <c r="C200" t="s">
        <v>29</v>
      </c>
      <c r="D200" t="s">
        <v>34</v>
      </c>
      <c r="E200">
        <v>86718</v>
      </c>
      <c r="F200">
        <v>0</v>
      </c>
      <c r="G200">
        <v>0</v>
      </c>
      <c r="H200" t="s">
        <v>131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>
        <v>3182</v>
      </c>
      <c r="B201">
        <v>1973</v>
      </c>
      <c r="C201" t="s">
        <v>33</v>
      </c>
      <c r="D201" t="s">
        <v>30</v>
      </c>
      <c r="E201">
        <v>46854</v>
      </c>
      <c r="F201">
        <v>1</v>
      </c>
      <c r="G201">
        <v>1</v>
      </c>
      <c r="H201" t="s">
        <v>132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25">
      <c r="A202">
        <v>7300</v>
      </c>
      <c r="B202">
        <v>1952</v>
      </c>
      <c r="C202" t="s">
        <v>29</v>
      </c>
      <c r="D202" t="s">
        <v>37</v>
      </c>
      <c r="E202">
        <v>69142</v>
      </c>
      <c r="F202">
        <v>0</v>
      </c>
      <c r="G202">
        <v>1</v>
      </c>
      <c r="H202" t="s">
        <v>133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5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s="2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5">
      <c r="A204">
        <v>8727</v>
      </c>
      <c r="B204">
        <v>1978</v>
      </c>
      <c r="C204" t="s">
        <v>29</v>
      </c>
      <c r="D204" t="s">
        <v>37</v>
      </c>
      <c r="E204">
        <v>63693</v>
      </c>
      <c r="F204">
        <v>0</v>
      </c>
      <c r="G204">
        <v>1</v>
      </c>
      <c r="H204" t="s">
        <v>134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>
        <v>2798</v>
      </c>
      <c r="B205">
        <v>1977</v>
      </c>
      <c r="C205" t="s">
        <v>33</v>
      </c>
      <c r="D205" t="s">
        <v>31</v>
      </c>
      <c r="E205">
        <v>102160</v>
      </c>
      <c r="F205">
        <v>0</v>
      </c>
      <c r="G205">
        <v>0</v>
      </c>
      <c r="H205" s="2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25">
      <c r="A206">
        <v>1030</v>
      </c>
      <c r="B206">
        <v>1965</v>
      </c>
      <c r="C206" t="s">
        <v>33</v>
      </c>
      <c r="D206" t="s">
        <v>30</v>
      </c>
      <c r="E206">
        <v>40637</v>
      </c>
      <c r="F206">
        <v>1</v>
      </c>
      <c r="G206">
        <v>1</v>
      </c>
      <c r="H206" t="s">
        <v>135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>
        <v>624</v>
      </c>
      <c r="B207">
        <v>1984</v>
      </c>
      <c r="C207" t="s">
        <v>36</v>
      </c>
      <c r="D207" t="s">
        <v>30</v>
      </c>
      <c r="E207">
        <v>18890</v>
      </c>
      <c r="F207">
        <v>0</v>
      </c>
      <c r="G207">
        <v>0</v>
      </c>
      <c r="H207" s="2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25">
      <c r="A208">
        <v>5176</v>
      </c>
      <c r="B208">
        <v>1988</v>
      </c>
      <c r="C208" t="s">
        <v>29</v>
      </c>
      <c r="D208" t="s">
        <v>31</v>
      </c>
      <c r="E208">
        <v>29604</v>
      </c>
      <c r="F208">
        <v>1</v>
      </c>
      <c r="G208">
        <v>0</v>
      </c>
      <c r="H208" s="2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>
        <v>5552</v>
      </c>
      <c r="B209">
        <v>1963</v>
      </c>
      <c r="C209" t="s">
        <v>36</v>
      </c>
      <c r="D209" t="s">
        <v>37</v>
      </c>
      <c r="E209">
        <v>48721</v>
      </c>
      <c r="F209">
        <v>1</v>
      </c>
      <c r="G209">
        <v>1</v>
      </c>
      <c r="H209" t="s">
        <v>136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25">
      <c r="A210">
        <v>868</v>
      </c>
      <c r="B210">
        <v>1966</v>
      </c>
      <c r="C210" t="s">
        <v>29</v>
      </c>
      <c r="D210" t="s">
        <v>34</v>
      </c>
      <c r="E210">
        <v>44794</v>
      </c>
      <c r="F210">
        <v>0</v>
      </c>
      <c r="G210">
        <v>1</v>
      </c>
      <c r="H210" s="2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>
        <v>380</v>
      </c>
      <c r="B211">
        <v>1954</v>
      </c>
      <c r="C211" t="s">
        <v>29</v>
      </c>
      <c r="D211" t="s">
        <v>37</v>
      </c>
      <c r="E211">
        <v>64497</v>
      </c>
      <c r="F211">
        <v>0</v>
      </c>
      <c r="G211">
        <v>1</v>
      </c>
      <c r="H211" s="2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25">
      <c r="A212">
        <v>2677</v>
      </c>
      <c r="B212">
        <v>1956</v>
      </c>
      <c r="C212" t="s">
        <v>29</v>
      </c>
      <c r="D212" t="s">
        <v>31</v>
      </c>
      <c r="E212">
        <v>46097</v>
      </c>
      <c r="F212">
        <v>0</v>
      </c>
      <c r="G212">
        <v>1</v>
      </c>
      <c r="H212" t="s">
        <v>137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5">
      <c r="A213">
        <v>6521</v>
      </c>
      <c r="B213">
        <v>1954</v>
      </c>
      <c r="C213" t="s">
        <v>29</v>
      </c>
      <c r="D213" t="s">
        <v>31</v>
      </c>
      <c r="E213">
        <v>77972</v>
      </c>
      <c r="F213">
        <v>0</v>
      </c>
      <c r="G213">
        <v>0</v>
      </c>
      <c r="H213" t="s">
        <v>138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>
        <v>6927</v>
      </c>
      <c r="B214">
        <v>1968</v>
      </c>
      <c r="C214" t="s">
        <v>33</v>
      </c>
      <c r="D214" t="s">
        <v>34</v>
      </c>
      <c r="E214">
        <v>44377</v>
      </c>
      <c r="F214">
        <v>1</v>
      </c>
      <c r="G214">
        <v>1</v>
      </c>
      <c r="H214" s="2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>
        <v>2877</v>
      </c>
      <c r="B215">
        <v>1974</v>
      </c>
      <c r="C215" t="s">
        <v>36</v>
      </c>
      <c r="D215" t="s">
        <v>31</v>
      </c>
      <c r="E215">
        <v>46014</v>
      </c>
      <c r="F215">
        <v>1</v>
      </c>
      <c r="G215">
        <v>1</v>
      </c>
      <c r="H215" t="s">
        <v>139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>
        <v>0</v>
      </c>
      <c r="B216">
        <v>1985</v>
      </c>
      <c r="C216" t="s">
        <v>29</v>
      </c>
      <c r="D216" t="s">
        <v>34</v>
      </c>
      <c r="E216">
        <v>70951</v>
      </c>
      <c r="F216">
        <v>0</v>
      </c>
      <c r="G216">
        <v>0</v>
      </c>
      <c r="H216" s="2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>
        <v>1584</v>
      </c>
      <c r="B217">
        <v>1977</v>
      </c>
      <c r="C217" t="s">
        <v>29</v>
      </c>
      <c r="D217" t="s">
        <v>34</v>
      </c>
      <c r="E217">
        <v>41443</v>
      </c>
      <c r="F217">
        <v>1</v>
      </c>
      <c r="G217">
        <v>0</v>
      </c>
      <c r="H217" s="2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>
        <v>7264</v>
      </c>
      <c r="B218">
        <v>1978</v>
      </c>
      <c r="C218" t="s">
        <v>46</v>
      </c>
      <c r="D218" t="s">
        <v>30</v>
      </c>
      <c r="E218">
        <v>52195</v>
      </c>
      <c r="F218">
        <v>2</v>
      </c>
      <c r="G218">
        <v>1</v>
      </c>
      <c r="H218" s="2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>
        <v>6274</v>
      </c>
      <c r="B219">
        <v>1948</v>
      </c>
      <c r="C219" t="s">
        <v>36</v>
      </c>
      <c r="D219" t="s">
        <v>34</v>
      </c>
      <c r="E219">
        <v>83790</v>
      </c>
      <c r="F219">
        <v>0</v>
      </c>
      <c r="G219">
        <v>0</v>
      </c>
      <c r="H219" t="s">
        <v>40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>
        <v>1377</v>
      </c>
      <c r="B220">
        <v>1954</v>
      </c>
      <c r="C220" t="s">
        <v>36</v>
      </c>
      <c r="D220" t="s">
        <v>57</v>
      </c>
      <c r="E220">
        <v>44551</v>
      </c>
      <c r="F220">
        <v>0</v>
      </c>
      <c r="G220">
        <v>1</v>
      </c>
      <c r="H220" t="s">
        <v>140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5">
      <c r="A221">
        <v>454</v>
      </c>
      <c r="B221">
        <v>1980</v>
      </c>
      <c r="C221" t="s">
        <v>29</v>
      </c>
      <c r="D221" t="s">
        <v>31</v>
      </c>
      <c r="E221">
        <v>69508</v>
      </c>
      <c r="F221">
        <v>1</v>
      </c>
      <c r="G221">
        <v>0</v>
      </c>
      <c r="H221" t="s">
        <v>141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>
        <v>1755</v>
      </c>
      <c r="B222">
        <v>1988</v>
      </c>
      <c r="C222" t="s">
        <v>46</v>
      </c>
      <c r="D222" t="s">
        <v>31</v>
      </c>
      <c r="E222">
        <v>45204</v>
      </c>
      <c r="F222">
        <v>1</v>
      </c>
      <c r="G222">
        <v>0</v>
      </c>
      <c r="H222" s="2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5">
      <c r="A223">
        <v>2075</v>
      </c>
      <c r="B223">
        <v>1969</v>
      </c>
      <c r="C223" t="s">
        <v>29</v>
      </c>
      <c r="D223" t="s">
        <v>34</v>
      </c>
      <c r="E223">
        <v>72460</v>
      </c>
      <c r="F223">
        <v>0</v>
      </c>
      <c r="G223">
        <v>0</v>
      </c>
      <c r="H223" t="s">
        <v>93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5">
      <c r="A224">
        <v>4785</v>
      </c>
      <c r="B224">
        <v>1970</v>
      </c>
      <c r="C224" t="s">
        <v>33</v>
      </c>
      <c r="D224" t="s">
        <v>31</v>
      </c>
      <c r="E224">
        <v>77622</v>
      </c>
      <c r="F224">
        <v>0</v>
      </c>
      <c r="G224">
        <v>2</v>
      </c>
      <c r="H224" t="s">
        <v>142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>
        <v>9076</v>
      </c>
      <c r="B225">
        <v>1980</v>
      </c>
      <c r="C225" t="s">
        <v>33</v>
      </c>
      <c r="D225" t="s">
        <v>34</v>
      </c>
      <c r="E225">
        <v>30732</v>
      </c>
      <c r="F225">
        <v>1</v>
      </c>
      <c r="G225">
        <v>0</v>
      </c>
      <c r="H225" s="2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>
        <v>7079</v>
      </c>
      <c r="B226">
        <v>1962</v>
      </c>
      <c r="C226" t="s">
        <v>29</v>
      </c>
      <c r="D226" t="s">
        <v>37</v>
      </c>
      <c r="E226">
        <v>63887</v>
      </c>
      <c r="F226">
        <v>0</v>
      </c>
      <c r="G226">
        <v>1</v>
      </c>
      <c r="H226" s="2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>
        <v>4653</v>
      </c>
      <c r="B227">
        <v>1978</v>
      </c>
      <c r="C227" t="s">
        <v>29</v>
      </c>
      <c r="D227" t="s">
        <v>31</v>
      </c>
      <c r="E227">
        <v>42011</v>
      </c>
      <c r="F227">
        <v>1</v>
      </c>
      <c r="G227">
        <v>0</v>
      </c>
      <c r="H227" t="s">
        <v>143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>
        <v>7375</v>
      </c>
      <c r="B228">
        <v>1976</v>
      </c>
      <c r="C228" t="s">
        <v>29</v>
      </c>
      <c r="D228" t="s">
        <v>31</v>
      </c>
      <c r="E228">
        <v>51369</v>
      </c>
      <c r="F228">
        <v>0</v>
      </c>
      <c r="G228">
        <v>1</v>
      </c>
      <c r="H228" t="s">
        <v>144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>
        <v>709</v>
      </c>
      <c r="B229">
        <v>1952</v>
      </c>
      <c r="C229" t="s">
        <v>29</v>
      </c>
      <c r="D229" t="s">
        <v>37</v>
      </c>
      <c r="E229">
        <v>51537</v>
      </c>
      <c r="F229">
        <v>0</v>
      </c>
      <c r="G229">
        <v>1</v>
      </c>
      <c r="H229" s="2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>
        <v>460</v>
      </c>
      <c r="B230">
        <v>1972</v>
      </c>
      <c r="C230" t="s">
        <v>33</v>
      </c>
      <c r="D230" t="s">
        <v>34</v>
      </c>
      <c r="E230">
        <v>79930</v>
      </c>
      <c r="F230">
        <v>0</v>
      </c>
      <c r="G230">
        <v>0</v>
      </c>
      <c r="H230" s="2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5">
      <c r="A231">
        <v>3726</v>
      </c>
      <c r="B231">
        <v>1986</v>
      </c>
      <c r="C231" t="s">
        <v>33</v>
      </c>
      <c r="D231" t="s">
        <v>31</v>
      </c>
      <c r="E231">
        <v>34320</v>
      </c>
      <c r="F231">
        <v>1</v>
      </c>
      <c r="G231">
        <v>0</v>
      </c>
      <c r="H231" t="s">
        <v>145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t="s">
        <v>146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25">
      <c r="A233">
        <v>5341</v>
      </c>
      <c r="B233">
        <v>1962</v>
      </c>
      <c r="C233" t="s">
        <v>46</v>
      </c>
      <c r="D233" t="s">
        <v>37</v>
      </c>
      <c r="E233">
        <v>81975</v>
      </c>
      <c r="F233">
        <v>0</v>
      </c>
      <c r="G233">
        <v>1</v>
      </c>
      <c r="H233" s="2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25">
      <c r="A234">
        <v>1606</v>
      </c>
      <c r="B234">
        <v>1971</v>
      </c>
      <c r="C234" t="s">
        <v>29</v>
      </c>
      <c r="D234" t="s">
        <v>31</v>
      </c>
      <c r="E234">
        <v>38590</v>
      </c>
      <c r="F234">
        <v>1</v>
      </c>
      <c r="G234">
        <v>0</v>
      </c>
      <c r="H234" t="s">
        <v>147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t="s">
        <v>148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>
        <v>3233</v>
      </c>
      <c r="B236">
        <v>1965</v>
      </c>
      <c r="C236" t="s">
        <v>33</v>
      </c>
      <c r="D236" t="s">
        <v>34</v>
      </c>
      <c r="E236">
        <v>62745</v>
      </c>
      <c r="F236">
        <v>0</v>
      </c>
      <c r="G236">
        <v>1</v>
      </c>
      <c r="H236" t="s">
        <v>149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>
        <v>89</v>
      </c>
      <c r="B237">
        <v>1975</v>
      </c>
      <c r="C237" t="s">
        <v>46</v>
      </c>
      <c r="D237" t="s">
        <v>34</v>
      </c>
      <c r="E237">
        <v>22212</v>
      </c>
      <c r="F237">
        <v>1</v>
      </c>
      <c r="G237">
        <v>0</v>
      </c>
      <c r="H237" s="2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5">
      <c r="A238">
        <v>2936</v>
      </c>
      <c r="B238">
        <v>1982</v>
      </c>
      <c r="C238" t="s">
        <v>36</v>
      </c>
      <c r="D238" t="s">
        <v>31</v>
      </c>
      <c r="E238">
        <v>23661</v>
      </c>
      <c r="F238">
        <v>1</v>
      </c>
      <c r="G238">
        <v>0</v>
      </c>
      <c r="H238" s="2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>
        <v>9449</v>
      </c>
      <c r="B239">
        <v>1958</v>
      </c>
      <c r="C239" t="s">
        <v>33</v>
      </c>
      <c r="D239" t="s">
        <v>30</v>
      </c>
      <c r="E239">
        <v>79761</v>
      </c>
      <c r="F239">
        <v>0</v>
      </c>
      <c r="G239">
        <v>1</v>
      </c>
      <c r="H239" s="2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t="s">
        <v>150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>
        <v>11004</v>
      </c>
      <c r="B241">
        <v>1893</v>
      </c>
      <c r="C241" t="s">
        <v>46</v>
      </c>
      <c r="D241" t="s">
        <v>30</v>
      </c>
      <c r="E241">
        <v>60182</v>
      </c>
      <c r="F241">
        <v>0</v>
      </c>
      <c r="G241">
        <v>1</v>
      </c>
      <c r="H241" t="s">
        <v>151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25">
      <c r="A242">
        <v>313</v>
      </c>
      <c r="B242">
        <v>1968</v>
      </c>
      <c r="C242" t="s">
        <v>29</v>
      </c>
      <c r="D242" t="s">
        <v>57</v>
      </c>
      <c r="E242">
        <v>73455</v>
      </c>
      <c r="F242">
        <v>0</v>
      </c>
      <c r="G242">
        <v>0</v>
      </c>
      <c r="H242" t="s">
        <v>152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5">
      <c r="A243">
        <v>9940</v>
      </c>
      <c r="B243">
        <v>1958</v>
      </c>
      <c r="C243" t="s">
        <v>29</v>
      </c>
      <c r="D243" t="s">
        <v>31</v>
      </c>
      <c r="E243">
        <v>64961</v>
      </c>
      <c r="F243">
        <v>0</v>
      </c>
      <c r="G243">
        <v>1</v>
      </c>
      <c r="H243" t="s">
        <v>47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5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t="s">
        <v>153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>
        <v>9529</v>
      </c>
      <c r="B245">
        <v>1990</v>
      </c>
      <c r="C245" t="s">
        <v>29</v>
      </c>
      <c r="D245" t="s">
        <v>34</v>
      </c>
      <c r="E245">
        <v>73687</v>
      </c>
      <c r="F245">
        <v>0</v>
      </c>
      <c r="G245">
        <v>0</v>
      </c>
      <c r="H245" t="s">
        <v>154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25">
      <c r="A246">
        <v>6439</v>
      </c>
      <c r="B246">
        <v>1958</v>
      </c>
      <c r="C246" t="s">
        <v>29</v>
      </c>
      <c r="D246" t="s">
        <v>34</v>
      </c>
      <c r="E246">
        <v>61074</v>
      </c>
      <c r="F246">
        <v>0</v>
      </c>
      <c r="G246">
        <v>1</v>
      </c>
      <c r="H246" t="s">
        <v>155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>
        <v>7411</v>
      </c>
      <c r="B247">
        <v>1964</v>
      </c>
      <c r="C247" t="s">
        <v>33</v>
      </c>
      <c r="D247" t="s">
        <v>34</v>
      </c>
      <c r="E247">
        <v>31686</v>
      </c>
      <c r="F247">
        <v>1</v>
      </c>
      <c r="G247">
        <v>1</v>
      </c>
      <c r="H247" s="2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>
        <v>2176</v>
      </c>
      <c r="B248">
        <v>1972</v>
      </c>
      <c r="C248" t="s">
        <v>29</v>
      </c>
      <c r="D248" t="s">
        <v>34</v>
      </c>
      <c r="E248">
        <v>80134</v>
      </c>
      <c r="F248">
        <v>1</v>
      </c>
      <c r="G248">
        <v>0</v>
      </c>
      <c r="H248" t="s">
        <v>156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25">
      <c r="A249">
        <v>9265</v>
      </c>
      <c r="B249">
        <v>1953</v>
      </c>
      <c r="C249" t="s">
        <v>29</v>
      </c>
      <c r="D249" t="s">
        <v>34</v>
      </c>
      <c r="E249">
        <v>75027</v>
      </c>
      <c r="F249">
        <v>0</v>
      </c>
      <c r="G249">
        <v>1</v>
      </c>
      <c r="H249" s="2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>
        <v>8867</v>
      </c>
      <c r="B250">
        <v>1988</v>
      </c>
      <c r="C250" t="s">
        <v>33</v>
      </c>
      <c r="D250" t="s">
        <v>34</v>
      </c>
      <c r="E250">
        <v>67546</v>
      </c>
      <c r="F250">
        <v>0</v>
      </c>
      <c r="G250">
        <v>0</v>
      </c>
      <c r="H250" t="s">
        <v>44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>
        <v>8932</v>
      </c>
      <c r="B251">
        <v>1969</v>
      </c>
      <c r="C251" t="s">
        <v>36</v>
      </c>
      <c r="D251" t="s">
        <v>31</v>
      </c>
      <c r="E251">
        <v>65176</v>
      </c>
      <c r="F251">
        <v>0</v>
      </c>
      <c r="G251">
        <v>1</v>
      </c>
      <c r="H251" t="s">
        <v>54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>
        <v>10236</v>
      </c>
      <c r="B252">
        <v>1975</v>
      </c>
      <c r="C252" t="s">
        <v>36</v>
      </c>
      <c r="D252" t="s">
        <v>30</v>
      </c>
      <c r="E252">
        <v>31160</v>
      </c>
      <c r="F252">
        <v>1</v>
      </c>
      <c r="G252">
        <v>0</v>
      </c>
      <c r="H252" t="s">
        <v>157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t="s">
        <v>158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>
        <v>10089</v>
      </c>
      <c r="B254">
        <v>1974</v>
      </c>
      <c r="C254" t="s">
        <v>29</v>
      </c>
      <c r="D254" t="s">
        <v>37</v>
      </c>
      <c r="E254">
        <v>102692</v>
      </c>
      <c r="F254">
        <v>0</v>
      </c>
      <c r="G254">
        <v>0</v>
      </c>
      <c r="H254" s="2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25">
      <c r="A255">
        <v>2227</v>
      </c>
      <c r="B255">
        <v>1958</v>
      </c>
      <c r="C255" t="s">
        <v>46</v>
      </c>
      <c r="D255" t="s">
        <v>31</v>
      </c>
      <c r="E255">
        <v>26490</v>
      </c>
      <c r="F255">
        <v>0</v>
      </c>
      <c r="G255">
        <v>0</v>
      </c>
      <c r="H255" t="s">
        <v>159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>
        <v>10992</v>
      </c>
      <c r="B256">
        <v>1967</v>
      </c>
      <c r="C256" t="s">
        <v>29</v>
      </c>
      <c r="D256" t="s">
        <v>31</v>
      </c>
      <c r="E256">
        <v>75702</v>
      </c>
      <c r="F256">
        <v>1</v>
      </c>
      <c r="G256">
        <v>1</v>
      </c>
      <c r="H256" t="s">
        <v>73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>
        <v>5304</v>
      </c>
      <c r="B257">
        <v>1974</v>
      </c>
      <c r="C257" t="s">
        <v>33</v>
      </c>
      <c r="D257" t="s">
        <v>30</v>
      </c>
      <c r="E257">
        <v>30899</v>
      </c>
      <c r="F257">
        <v>1</v>
      </c>
      <c r="G257">
        <v>0</v>
      </c>
      <c r="H257" t="s">
        <v>160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>
        <v>309</v>
      </c>
      <c r="B258">
        <v>1961</v>
      </c>
      <c r="C258" t="s">
        <v>33</v>
      </c>
      <c r="D258" t="s">
        <v>31</v>
      </c>
      <c r="E258">
        <v>63342</v>
      </c>
      <c r="F258">
        <v>0</v>
      </c>
      <c r="G258">
        <v>1</v>
      </c>
      <c r="H258" t="s">
        <v>161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t="s">
        <v>162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s="2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>
        <v>3153</v>
      </c>
      <c r="B261">
        <v>1957</v>
      </c>
      <c r="C261" t="s">
        <v>33</v>
      </c>
      <c r="D261" t="s">
        <v>30</v>
      </c>
      <c r="E261">
        <v>40737</v>
      </c>
      <c r="F261">
        <v>2</v>
      </c>
      <c r="G261">
        <v>1</v>
      </c>
      <c r="H261" s="2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>
        <v>10264</v>
      </c>
      <c r="B262">
        <v>1979</v>
      </c>
      <c r="C262" t="s">
        <v>29</v>
      </c>
      <c r="D262" t="s">
        <v>37</v>
      </c>
      <c r="E262">
        <v>15287</v>
      </c>
      <c r="F262">
        <v>1</v>
      </c>
      <c r="G262">
        <v>0</v>
      </c>
      <c r="H262" s="2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25">
      <c r="A263">
        <v>1184</v>
      </c>
      <c r="B263">
        <v>1968</v>
      </c>
      <c r="C263" t="s">
        <v>33</v>
      </c>
      <c r="D263" t="s">
        <v>37</v>
      </c>
      <c r="E263">
        <v>69674</v>
      </c>
      <c r="F263">
        <v>0</v>
      </c>
      <c r="G263">
        <v>2</v>
      </c>
      <c r="H263" t="s">
        <v>163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>
        <v>4200</v>
      </c>
      <c r="B264">
        <v>1970</v>
      </c>
      <c r="C264" t="s">
        <v>36</v>
      </c>
      <c r="D264" t="s">
        <v>34</v>
      </c>
      <c r="E264">
        <v>44159</v>
      </c>
      <c r="F264">
        <v>1</v>
      </c>
      <c r="G264">
        <v>0</v>
      </c>
      <c r="H264" t="s">
        <v>164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>
        <v>9396</v>
      </c>
      <c r="B265">
        <v>1978</v>
      </c>
      <c r="C265" t="s">
        <v>33</v>
      </c>
      <c r="D265" t="s">
        <v>34</v>
      </c>
      <c r="E265">
        <v>37717</v>
      </c>
      <c r="F265">
        <v>1</v>
      </c>
      <c r="G265">
        <v>0</v>
      </c>
      <c r="H265" t="s">
        <v>165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>
        <v>2387</v>
      </c>
      <c r="B266">
        <v>1952</v>
      </c>
      <c r="C266" t="s">
        <v>36</v>
      </c>
      <c r="D266" t="s">
        <v>31</v>
      </c>
      <c r="E266">
        <v>43776</v>
      </c>
      <c r="F266">
        <v>1</v>
      </c>
      <c r="G266">
        <v>1</v>
      </c>
      <c r="H266" s="2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25">
      <c r="A267">
        <v>6690</v>
      </c>
      <c r="B267">
        <v>1966</v>
      </c>
      <c r="C267" t="s">
        <v>36</v>
      </c>
      <c r="D267" t="s">
        <v>34</v>
      </c>
      <c r="E267">
        <v>38179</v>
      </c>
      <c r="F267">
        <v>1</v>
      </c>
      <c r="G267">
        <v>1</v>
      </c>
      <c r="H267" t="s">
        <v>166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>
        <v>1225</v>
      </c>
      <c r="B268">
        <v>1963</v>
      </c>
      <c r="C268" t="s">
        <v>29</v>
      </c>
      <c r="D268" t="s">
        <v>34</v>
      </c>
      <c r="E268">
        <v>80124</v>
      </c>
      <c r="F268">
        <v>0</v>
      </c>
      <c r="G268">
        <v>0</v>
      </c>
      <c r="H268" t="s">
        <v>167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>
        <v>9703</v>
      </c>
      <c r="B269">
        <v>1970</v>
      </c>
      <c r="C269" t="s">
        <v>33</v>
      </c>
      <c r="D269" t="s">
        <v>34</v>
      </c>
      <c r="E269">
        <v>38097</v>
      </c>
      <c r="F269">
        <v>1</v>
      </c>
      <c r="G269">
        <v>1</v>
      </c>
      <c r="H269" t="s">
        <v>168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5">
      <c r="A270">
        <v>291</v>
      </c>
      <c r="B270">
        <v>1970</v>
      </c>
      <c r="C270" t="s">
        <v>29</v>
      </c>
      <c r="D270" t="s">
        <v>34</v>
      </c>
      <c r="E270">
        <v>72940</v>
      </c>
      <c r="F270">
        <v>0</v>
      </c>
      <c r="G270">
        <v>0</v>
      </c>
      <c r="H270" t="s">
        <v>169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5">
      <c r="A271">
        <v>4557</v>
      </c>
      <c r="B271">
        <v>1970</v>
      </c>
      <c r="C271" t="s">
        <v>29</v>
      </c>
      <c r="D271" t="s">
        <v>31</v>
      </c>
      <c r="E271">
        <v>22070</v>
      </c>
      <c r="F271">
        <v>1</v>
      </c>
      <c r="G271">
        <v>0</v>
      </c>
      <c r="H271" s="2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t="s">
        <v>159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25">
      <c r="A273">
        <v>5726</v>
      </c>
      <c r="B273">
        <v>1983</v>
      </c>
      <c r="C273" t="s">
        <v>36</v>
      </c>
      <c r="D273" t="s">
        <v>30</v>
      </c>
      <c r="E273">
        <v>31788</v>
      </c>
      <c r="F273">
        <v>1</v>
      </c>
      <c r="G273">
        <v>0</v>
      </c>
      <c r="H273" t="s">
        <v>170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25">
      <c r="A274">
        <v>3066</v>
      </c>
      <c r="B274">
        <v>1975</v>
      </c>
      <c r="C274" t="s">
        <v>33</v>
      </c>
      <c r="D274" t="s">
        <v>31</v>
      </c>
      <c r="E274">
        <v>61905</v>
      </c>
      <c r="F274">
        <v>0</v>
      </c>
      <c r="G274">
        <v>1</v>
      </c>
      <c r="H274" s="2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>
        <v>6336</v>
      </c>
      <c r="B275">
        <v>1960</v>
      </c>
      <c r="C275" t="s">
        <v>29</v>
      </c>
      <c r="D275" t="s">
        <v>34</v>
      </c>
      <c r="E275">
        <v>29315</v>
      </c>
      <c r="F275">
        <v>1</v>
      </c>
      <c r="G275">
        <v>1</v>
      </c>
      <c r="H275" s="2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>
        <v>10967</v>
      </c>
      <c r="B276">
        <v>1963</v>
      </c>
      <c r="C276" t="s">
        <v>29</v>
      </c>
      <c r="D276" t="s">
        <v>37</v>
      </c>
      <c r="E276">
        <v>33378</v>
      </c>
      <c r="F276">
        <v>1</v>
      </c>
      <c r="G276">
        <v>1</v>
      </c>
      <c r="H276" s="2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5">
      <c r="A277">
        <v>2304</v>
      </c>
      <c r="B277">
        <v>1963</v>
      </c>
      <c r="C277" t="s">
        <v>33</v>
      </c>
      <c r="D277" t="s">
        <v>31</v>
      </c>
      <c r="E277">
        <v>66313</v>
      </c>
      <c r="F277">
        <v>0</v>
      </c>
      <c r="G277">
        <v>1</v>
      </c>
      <c r="H277" t="s">
        <v>157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t="s">
        <v>131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25">
      <c r="A279">
        <v>7828</v>
      </c>
      <c r="B279">
        <v>1981</v>
      </c>
      <c r="C279" t="s">
        <v>36</v>
      </c>
      <c r="D279" t="s">
        <v>31</v>
      </c>
      <c r="E279">
        <v>77882</v>
      </c>
      <c r="F279">
        <v>0</v>
      </c>
      <c r="G279">
        <v>0</v>
      </c>
      <c r="H279" t="s">
        <v>70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>
        <v>3762</v>
      </c>
      <c r="B280">
        <v>1986</v>
      </c>
      <c r="C280" t="s">
        <v>33</v>
      </c>
      <c r="D280" t="s">
        <v>30</v>
      </c>
      <c r="E280">
        <v>69867</v>
      </c>
      <c r="F280">
        <v>0</v>
      </c>
      <c r="G280">
        <v>0</v>
      </c>
      <c r="H280" s="2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25">
      <c r="A281">
        <v>4391</v>
      </c>
      <c r="B281">
        <v>1968</v>
      </c>
      <c r="C281" t="s">
        <v>36</v>
      </c>
      <c r="D281" t="s">
        <v>37</v>
      </c>
      <c r="E281">
        <v>63841</v>
      </c>
      <c r="F281">
        <v>0</v>
      </c>
      <c r="G281">
        <v>1</v>
      </c>
      <c r="H281" t="s">
        <v>96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>
        <v>4669</v>
      </c>
      <c r="B282">
        <v>1981</v>
      </c>
      <c r="C282" t="s">
        <v>41</v>
      </c>
      <c r="D282" t="s">
        <v>34</v>
      </c>
      <c r="E282">
        <v>24480</v>
      </c>
      <c r="F282">
        <v>1</v>
      </c>
      <c r="G282">
        <v>0</v>
      </c>
      <c r="H282" s="2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>
        <v>10144</v>
      </c>
      <c r="B283">
        <v>1976</v>
      </c>
      <c r="C283" t="s">
        <v>29</v>
      </c>
      <c r="D283" t="s">
        <v>31</v>
      </c>
      <c r="E283">
        <v>51369</v>
      </c>
      <c r="F283">
        <v>0</v>
      </c>
      <c r="G283">
        <v>1</v>
      </c>
      <c r="H283" t="s">
        <v>144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>
        <v>8652</v>
      </c>
      <c r="B284">
        <v>1946</v>
      </c>
      <c r="C284" t="s">
        <v>29</v>
      </c>
      <c r="D284" t="s">
        <v>31</v>
      </c>
      <c r="E284">
        <v>37760</v>
      </c>
      <c r="F284">
        <v>0</v>
      </c>
      <c r="G284">
        <v>0</v>
      </c>
      <c r="H284" t="s">
        <v>44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>
        <v>1672</v>
      </c>
      <c r="B285">
        <v>1974</v>
      </c>
      <c r="C285" t="s">
        <v>33</v>
      </c>
      <c r="D285" t="s">
        <v>31</v>
      </c>
      <c r="E285">
        <v>65640</v>
      </c>
      <c r="F285">
        <v>0</v>
      </c>
      <c r="G285">
        <v>1</v>
      </c>
      <c r="H285" s="2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>
        <v>8962</v>
      </c>
      <c r="B286">
        <v>1975</v>
      </c>
      <c r="C286" t="s">
        <v>36</v>
      </c>
      <c r="D286" t="s">
        <v>34</v>
      </c>
      <c r="E286">
        <v>44319</v>
      </c>
      <c r="F286">
        <v>1</v>
      </c>
      <c r="G286">
        <v>1</v>
      </c>
      <c r="H286" t="s">
        <v>171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>
        <v>9974</v>
      </c>
      <c r="B287">
        <v>1974</v>
      </c>
      <c r="C287" t="s">
        <v>29</v>
      </c>
      <c r="D287" t="s">
        <v>34</v>
      </c>
      <c r="E287">
        <v>30631</v>
      </c>
      <c r="F287">
        <v>1</v>
      </c>
      <c r="G287">
        <v>0</v>
      </c>
      <c r="H287" s="2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5">
      <c r="A288">
        <v>10983</v>
      </c>
      <c r="B288">
        <v>1952</v>
      </c>
      <c r="C288" t="s">
        <v>29</v>
      </c>
      <c r="D288" t="s">
        <v>31</v>
      </c>
      <c r="E288">
        <v>75278</v>
      </c>
      <c r="F288">
        <v>0</v>
      </c>
      <c r="G288">
        <v>0</v>
      </c>
      <c r="H288" t="s">
        <v>172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>
        <v>8148</v>
      </c>
      <c r="B289">
        <v>1956</v>
      </c>
      <c r="C289" t="s">
        <v>36</v>
      </c>
      <c r="D289" t="s">
        <v>31</v>
      </c>
      <c r="E289">
        <v>50898</v>
      </c>
      <c r="F289">
        <v>1</v>
      </c>
      <c r="G289">
        <v>1</v>
      </c>
      <c r="H289" s="2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>
        <v>10102</v>
      </c>
      <c r="B290">
        <v>1966</v>
      </c>
      <c r="C290" t="s">
        <v>29</v>
      </c>
      <c r="D290" t="s">
        <v>57</v>
      </c>
      <c r="E290">
        <v>79946</v>
      </c>
      <c r="F290">
        <v>0</v>
      </c>
      <c r="G290">
        <v>0</v>
      </c>
      <c r="H290" s="2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>
        <v>4697</v>
      </c>
      <c r="B291">
        <v>1949</v>
      </c>
      <c r="C291" t="s">
        <v>36</v>
      </c>
      <c r="D291" t="s">
        <v>37</v>
      </c>
      <c r="E291">
        <v>35416</v>
      </c>
      <c r="F291">
        <v>0</v>
      </c>
      <c r="G291">
        <v>0</v>
      </c>
      <c r="H291" t="s">
        <v>173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>
        <v>9262</v>
      </c>
      <c r="B292">
        <v>1984</v>
      </c>
      <c r="C292" t="s">
        <v>46</v>
      </c>
      <c r="D292" t="s">
        <v>31</v>
      </c>
      <c r="E292">
        <v>32414</v>
      </c>
      <c r="F292">
        <v>0</v>
      </c>
      <c r="G292">
        <v>0</v>
      </c>
      <c r="H292" s="2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>
        <v>7254</v>
      </c>
      <c r="B293">
        <v>1969</v>
      </c>
      <c r="C293" t="s">
        <v>29</v>
      </c>
      <c r="D293" t="s">
        <v>31</v>
      </c>
      <c r="E293">
        <v>38361</v>
      </c>
      <c r="F293">
        <v>1</v>
      </c>
      <c r="G293">
        <v>0</v>
      </c>
      <c r="H293" t="s">
        <v>174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>
        <v>4543</v>
      </c>
      <c r="B294">
        <v>1980</v>
      </c>
      <c r="C294" t="s">
        <v>29</v>
      </c>
      <c r="D294" t="s">
        <v>34</v>
      </c>
      <c r="E294">
        <v>82497</v>
      </c>
      <c r="F294">
        <v>0</v>
      </c>
      <c r="G294">
        <v>0</v>
      </c>
      <c r="H294" t="s">
        <v>175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>
        <v>4927</v>
      </c>
      <c r="B295">
        <v>1971</v>
      </c>
      <c r="C295" t="s">
        <v>29</v>
      </c>
      <c r="D295" t="s">
        <v>31</v>
      </c>
      <c r="E295">
        <v>16626</v>
      </c>
      <c r="F295">
        <v>2</v>
      </c>
      <c r="G295">
        <v>0</v>
      </c>
      <c r="H295" t="s">
        <v>176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>
        <v>10451</v>
      </c>
      <c r="B296">
        <v>1965</v>
      </c>
      <c r="C296" t="s">
        <v>29</v>
      </c>
      <c r="D296" t="s">
        <v>31</v>
      </c>
      <c r="E296">
        <v>29672</v>
      </c>
      <c r="F296">
        <v>1</v>
      </c>
      <c r="G296">
        <v>1</v>
      </c>
      <c r="H296" s="2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>
        <v>2926</v>
      </c>
      <c r="B297">
        <v>1952</v>
      </c>
      <c r="C297" t="s">
        <v>36</v>
      </c>
      <c r="D297" t="s">
        <v>31</v>
      </c>
      <c r="E297">
        <v>55951</v>
      </c>
      <c r="F297">
        <v>0</v>
      </c>
      <c r="G297">
        <v>1</v>
      </c>
      <c r="H297" t="s">
        <v>177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25">
      <c r="A298">
        <v>2874</v>
      </c>
      <c r="B298">
        <v>1988</v>
      </c>
      <c r="C298" t="s">
        <v>46</v>
      </c>
      <c r="D298" t="s">
        <v>37</v>
      </c>
      <c r="E298">
        <v>35388</v>
      </c>
      <c r="F298">
        <v>1</v>
      </c>
      <c r="G298">
        <v>0</v>
      </c>
      <c r="H298" s="2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5">
      <c r="A299">
        <v>9738</v>
      </c>
      <c r="B299">
        <v>1986</v>
      </c>
      <c r="C299" t="s">
        <v>36</v>
      </c>
      <c r="D299" t="s">
        <v>31</v>
      </c>
      <c r="E299">
        <v>42386</v>
      </c>
      <c r="F299">
        <v>1</v>
      </c>
      <c r="G299">
        <v>0</v>
      </c>
      <c r="H299" t="s">
        <v>178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s="2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>
        <v>3924</v>
      </c>
      <c r="B301">
        <v>1965</v>
      </c>
      <c r="C301" t="s">
        <v>33</v>
      </c>
      <c r="D301" t="s">
        <v>37</v>
      </c>
      <c r="E301">
        <v>57912</v>
      </c>
      <c r="F301">
        <v>0</v>
      </c>
      <c r="G301">
        <v>1</v>
      </c>
      <c r="H301" t="s">
        <v>179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>
        <v>5827</v>
      </c>
      <c r="B302">
        <v>1958</v>
      </c>
      <c r="C302" t="s">
        <v>29</v>
      </c>
      <c r="D302" t="s">
        <v>37</v>
      </c>
      <c r="E302">
        <v>35246</v>
      </c>
      <c r="F302">
        <v>1</v>
      </c>
      <c r="G302">
        <v>1</v>
      </c>
      <c r="H302" t="s">
        <v>148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>
        <v>5596</v>
      </c>
      <c r="B303">
        <v>1956</v>
      </c>
      <c r="C303" t="s">
        <v>46</v>
      </c>
      <c r="D303" t="s">
        <v>31</v>
      </c>
      <c r="E303">
        <v>58821</v>
      </c>
      <c r="F303">
        <v>0</v>
      </c>
      <c r="G303">
        <v>1</v>
      </c>
      <c r="H303" s="2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>
        <v>10812</v>
      </c>
      <c r="B304">
        <v>1978</v>
      </c>
      <c r="C304" t="s">
        <v>33</v>
      </c>
      <c r="D304" t="s">
        <v>34</v>
      </c>
      <c r="E304">
        <v>46377</v>
      </c>
      <c r="F304">
        <v>1</v>
      </c>
      <c r="G304">
        <v>0</v>
      </c>
      <c r="H304" s="2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t="s">
        <v>180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5">
      <c r="A306">
        <v>9491</v>
      </c>
      <c r="B306">
        <v>1984</v>
      </c>
      <c r="C306" t="s">
        <v>29</v>
      </c>
      <c r="D306" t="s">
        <v>31</v>
      </c>
      <c r="E306">
        <v>23976</v>
      </c>
      <c r="F306">
        <v>1</v>
      </c>
      <c r="G306">
        <v>0</v>
      </c>
      <c r="H306" t="s">
        <v>174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5">
      <c r="A307">
        <v>9274</v>
      </c>
      <c r="B307">
        <v>1961</v>
      </c>
      <c r="C307" t="s">
        <v>36</v>
      </c>
      <c r="D307" t="s">
        <v>34</v>
      </c>
      <c r="E307">
        <v>80950</v>
      </c>
      <c r="F307">
        <v>0</v>
      </c>
      <c r="G307">
        <v>0</v>
      </c>
      <c r="H307" t="s">
        <v>45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>
        <v>6609</v>
      </c>
      <c r="B308">
        <v>1966</v>
      </c>
      <c r="C308" t="s">
        <v>29</v>
      </c>
      <c r="D308" t="s">
        <v>57</v>
      </c>
      <c r="E308">
        <v>27038</v>
      </c>
      <c r="F308">
        <v>0</v>
      </c>
      <c r="G308">
        <v>0</v>
      </c>
      <c r="H308" t="s">
        <v>181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25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s="2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>
        <v>4440</v>
      </c>
      <c r="B310">
        <v>1964</v>
      </c>
      <c r="C310" t="s">
        <v>36</v>
      </c>
      <c r="D310" t="s">
        <v>34</v>
      </c>
      <c r="E310">
        <v>64100</v>
      </c>
      <c r="F310">
        <v>0</v>
      </c>
      <c r="G310">
        <v>1</v>
      </c>
      <c r="H310" s="2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5">
      <c r="A311">
        <v>1379</v>
      </c>
      <c r="B311">
        <v>1992</v>
      </c>
      <c r="C311" t="s">
        <v>36</v>
      </c>
      <c r="D311" t="s">
        <v>31</v>
      </c>
      <c r="E311">
        <v>42670</v>
      </c>
      <c r="F311">
        <v>0</v>
      </c>
      <c r="G311">
        <v>0</v>
      </c>
      <c r="H311" t="s">
        <v>182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5">
      <c r="A312">
        <v>10032</v>
      </c>
      <c r="B312">
        <v>1976</v>
      </c>
      <c r="C312" t="s">
        <v>29</v>
      </c>
      <c r="D312" t="s">
        <v>37</v>
      </c>
      <c r="E312">
        <v>12571</v>
      </c>
      <c r="F312">
        <v>1</v>
      </c>
      <c r="G312">
        <v>0</v>
      </c>
      <c r="H312" t="s">
        <v>183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>
        <v>2826</v>
      </c>
      <c r="B313">
        <v>1967</v>
      </c>
      <c r="C313" t="s">
        <v>29</v>
      </c>
      <c r="D313" t="s">
        <v>34</v>
      </c>
      <c r="E313">
        <v>22574</v>
      </c>
      <c r="F313">
        <v>2</v>
      </c>
      <c r="G313">
        <v>1</v>
      </c>
      <c r="H313" t="s">
        <v>152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25">
      <c r="A314">
        <v>2437</v>
      </c>
      <c r="B314">
        <v>1989</v>
      </c>
      <c r="C314" t="s">
        <v>29</v>
      </c>
      <c r="D314" t="s">
        <v>34</v>
      </c>
      <c r="F314">
        <v>0</v>
      </c>
      <c r="G314">
        <v>0</v>
      </c>
      <c r="H314" s="2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>
        <v>6320</v>
      </c>
      <c r="B315">
        <v>1976</v>
      </c>
      <c r="C315" t="s">
        <v>36</v>
      </c>
      <c r="D315" t="s">
        <v>30</v>
      </c>
      <c r="E315">
        <v>70893</v>
      </c>
      <c r="F315">
        <v>0</v>
      </c>
      <c r="G315">
        <v>0</v>
      </c>
      <c r="H315" s="2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>
        <v>3050</v>
      </c>
      <c r="B316">
        <v>1966</v>
      </c>
      <c r="C316" t="s">
        <v>29</v>
      </c>
      <c r="D316" t="s">
        <v>34</v>
      </c>
      <c r="E316">
        <v>54198</v>
      </c>
      <c r="F316">
        <v>1</v>
      </c>
      <c r="G316">
        <v>1</v>
      </c>
      <c r="H316" t="s">
        <v>184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>
        <v>231</v>
      </c>
      <c r="B317">
        <v>1956</v>
      </c>
      <c r="C317" t="s">
        <v>36</v>
      </c>
      <c r="D317" t="s">
        <v>31</v>
      </c>
      <c r="E317">
        <v>28839</v>
      </c>
      <c r="F317">
        <v>1</v>
      </c>
      <c r="G317">
        <v>1</v>
      </c>
      <c r="H317" s="2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>
        <v>2392</v>
      </c>
      <c r="B318">
        <v>1972</v>
      </c>
      <c r="C318" t="s">
        <v>29</v>
      </c>
      <c r="D318" t="s">
        <v>34</v>
      </c>
      <c r="E318">
        <v>40321</v>
      </c>
      <c r="F318">
        <v>1</v>
      </c>
      <c r="G318">
        <v>1</v>
      </c>
      <c r="H318" t="s">
        <v>185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t="s">
        <v>186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5">
      <c r="A320">
        <v>113</v>
      </c>
      <c r="B320">
        <v>1951</v>
      </c>
      <c r="C320" t="s">
        <v>29</v>
      </c>
      <c r="D320" t="s">
        <v>34</v>
      </c>
      <c r="E320">
        <v>30833</v>
      </c>
      <c r="F320">
        <v>1</v>
      </c>
      <c r="G320">
        <v>1</v>
      </c>
      <c r="H320" t="s">
        <v>76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5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t="s">
        <v>187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>
        <v>1802</v>
      </c>
      <c r="B322">
        <v>1971</v>
      </c>
      <c r="C322" t="s">
        <v>29</v>
      </c>
      <c r="D322" t="s">
        <v>34</v>
      </c>
      <c r="E322">
        <v>64795</v>
      </c>
      <c r="F322">
        <v>0</v>
      </c>
      <c r="G322">
        <v>1</v>
      </c>
      <c r="H322" t="s">
        <v>131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>
        <v>520</v>
      </c>
      <c r="B323">
        <v>1974</v>
      </c>
      <c r="C323" t="s">
        <v>29</v>
      </c>
      <c r="D323" t="s">
        <v>34</v>
      </c>
      <c r="E323">
        <v>34421</v>
      </c>
      <c r="F323">
        <v>1</v>
      </c>
      <c r="G323">
        <v>0</v>
      </c>
      <c r="H323" s="2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>
        <v>8275</v>
      </c>
      <c r="B324">
        <v>1965</v>
      </c>
      <c r="C324" t="s">
        <v>33</v>
      </c>
      <c r="D324" t="s">
        <v>37</v>
      </c>
      <c r="E324">
        <v>47025</v>
      </c>
      <c r="F324">
        <v>1</v>
      </c>
      <c r="G324">
        <v>1</v>
      </c>
      <c r="H324" s="2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>
        <v>9750</v>
      </c>
      <c r="B325">
        <v>1961</v>
      </c>
      <c r="C325" t="s">
        <v>33</v>
      </c>
      <c r="D325" t="s">
        <v>37</v>
      </c>
      <c r="E325">
        <v>64325</v>
      </c>
      <c r="F325">
        <v>0</v>
      </c>
      <c r="G325">
        <v>1</v>
      </c>
      <c r="H325" s="2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s="2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>
        <v>7214</v>
      </c>
      <c r="B327">
        <v>1957</v>
      </c>
      <c r="C327" t="s">
        <v>29</v>
      </c>
      <c r="D327" t="s">
        <v>34</v>
      </c>
      <c r="E327">
        <v>62187</v>
      </c>
      <c r="F327">
        <v>0</v>
      </c>
      <c r="G327">
        <v>0</v>
      </c>
      <c r="H327" s="2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5">
      <c r="A328">
        <v>5835</v>
      </c>
      <c r="B328">
        <v>1976</v>
      </c>
      <c r="C328" t="s">
        <v>33</v>
      </c>
      <c r="D328" t="s">
        <v>37</v>
      </c>
      <c r="E328">
        <v>14849</v>
      </c>
      <c r="F328">
        <v>1</v>
      </c>
      <c r="G328">
        <v>0</v>
      </c>
      <c r="H328" s="2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5">
      <c r="A329">
        <v>3896</v>
      </c>
      <c r="B329">
        <v>1984</v>
      </c>
      <c r="C329" t="s">
        <v>29</v>
      </c>
      <c r="D329" t="s">
        <v>34</v>
      </c>
      <c r="E329">
        <v>27255</v>
      </c>
      <c r="F329">
        <v>1</v>
      </c>
      <c r="G329">
        <v>0</v>
      </c>
      <c r="H329" s="2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5">
      <c r="A330">
        <v>10350</v>
      </c>
      <c r="B330">
        <v>1950</v>
      </c>
      <c r="C330" t="s">
        <v>33</v>
      </c>
      <c r="D330" t="s">
        <v>34</v>
      </c>
      <c r="E330">
        <v>54432</v>
      </c>
      <c r="F330">
        <v>2</v>
      </c>
      <c r="G330">
        <v>1</v>
      </c>
      <c r="H330" s="2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>
        <v>7786</v>
      </c>
      <c r="B331">
        <v>1986</v>
      </c>
      <c r="C331" t="s">
        <v>33</v>
      </c>
      <c r="D331" t="s">
        <v>30</v>
      </c>
      <c r="E331">
        <v>29999</v>
      </c>
      <c r="F331">
        <v>1</v>
      </c>
      <c r="G331">
        <v>0</v>
      </c>
      <c r="H331" t="s">
        <v>188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t="s">
        <v>189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>
        <v>663</v>
      </c>
      <c r="B333">
        <v>1989</v>
      </c>
      <c r="C333" t="s">
        <v>33</v>
      </c>
      <c r="D333" t="s">
        <v>30</v>
      </c>
      <c r="E333">
        <v>33996</v>
      </c>
      <c r="F333">
        <v>0</v>
      </c>
      <c r="G333">
        <v>0</v>
      </c>
      <c r="H333" s="2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>
        <v>10675</v>
      </c>
      <c r="B334">
        <v>1956</v>
      </c>
      <c r="C334" t="s">
        <v>33</v>
      </c>
      <c r="D334" t="s">
        <v>34</v>
      </c>
      <c r="E334">
        <v>66334</v>
      </c>
      <c r="F334">
        <v>0</v>
      </c>
      <c r="G334">
        <v>1</v>
      </c>
      <c r="H334" s="2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5">
      <c r="A335">
        <v>2521</v>
      </c>
      <c r="B335">
        <v>1971</v>
      </c>
      <c r="C335" t="s">
        <v>36</v>
      </c>
      <c r="D335" t="s">
        <v>34</v>
      </c>
      <c r="E335">
        <v>35178</v>
      </c>
      <c r="F335">
        <v>1</v>
      </c>
      <c r="G335">
        <v>0</v>
      </c>
      <c r="H335" s="2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25">
      <c r="A336">
        <v>9592</v>
      </c>
      <c r="B336">
        <v>1983</v>
      </c>
      <c r="C336" t="s">
        <v>29</v>
      </c>
      <c r="D336" t="s">
        <v>31</v>
      </c>
      <c r="E336">
        <v>22010</v>
      </c>
      <c r="F336">
        <v>1</v>
      </c>
      <c r="G336">
        <v>0</v>
      </c>
      <c r="H336" t="s">
        <v>190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>
        <v>10151</v>
      </c>
      <c r="B337">
        <v>1960</v>
      </c>
      <c r="C337" t="s">
        <v>29</v>
      </c>
      <c r="D337" t="s">
        <v>37</v>
      </c>
      <c r="E337">
        <v>62204</v>
      </c>
      <c r="F337">
        <v>0</v>
      </c>
      <c r="G337">
        <v>2</v>
      </c>
      <c r="H337" s="2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>
        <v>7381</v>
      </c>
      <c r="B338">
        <v>1968</v>
      </c>
      <c r="C338" t="s">
        <v>29</v>
      </c>
      <c r="D338" t="s">
        <v>37</v>
      </c>
      <c r="E338">
        <v>75693</v>
      </c>
      <c r="F338">
        <v>0</v>
      </c>
      <c r="G338">
        <v>0</v>
      </c>
      <c r="H338" s="2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25">
      <c r="A339">
        <v>4099</v>
      </c>
      <c r="B339">
        <v>1972</v>
      </c>
      <c r="C339" t="s">
        <v>29</v>
      </c>
      <c r="D339" t="s">
        <v>34</v>
      </c>
      <c r="E339">
        <v>30675</v>
      </c>
      <c r="F339">
        <v>1</v>
      </c>
      <c r="G339">
        <v>0</v>
      </c>
      <c r="H339" s="2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>
        <v>9560</v>
      </c>
      <c r="B340">
        <v>1965</v>
      </c>
      <c r="C340" t="s">
        <v>29</v>
      </c>
      <c r="D340" t="s">
        <v>31</v>
      </c>
      <c r="E340">
        <v>83003</v>
      </c>
      <c r="F340">
        <v>0</v>
      </c>
      <c r="G340">
        <v>0</v>
      </c>
      <c r="H340" s="2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25">
      <c r="A341">
        <v>1150</v>
      </c>
      <c r="B341">
        <v>1899</v>
      </c>
      <c r="C341" t="s">
        <v>33</v>
      </c>
      <c r="D341" t="s">
        <v>31</v>
      </c>
      <c r="E341">
        <v>83532</v>
      </c>
      <c r="F341">
        <v>0</v>
      </c>
      <c r="G341">
        <v>0</v>
      </c>
      <c r="H341" t="s">
        <v>126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s="2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>
        <v>11191</v>
      </c>
      <c r="B343">
        <v>1986</v>
      </c>
      <c r="C343" t="s">
        <v>29</v>
      </c>
      <c r="D343" t="s">
        <v>37</v>
      </c>
      <c r="E343">
        <v>41411</v>
      </c>
      <c r="F343">
        <v>0</v>
      </c>
      <c r="G343">
        <v>0</v>
      </c>
      <c r="H343" s="2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>
        <v>9707</v>
      </c>
      <c r="B344">
        <v>1969</v>
      </c>
      <c r="C344" t="s">
        <v>33</v>
      </c>
      <c r="D344" t="s">
        <v>34</v>
      </c>
      <c r="E344">
        <v>55212</v>
      </c>
      <c r="F344">
        <v>0</v>
      </c>
      <c r="G344">
        <v>1</v>
      </c>
      <c r="H344" t="s">
        <v>165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>
        <v>6245</v>
      </c>
      <c r="B345">
        <v>1950</v>
      </c>
      <c r="C345" t="s">
        <v>33</v>
      </c>
      <c r="D345" t="s">
        <v>31</v>
      </c>
      <c r="E345">
        <v>59292</v>
      </c>
      <c r="F345">
        <v>0</v>
      </c>
      <c r="G345">
        <v>1</v>
      </c>
      <c r="H345" t="s">
        <v>173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>
        <v>8234</v>
      </c>
      <c r="B346">
        <v>1973</v>
      </c>
      <c r="C346" t="s">
        <v>41</v>
      </c>
      <c r="D346" t="s">
        <v>31</v>
      </c>
      <c r="E346">
        <v>27190</v>
      </c>
      <c r="F346">
        <v>1</v>
      </c>
      <c r="G346">
        <v>0</v>
      </c>
      <c r="H346" t="s">
        <v>191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5">
      <c r="A347">
        <v>1411</v>
      </c>
      <c r="B347">
        <v>1952</v>
      </c>
      <c r="C347" t="s">
        <v>29</v>
      </c>
      <c r="D347" t="s">
        <v>37</v>
      </c>
      <c r="E347">
        <v>82623</v>
      </c>
      <c r="F347">
        <v>0</v>
      </c>
      <c r="G347">
        <v>0</v>
      </c>
      <c r="H347" s="2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>
        <v>8553</v>
      </c>
      <c r="B348">
        <v>1965</v>
      </c>
      <c r="C348" t="s">
        <v>29</v>
      </c>
      <c r="D348" t="s">
        <v>34</v>
      </c>
      <c r="E348">
        <v>44300</v>
      </c>
      <c r="F348">
        <v>1</v>
      </c>
      <c r="G348">
        <v>1</v>
      </c>
      <c r="H348" t="s">
        <v>74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>
        <v>1826</v>
      </c>
      <c r="B349">
        <v>1970</v>
      </c>
      <c r="C349" t="s">
        <v>29</v>
      </c>
      <c r="D349" t="s">
        <v>37</v>
      </c>
      <c r="E349">
        <v>84835</v>
      </c>
      <c r="F349">
        <v>0</v>
      </c>
      <c r="G349">
        <v>0</v>
      </c>
      <c r="H349" t="s">
        <v>192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25">
      <c r="A350">
        <v>8842</v>
      </c>
      <c r="B350">
        <v>1971</v>
      </c>
      <c r="C350" t="s">
        <v>29</v>
      </c>
      <c r="D350" t="s">
        <v>57</v>
      </c>
      <c r="E350">
        <v>30372</v>
      </c>
      <c r="F350">
        <v>1</v>
      </c>
      <c r="G350">
        <v>1</v>
      </c>
      <c r="H350" t="s">
        <v>193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>
        <v>11030</v>
      </c>
      <c r="B351">
        <v>1976</v>
      </c>
      <c r="C351" t="s">
        <v>36</v>
      </c>
      <c r="D351" t="s">
        <v>34</v>
      </c>
      <c r="E351">
        <v>33181</v>
      </c>
      <c r="F351">
        <v>1</v>
      </c>
      <c r="G351">
        <v>0</v>
      </c>
      <c r="H351" s="2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>
        <v>2579</v>
      </c>
      <c r="B352">
        <v>1957</v>
      </c>
      <c r="C352" t="s">
        <v>29</v>
      </c>
      <c r="D352" t="s">
        <v>34</v>
      </c>
      <c r="E352">
        <v>71113</v>
      </c>
      <c r="F352">
        <v>0</v>
      </c>
      <c r="G352">
        <v>1</v>
      </c>
      <c r="H352" t="s">
        <v>184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5">
      <c r="A353">
        <v>175</v>
      </c>
      <c r="B353">
        <v>1986</v>
      </c>
      <c r="C353" t="s">
        <v>29</v>
      </c>
      <c r="D353" t="s">
        <v>34</v>
      </c>
      <c r="E353">
        <v>71952</v>
      </c>
      <c r="F353">
        <v>1</v>
      </c>
      <c r="G353">
        <v>0</v>
      </c>
      <c r="H353" s="2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>
        <v>9185</v>
      </c>
      <c r="B354">
        <v>1966</v>
      </c>
      <c r="C354" t="s">
        <v>33</v>
      </c>
      <c r="D354" t="s">
        <v>30</v>
      </c>
      <c r="E354">
        <v>69759</v>
      </c>
      <c r="F354">
        <v>0</v>
      </c>
      <c r="G354">
        <v>0</v>
      </c>
      <c r="H354" t="s">
        <v>152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5">
      <c r="A355">
        <v>11056</v>
      </c>
      <c r="B355">
        <v>1974</v>
      </c>
      <c r="C355" t="s">
        <v>29</v>
      </c>
      <c r="D355" t="s">
        <v>34</v>
      </c>
      <c r="E355">
        <v>72099</v>
      </c>
      <c r="F355">
        <v>0</v>
      </c>
      <c r="G355">
        <v>0</v>
      </c>
      <c r="H355" t="s">
        <v>194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>
        <v>9365</v>
      </c>
      <c r="B356">
        <v>1976</v>
      </c>
      <c r="C356" t="s">
        <v>33</v>
      </c>
      <c r="D356" t="s">
        <v>30</v>
      </c>
      <c r="E356">
        <v>60000</v>
      </c>
      <c r="F356">
        <v>0</v>
      </c>
      <c r="G356">
        <v>1</v>
      </c>
      <c r="H356" t="s">
        <v>195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5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t="s">
        <v>196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25">
      <c r="A358">
        <v>2061</v>
      </c>
      <c r="B358">
        <v>1955</v>
      </c>
      <c r="C358" t="s">
        <v>29</v>
      </c>
      <c r="D358" t="s">
        <v>34</v>
      </c>
      <c r="E358">
        <v>50737</v>
      </c>
      <c r="F358">
        <v>0</v>
      </c>
      <c r="G358">
        <v>1</v>
      </c>
      <c r="H358" s="2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>
        <v>6184</v>
      </c>
      <c r="B359">
        <v>1969</v>
      </c>
      <c r="C359" t="s">
        <v>33</v>
      </c>
      <c r="D359" t="s">
        <v>34</v>
      </c>
      <c r="E359">
        <v>68462</v>
      </c>
      <c r="F359">
        <v>0</v>
      </c>
      <c r="G359">
        <v>0</v>
      </c>
      <c r="H359" s="2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>
        <v>6142</v>
      </c>
      <c r="B360">
        <v>1943</v>
      </c>
      <c r="C360" t="s">
        <v>36</v>
      </c>
      <c r="D360" t="s">
        <v>34</v>
      </c>
      <c r="E360">
        <v>65073</v>
      </c>
      <c r="F360">
        <v>0</v>
      </c>
      <c r="G360">
        <v>0</v>
      </c>
      <c r="H360" t="s">
        <v>113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25">
      <c r="A361">
        <v>4107</v>
      </c>
      <c r="B361">
        <v>1948</v>
      </c>
      <c r="C361" t="s">
        <v>33</v>
      </c>
      <c r="D361" t="s">
        <v>31</v>
      </c>
      <c r="E361">
        <v>46681</v>
      </c>
      <c r="F361">
        <v>0</v>
      </c>
      <c r="G361">
        <v>2</v>
      </c>
      <c r="H361" s="2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5">
      <c r="A362">
        <v>7274</v>
      </c>
      <c r="B362">
        <v>1957</v>
      </c>
      <c r="C362" t="s">
        <v>29</v>
      </c>
      <c r="D362" t="s">
        <v>34</v>
      </c>
      <c r="E362">
        <v>78618</v>
      </c>
      <c r="F362">
        <v>0</v>
      </c>
      <c r="G362">
        <v>0</v>
      </c>
      <c r="H362" t="s">
        <v>197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5">
      <c r="A363">
        <v>9336</v>
      </c>
      <c r="B363">
        <v>1969</v>
      </c>
      <c r="C363" t="s">
        <v>33</v>
      </c>
      <c r="D363" t="s">
        <v>57</v>
      </c>
      <c r="E363">
        <v>62187</v>
      </c>
      <c r="F363">
        <v>0</v>
      </c>
      <c r="G363">
        <v>1</v>
      </c>
      <c r="H363" t="s">
        <v>198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>
        <v>2958</v>
      </c>
      <c r="B364">
        <v>1978</v>
      </c>
      <c r="C364" t="s">
        <v>29</v>
      </c>
      <c r="D364" t="s">
        <v>34</v>
      </c>
      <c r="E364">
        <v>28442</v>
      </c>
      <c r="F364">
        <v>2</v>
      </c>
      <c r="G364">
        <v>0</v>
      </c>
      <c r="H364" t="s">
        <v>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>
        <v>933</v>
      </c>
      <c r="B365">
        <v>1978</v>
      </c>
      <c r="C365" t="s">
        <v>33</v>
      </c>
      <c r="D365" t="s">
        <v>34</v>
      </c>
      <c r="E365">
        <v>37717</v>
      </c>
      <c r="F365">
        <v>1</v>
      </c>
      <c r="G365">
        <v>0</v>
      </c>
      <c r="H365" t="s">
        <v>165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>
        <v>5837</v>
      </c>
      <c r="B366">
        <v>1967</v>
      </c>
      <c r="C366" t="s">
        <v>29</v>
      </c>
      <c r="D366" t="s">
        <v>34</v>
      </c>
      <c r="E366">
        <v>51479</v>
      </c>
      <c r="F366">
        <v>1</v>
      </c>
      <c r="G366">
        <v>1</v>
      </c>
      <c r="H366" t="s">
        <v>199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5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t="s">
        <v>200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5">
      <c r="A368">
        <v>5125</v>
      </c>
      <c r="B368">
        <v>1960</v>
      </c>
      <c r="C368" t="s">
        <v>29</v>
      </c>
      <c r="D368" t="s">
        <v>34</v>
      </c>
      <c r="E368">
        <v>79530</v>
      </c>
      <c r="F368">
        <v>0</v>
      </c>
      <c r="G368">
        <v>0</v>
      </c>
      <c r="H368" t="s">
        <v>88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5">
      <c r="A369">
        <v>4432</v>
      </c>
      <c r="B369">
        <v>1976</v>
      </c>
      <c r="C369" t="s">
        <v>29</v>
      </c>
      <c r="D369" t="s">
        <v>37</v>
      </c>
      <c r="E369">
        <v>31615</v>
      </c>
      <c r="F369">
        <v>1</v>
      </c>
      <c r="G369">
        <v>0</v>
      </c>
      <c r="H369" t="s">
        <v>201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>
        <v>5955</v>
      </c>
      <c r="B370">
        <v>1962</v>
      </c>
      <c r="C370" t="s">
        <v>29</v>
      </c>
      <c r="D370" t="s">
        <v>31</v>
      </c>
      <c r="E370">
        <v>72025</v>
      </c>
      <c r="F370">
        <v>0</v>
      </c>
      <c r="G370">
        <v>0</v>
      </c>
      <c r="H370" t="s">
        <v>202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>
        <v>2928</v>
      </c>
      <c r="B371">
        <v>1975</v>
      </c>
      <c r="C371" t="s">
        <v>33</v>
      </c>
      <c r="D371" t="s">
        <v>30</v>
      </c>
      <c r="E371">
        <v>52614</v>
      </c>
      <c r="F371">
        <v>0</v>
      </c>
      <c r="G371">
        <v>1</v>
      </c>
      <c r="H371" s="2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>
        <v>5680</v>
      </c>
      <c r="B372">
        <v>1984</v>
      </c>
      <c r="C372" t="s">
        <v>46</v>
      </c>
      <c r="D372" t="s">
        <v>34</v>
      </c>
      <c r="E372">
        <v>35684</v>
      </c>
      <c r="F372">
        <v>1</v>
      </c>
      <c r="G372">
        <v>0</v>
      </c>
      <c r="H372" t="s">
        <v>203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>
        <v>10313</v>
      </c>
      <c r="B373">
        <v>1975</v>
      </c>
      <c r="C373" t="s">
        <v>29</v>
      </c>
      <c r="D373" t="s">
        <v>34</v>
      </c>
      <c r="E373">
        <v>48178</v>
      </c>
      <c r="F373">
        <v>1</v>
      </c>
      <c r="G373">
        <v>1</v>
      </c>
      <c r="H373" t="s">
        <v>107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5">
      <c r="A374">
        <v>2557</v>
      </c>
      <c r="B374">
        <v>1970</v>
      </c>
      <c r="C374" t="s">
        <v>36</v>
      </c>
      <c r="D374" t="s">
        <v>30</v>
      </c>
      <c r="E374">
        <v>29548</v>
      </c>
      <c r="F374">
        <v>1</v>
      </c>
      <c r="G374">
        <v>0</v>
      </c>
      <c r="H374" t="s">
        <v>55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5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s="2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>
        <v>1519</v>
      </c>
      <c r="B376">
        <v>1972</v>
      </c>
      <c r="C376" t="s">
        <v>33</v>
      </c>
      <c r="D376" t="s">
        <v>30</v>
      </c>
      <c r="E376">
        <v>38578</v>
      </c>
      <c r="F376">
        <v>1</v>
      </c>
      <c r="G376">
        <v>1</v>
      </c>
      <c r="H376" t="s">
        <v>204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25">
      <c r="A377">
        <v>10703</v>
      </c>
      <c r="B377">
        <v>1975</v>
      </c>
      <c r="C377" t="s">
        <v>36</v>
      </c>
      <c r="D377" t="s">
        <v>30</v>
      </c>
      <c r="E377">
        <v>46098</v>
      </c>
      <c r="F377">
        <v>1</v>
      </c>
      <c r="G377">
        <v>1</v>
      </c>
      <c r="H377" t="s">
        <v>205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t="s">
        <v>48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25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t="s">
        <v>206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5">
      <c r="A380">
        <v>1729</v>
      </c>
      <c r="B380">
        <v>1961</v>
      </c>
      <c r="C380" t="s">
        <v>33</v>
      </c>
      <c r="D380" t="s">
        <v>31</v>
      </c>
      <c r="E380">
        <v>66426</v>
      </c>
      <c r="F380">
        <v>0</v>
      </c>
      <c r="G380">
        <v>1</v>
      </c>
      <c r="H380" s="2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t="s">
        <v>207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>
        <v>2098</v>
      </c>
      <c r="B382">
        <v>1969</v>
      </c>
      <c r="C382" t="s">
        <v>33</v>
      </c>
      <c r="D382" t="s">
        <v>34</v>
      </c>
      <c r="E382">
        <v>33581</v>
      </c>
      <c r="F382">
        <v>2</v>
      </c>
      <c r="G382">
        <v>0</v>
      </c>
      <c r="H382" s="2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>
        <v>9543</v>
      </c>
      <c r="B383">
        <v>1985</v>
      </c>
      <c r="C383" t="s">
        <v>29</v>
      </c>
      <c r="D383" t="s">
        <v>34</v>
      </c>
      <c r="E383">
        <v>19986</v>
      </c>
      <c r="F383">
        <v>1</v>
      </c>
      <c r="G383">
        <v>0</v>
      </c>
      <c r="H383" t="s">
        <v>93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>
        <v>6878</v>
      </c>
      <c r="B384">
        <v>1954</v>
      </c>
      <c r="C384" t="s">
        <v>29</v>
      </c>
      <c r="D384" t="s">
        <v>57</v>
      </c>
      <c r="E384">
        <v>27421</v>
      </c>
      <c r="F384">
        <v>0</v>
      </c>
      <c r="G384">
        <v>0</v>
      </c>
      <c r="H384" s="2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>
        <v>3310</v>
      </c>
      <c r="B385">
        <v>1973</v>
      </c>
      <c r="C385" t="s">
        <v>46</v>
      </c>
      <c r="D385" t="s">
        <v>34</v>
      </c>
      <c r="E385">
        <v>35688</v>
      </c>
      <c r="F385">
        <v>2</v>
      </c>
      <c r="G385">
        <v>1</v>
      </c>
      <c r="H385" t="s">
        <v>108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>
        <v>2724</v>
      </c>
      <c r="B386">
        <v>1981</v>
      </c>
      <c r="C386" t="s">
        <v>36</v>
      </c>
      <c r="D386" t="s">
        <v>30</v>
      </c>
      <c r="E386">
        <v>36143</v>
      </c>
      <c r="F386">
        <v>1</v>
      </c>
      <c r="G386">
        <v>0</v>
      </c>
      <c r="H386" t="s">
        <v>86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t="s">
        <v>147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>
        <v>6720</v>
      </c>
      <c r="B388">
        <v>1968</v>
      </c>
      <c r="C388" t="s">
        <v>36</v>
      </c>
      <c r="D388" t="s">
        <v>31</v>
      </c>
      <c r="E388">
        <v>43795</v>
      </c>
      <c r="F388">
        <v>0</v>
      </c>
      <c r="G388">
        <v>1</v>
      </c>
      <c r="H388" t="s">
        <v>208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25">
      <c r="A389">
        <v>6202</v>
      </c>
      <c r="B389">
        <v>1960</v>
      </c>
      <c r="C389" t="s">
        <v>29</v>
      </c>
      <c r="D389" t="s">
        <v>31</v>
      </c>
      <c r="E389">
        <v>63381</v>
      </c>
      <c r="F389">
        <v>0</v>
      </c>
      <c r="G389">
        <v>1</v>
      </c>
      <c r="H389" s="2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5">
      <c r="A390">
        <v>2066</v>
      </c>
      <c r="B390">
        <v>1949</v>
      </c>
      <c r="C390" t="s">
        <v>29</v>
      </c>
      <c r="D390" t="s">
        <v>31</v>
      </c>
      <c r="E390">
        <v>38823</v>
      </c>
      <c r="F390">
        <v>0</v>
      </c>
      <c r="G390">
        <v>1</v>
      </c>
      <c r="H390" t="s">
        <v>209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>
        <v>9799</v>
      </c>
      <c r="B391">
        <v>1968</v>
      </c>
      <c r="C391" t="s">
        <v>33</v>
      </c>
      <c r="D391" t="s">
        <v>37</v>
      </c>
      <c r="E391">
        <v>83664</v>
      </c>
      <c r="F391">
        <v>1</v>
      </c>
      <c r="G391">
        <v>1</v>
      </c>
      <c r="H391" s="2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>
        <v>8318</v>
      </c>
      <c r="B392">
        <v>1979</v>
      </c>
      <c r="C392" t="s">
        <v>29</v>
      </c>
      <c r="D392" t="s">
        <v>31</v>
      </c>
      <c r="E392">
        <v>90300</v>
      </c>
      <c r="F392">
        <v>0</v>
      </c>
      <c r="G392">
        <v>0</v>
      </c>
      <c r="H392" s="2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>
        <v>5642</v>
      </c>
      <c r="B393">
        <v>1979</v>
      </c>
      <c r="C393" t="s">
        <v>36</v>
      </c>
      <c r="D393" t="s">
        <v>31</v>
      </c>
      <c r="E393">
        <v>62499</v>
      </c>
      <c r="F393">
        <v>1</v>
      </c>
      <c r="G393">
        <v>0</v>
      </c>
      <c r="H393" s="2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25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s="2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>
        <v>455</v>
      </c>
      <c r="B395">
        <v>1946</v>
      </c>
      <c r="C395" t="s">
        <v>33</v>
      </c>
      <c r="D395" t="s">
        <v>34</v>
      </c>
      <c r="E395">
        <v>51012</v>
      </c>
      <c r="F395">
        <v>0</v>
      </c>
      <c r="G395">
        <v>0</v>
      </c>
      <c r="H395" t="s">
        <v>210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>
        <v>7683</v>
      </c>
      <c r="B396">
        <v>1968</v>
      </c>
      <c r="C396" t="s">
        <v>36</v>
      </c>
      <c r="D396" t="s">
        <v>34</v>
      </c>
      <c r="E396">
        <v>70777</v>
      </c>
      <c r="F396">
        <v>0</v>
      </c>
      <c r="G396">
        <v>1</v>
      </c>
      <c r="H396" t="s">
        <v>75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5">
      <c r="A397">
        <v>3428</v>
      </c>
      <c r="B397">
        <v>1991</v>
      </c>
      <c r="C397" t="s">
        <v>33</v>
      </c>
      <c r="D397" t="s">
        <v>31</v>
      </c>
      <c r="E397">
        <v>68682</v>
      </c>
      <c r="F397">
        <v>0</v>
      </c>
      <c r="G397">
        <v>0</v>
      </c>
      <c r="H397" s="2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>
        <v>7414</v>
      </c>
      <c r="B398">
        <v>1971</v>
      </c>
      <c r="C398" t="s">
        <v>29</v>
      </c>
      <c r="D398" t="s">
        <v>34</v>
      </c>
      <c r="E398">
        <v>43824</v>
      </c>
      <c r="F398">
        <v>1</v>
      </c>
      <c r="G398">
        <v>1</v>
      </c>
      <c r="H398" t="s">
        <v>211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>
        <v>6354</v>
      </c>
      <c r="B399">
        <v>1984</v>
      </c>
      <c r="C399" t="s">
        <v>29</v>
      </c>
      <c r="D399" t="s">
        <v>31</v>
      </c>
      <c r="E399">
        <v>15345</v>
      </c>
      <c r="F399">
        <v>1</v>
      </c>
      <c r="G399">
        <v>0</v>
      </c>
      <c r="H399" t="s">
        <v>44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25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t="s">
        <v>43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>
        <v>8213</v>
      </c>
      <c r="B401">
        <v>1980</v>
      </c>
      <c r="C401" t="s">
        <v>46</v>
      </c>
      <c r="D401" t="s">
        <v>31</v>
      </c>
      <c r="E401">
        <v>14515</v>
      </c>
      <c r="F401">
        <v>1</v>
      </c>
      <c r="G401">
        <v>0</v>
      </c>
      <c r="H401" s="2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25">
      <c r="A402">
        <v>2488</v>
      </c>
      <c r="B402">
        <v>1956</v>
      </c>
      <c r="C402" t="s">
        <v>46</v>
      </c>
      <c r="D402" t="s">
        <v>37</v>
      </c>
      <c r="E402">
        <v>31395</v>
      </c>
      <c r="F402">
        <v>1</v>
      </c>
      <c r="G402">
        <v>1</v>
      </c>
      <c r="H402" t="s">
        <v>149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>
        <v>9999</v>
      </c>
      <c r="B403">
        <v>1965</v>
      </c>
      <c r="C403" t="s">
        <v>29</v>
      </c>
      <c r="D403" t="s">
        <v>31</v>
      </c>
      <c r="E403">
        <v>75276</v>
      </c>
      <c r="F403">
        <v>0</v>
      </c>
      <c r="G403">
        <v>0</v>
      </c>
      <c r="H403" t="s">
        <v>212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t="s">
        <v>191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>
        <v>615</v>
      </c>
      <c r="B405">
        <v>1960</v>
      </c>
      <c r="C405" t="s">
        <v>29</v>
      </c>
      <c r="D405" t="s">
        <v>31</v>
      </c>
      <c r="E405">
        <v>30507</v>
      </c>
      <c r="F405">
        <v>0</v>
      </c>
      <c r="G405">
        <v>0</v>
      </c>
      <c r="H405" s="2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>
        <v>2552</v>
      </c>
      <c r="B406">
        <v>1955</v>
      </c>
      <c r="C406" t="s">
        <v>33</v>
      </c>
      <c r="D406" t="s">
        <v>30</v>
      </c>
      <c r="E406">
        <v>55521</v>
      </c>
      <c r="F406">
        <v>1</v>
      </c>
      <c r="G406">
        <v>2</v>
      </c>
      <c r="H406" t="s">
        <v>213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5">
      <c r="A407">
        <v>194</v>
      </c>
      <c r="B407">
        <v>1965</v>
      </c>
      <c r="C407" t="s">
        <v>29</v>
      </c>
      <c r="D407" t="s">
        <v>34</v>
      </c>
      <c r="E407">
        <v>48006</v>
      </c>
      <c r="F407">
        <v>1</v>
      </c>
      <c r="G407">
        <v>1</v>
      </c>
      <c r="H407" s="2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>
        <v>3645</v>
      </c>
      <c r="B408">
        <v>1972</v>
      </c>
      <c r="C408" t="s">
        <v>33</v>
      </c>
      <c r="D408" t="s">
        <v>30</v>
      </c>
      <c r="E408">
        <v>27213</v>
      </c>
      <c r="F408">
        <v>1</v>
      </c>
      <c r="G408">
        <v>0</v>
      </c>
      <c r="H408" t="s">
        <v>209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25">
      <c r="A409">
        <v>8890</v>
      </c>
      <c r="B409">
        <v>1971</v>
      </c>
      <c r="C409" t="s">
        <v>33</v>
      </c>
      <c r="D409" t="s">
        <v>37</v>
      </c>
      <c r="E409">
        <v>65808</v>
      </c>
      <c r="F409">
        <v>1</v>
      </c>
      <c r="G409">
        <v>1</v>
      </c>
      <c r="H409" t="s">
        <v>214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>
        <v>5049</v>
      </c>
      <c r="B410">
        <v>1974</v>
      </c>
      <c r="C410" t="s">
        <v>33</v>
      </c>
      <c r="D410" t="s">
        <v>31</v>
      </c>
      <c r="E410">
        <v>30351</v>
      </c>
      <c r="F410">
        <v>1</v>
      </c>
      <c r="G410">
        <v>0</v>
      </c>
      <c r="H410" s="2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>
        <v>9973</v>
      </c>
      <c r="B411">
        <v>1963</v>
      </c>
      <c r="C411" t="s">
        <v>29</v>
      </c>
      <c r="D411" t="s">
        <v>34</v>
      </c>
      <c r="E411">
        <v>50437</v>
      </c>
      <c r="F411">
        <v>0</v>
      </c>
      <c r="G411">
        <v>2</v>
      </c>
      <c r="H411" t="s">
        <v>215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>
        <v>7301</v>
      </c>
      <c r="B412">
        <v>1982</v>
      </c>
      <c r="C412" t="s">
        <v>46</v>
      </c>
      <c r="D412" t="s">
        <v>30</v>
      </c>
      <c r="E412">
        <v>23616</v>
      </c>
      <c r="F412">
        <v>1</v>
      </c>
      <c r="G412">
        <v>0</v>
      </c>
      <c r="H412" t="s">
        <v>202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5">
      <c r="A413">
        <v>10882</v>
      </c>
      <c r="B413">
        <v>1976</v>
      </c>
      <c r="C413" t="s">
        <v>29</v>
      </c>
      <c r="D413" t="s">
        <v>34</v>
      </c>
      <c r="E413">
        <v>53858</v>
      </c>
      <c r="F413">
        <v>0</v>
      </c>
      <c r="G413">
        <v>1</v>
      </c>
      <c r="H413" s="2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5">
      <c r="A414">
        <v>7030</v>
      </c>
      <c r="B414">
        <v>1955</v>
      </c>
      <c r="C414" t="s">
        <v>33</v>
      </c>
      <c r="D414" t="s">
        <v>34</v>
      </c>
      <c r="E414">
        <v>66465</v>
      </c>
      <c r="F414">
        <v>0</v>
      </c>
      <c r="G414">
        <v>1</v>
      </c>
      <c r="H414" t="s">
        <v>216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t="s">
        <v>108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>
        <v>3523</v>
      </c>
      <c r="B416">
        <v>1962</v>
      </c>
      <c r="C416" t="s">
        <v>29</v>
      </c>
      <c r="D416" t="s">
        <v>31</v>
      </c>
      <c r="E416">
        <v>75072</v>
      </c>
      <c r="F416">
        <v>0</v>
      </c>
      <c r="G416">
        <v>1</v>
      </c>
      <c r="H416" t="s">
        <v>217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>
        <v>7106</v>
      </c>
      <c r="B417">
        <v>1943</v>
      </c>
      <c r="C417" t="s">
        <v>33</v>
      </c>
      <c r="D417" t="s">
        <v>34</v>
      </c>
      <c r="E417">
        <v>75865</v>
      </c>
      <c r="F417">
        <v>0</v>
      </c>
      <c r="G417">
        <v>0</v>
      </c>
      <c r="H417" t="s">
        <v>132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25">
      <c r="A418">
        <v>6504</v>
      </c>
      <c r="B418">
        <v>1975</v>
      </c>
      <c r="C418" t="s">
        <v>46</v>
      </c>
      <c r="D418" t="s">
        <v>31</v>
      </c>
      <c r="E418">
        <v>19789</v>
      </c>
      <c r="F418">
        <v>1</v>
      </c>
      <c r="G418">
        <v>0</v>
      </c>
      <c r="H418" t="s">
        <v>218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>
        <v>5067</v>
      </c>
      <c r="B419">
        <v>1994</v>
      </c>
      <c r="C419" t="s">
        <v>29</v>
      </c>
      <c r="D419" t="s">
        <v>31</v>
      </c>
      <c r="E419">
        <v>80134</v>
      </c>
      <c r="F419">
        <v>0</v>
      </c>
      <c r="G419">
        <v>0</v>
      </c>
      <c r="H419" t="s">
        <v>219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t="s">
        <v>220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25">
      <c r="A421">
        <v>8581</v>
      </c>
      <c r="B421">
        <v>1971</v>
      </c>
      <c r="C421" t="s">
        <v>36</v>
      </c>
      <c r="D421" t="s">
        <v>34</v>
      </c>
      <c r="E421">
        <v>49505</v>
      </c>
      <c r="F421">
        <v>1</v>
      </c>
      <c r="G421">
        <v>1</v>
      </c>
      <c r="H421" s="2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>
        <v>5929</v>
      </c>
      <c r="B422">
        <v>1973</v>
      </c>
      <c r="C422" t="s">
        <v>33</v>
      </c>
      <c r="D422" t="s">
        <v>34</v>
      </c>
      <c r="E422">
        <v>37401</v>
      </c>
      <c r="F422">
        <v>1</v>
      </c>
      <c r="G422">
        <v>0</v>
      </c>
      <c r="H422" s="2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>
        <v>3129</v>
      </c>
      <c r="B423">
        <v>1983</v>
      </c>
      <c r="C423" t="s">
        <v>29</v>
      </c>
      <c r="D423" t="s">
        <v>34</v>
      </c>
      <c r="E423">
        <v>30096</v>
      </c>
      <c r="F423">
        <v>1</v>
      </c>
      <c r="G423">
        <v>0</v>
      </c>
      <c r="H423" t="s">
        <v>53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>
        <v>6528</v>
      </c>
      <c r="B424">
        <v>1982</v>
      </c>
      <c r="C424" t="s">
        <v>36</v>
      </c>
      <c r="D424" t="s">
        <v>31</v>
      </c>
      <c r="E424">
        <v>18492</v>
      </c>
      <c r="F424">
        <v>1</v>
      </c>
      <c r="G424">
        <v>0</v>
      </c>
      <c r="H424" s="2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>
        <v>1361</v>
      </c>
      <c r="B425">
        <v>1974</v>
      </c>
      <c r="C425" t="s">
        <v>36</v>
      </c>
      <c r="D425" t="s">
        <v>34</v>
      </c>
      <c r="E425">
        <v>82584</v>
      </c>
      <c r="F425">
        <v>0</v>
      </c>
      <c r="G425">
        <v>0</v>
      </c>
      <c r="H425" s="2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25">
      <c r="A426">
        <v>6932</v>
      </c>
      <c r="B426">
        <v>1941</v>
      </c>
      <c r="C426" t="s">
        <v>33</v>
      </c>
      <c r="D426" t="s">
        <v>34</v>
      </c>
      <c r="E426">
        <v>93027</v>
      </c>
      <c r="F426">
        <v>0</v>
      </c>
      <c r="G426">
        <v>0</v>
      </c>
      <c r="H426" t="s">
        <v>221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>
        <v>7284</v>
      </c>
      <c r="B427">
        <v>1953</v>
      </c>
      <c r="C427" t="s">
        <v>29</v>
      </c>
      <c r="D427" t="s">
        <v>34</v>
      </c>
      <c r="E427">
        <v>48686</v>
      </c>
      <c r="F427">
        <v>1</v>
      </c>
      <c r="G427">
        <v>2</v>
      </c>
      <c r="H427" s="2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>
        <v>1340</v>
      </c>
      <c r="B428">
        <v>1986</v>
      </c>
      <c r="C428" t="s">
        <v>29</v>
      </c>
      <c r="D428" t="s">
        <v>34</v>
      </c>
      <c r="E428">
        <v>92910</v>
      </c>
      <c r="F428">
        <v>0</v>
      </c>
      <c r="G428">
        <v>0</v>
      </c>
      <c r="H428" t="s">
        <v>110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>
        <v>8746</v>
      </c>
      <c r="B429">
        <v>1989</v>
      </c>
      <c r="C429" t="s">
        <v>29</v>
      </c>
      <c r="D429" t="s">
        <v>34</v>
      </c>
      <c r="E429">
        <v>75433</v>
      </c>
      <c r="F429">
        <v>1</v>
      </c>
      <c r="G429">
        <v>0</v>
      </c>
      <c r="H429" s="2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>
        <v>5987</v>
      </c>
      <c r="B430">
        <v>1989</v>
      </c>
      <c r="C430" t="s">
        <v>46</v>
      </c>
      <c r="D430" t="s">
        <v>31</v>
      </c>
      <c r="E430">
        <v>10404</v>
      </c>
      <c r="F430">
        <v>1</v>
      </c>
      <c r="G430">
        <v>0</v>
      </c>
      <c r="H430" s="2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5">
      <c r="A431">
        <v>3767</v>
      </c>
      <c r="B431">
        <v>1968</v>
      </c>
      <c r="C431" t="s">
        <v>29</v>
      </c>
      <c r="D431" t="s">
        <v>34</v>
      </c>
      <c r="E431">
        <v>61314</v>
      </c>
      <c r="F431">
        <v>0</v>
      </c>
      <c r="G431">
        <v>1</v>
      </c>
      <c r="H431" t="s">
        <v>222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>
        <v>3725</v>
      </c>
      <c r="B432">
        <v>1961</v>
      </c>
      <c r="C432" t="s">
        <v>33</v>
      </c>
      <c r="D432" t="s">
        <v>30</v>
      </c>
      <c r="E432">
        <v>84865</v>
      </c>
      <c r="F432">
        <v>0</v>
      </c>
      <c r="G432">
        <v>0</v>
      </c>
      <c r="H432" s="2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25">
      <c r="A433">
        <v>4324</v>
      </c>
      <c r="B433">
        <v>1989</v>
      </c>
      <c r="C433" t="s">
        <v>29</v>
      </c>
      <c r="D433" t="s">
        <v>34</v>
      </c>
      <c r="E433">
        <v>42387</v>
      </c>
      <c r="F433">
        <v>1</v>
      </c>
      <c r="G433">
        <v>0</v>
      </c>
      <c r="H433" t="s">
        <v>54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>
        <v>238</v>
      </c>
      <c r="B434">
        <v>1967</v>
      </c>
      <c r="C434" t="s">
        <v>46</v>
      </c>
      <c r="D434" t="s">
        <v>31</v>
      </c>
      <c r="E434">
        <v>67309</v>
      </c>
      <c r="F434">
        <v>1</v>
      </c>
      <c r="G434">
        <v>1</v>
      </c>
      <c r="H434" t="s">
        <v>217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>
        <v>6694</v>
      </c>
      <c r="B435">
        <v>1964</v>
      </c>
      <c r="C435" t="s">
        <v>29</v>
      </c>
      <c r="D435" t="s">
        <v>34</v>
      </c>
      <c r="E435">
        <v>75236</v>
      </c>
      <c r="F435">
        <v>0</v>
      </c>
      <c r="G435">
        <v>1</v>
      </c>
      <c r="H435" t="s">
        <v>223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s="2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5">
      <c r="A437">
        <v>9347</v>
      </c>
      <c r="B437">
        <v>1956</v>
      </c>
      <c r="C437" t="s">
        <v>36</v>
      </c>
      <c r="D437" t="s">
        <v>31</v>
      </c>
      <c r="E437">
        <v>50943</v>
      </c>
      <c r="F437">
        <v>0</v>
      </c>
      <c r="G437">
        <v>1</v>
      </c>
      <c r="H437" t="s">
        <v>224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>
        <v>9699</v>
      </c>
      <c r="B438">
        <v>1966</v>
      </c>
      <c r="C438" t="s">
        <v>29</v>
      </c>
      <c r="D438" t="s">
        <v>37</v>
      </c>
      <c r="E438">
        <v>67272</v>
      </c>
      <c r="F438">
        <v>0</v>
      </c>
      <c r="G438">
        <v>1</v>
      </c>
      <c r="H438" t="s">
        <v>225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>
        <v>10664</v>
      </c>
      <c r="B439">
        <v>1949</v>
      </c>
      <c r="C439" t="s">
        <v>36</v>
      </c>
      <c r="D439" t="s">
        <v>57</v>
      </c>
      <c r="E439">
        <v>51529</v>
      </c>
      <c r="F439">
        <v>0</v>
      </c>
      <c r="G439">
        <v>1</v>
      </c>
      <c r="H439" s="2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>
        <v>5455</v>
      </c>
      <c r="B440">
        <v>1971</v>
      </c>
      <c r="C440" t="s">
        <v>33</v>
      </c>
      <c r="D440" t="s">
        <v>34</v>
      </c>
      <c r="E440">
        <v>32011</v>
      </c>
      <c r="F440">
        <v>1</v>
      </c>
      <c r="G440">
        <v>0</v>
      </c>
      <c r="H440" t="s">
        <v>226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>
        <v>456</v>
      </c>
      <c r="B441">
        <v>1986</v>
      </c>
      <c r="C441" t="s">
        <v>46</v>
      </c>
      <c r="D441" t="s">
        <v>34</v>
      </c>
      <c r="E441">
        <v>7500</v>
      </c>
      <c r="F441">
        <v>1</v>
      </c>
      <c r="G441">
        <v>0</v>
      </c>
      <c r="H441" s="2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>
        <v>5012</v>
      </c>
      <c r="B442">
        <v>1989</v>
      </c>
      <c r="C442" t="s">
        <v>29</v>
      </c>
      <c r="D442" t="s">
        <v>34</v>
      </c>
      <c r="E442">
        <v>28691</v>
      </c>
      <c r="F442">
        <v>1</v>
      </c>
      <c r="G442">
        <v>0</v>
      </c>
      <c r="H442" s="2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5">
      <c r="A443">
        <v>7495</v>
      </c>
      <c r="B443">
        <v>1948</v>
      </c>
      <c r="C443" t="s">
        <v>33</v>
      </c>
      <c r="D443" t="s">
        <v>34</v>
      </c>
      <c r="E443">
        <v>56223</v>
      </c>
      <c r="F443">
        <v>0</v>
      </c>
      <c r="G443">
        <v>1</v>
      </c>
      <c r="H443" t="s">
        <v>227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>
        <v>5029</v>
      </c>
      <c r="B444">
        <v>1946</v>
      </c>
      <c r="C444" t="s">
        <v>29</v>
      </c>
      <c r="D444" t="s">
        <v>34</v>
      </c>
      <c r="E444">
        <v>18100</v>
      </c>
      <c r="F444">
        <v>0</v>
      </c>
      <c r="G444">
        <v>0</v>
      </c>
      <c r="H444" s="2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t="s">
        <v>206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>
        <v>2106</v>
      </c>
      <c r="B446">
        <v>1974</v>
      </c>
      <c r="C446" t="s">
        <v>46</v>
      </c>
      <c r="D446" t="s">
        <v>34</v>
      </c>
      <c r="E446">
        <v>20130</v>
      </c>
      <c r="F446">
        <v>0</v>
      </c>
      <c r="G446">
        <v>0</v>
      </c>
      <c r="H446" t="s">
        <v>179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>
        <v>10364</v>
      </c>
      <c r="B447">
        <v>1959</v>
      </c>
      <c r="C447" t="s">
        <v>29</v>
      </c>
      <c r="D447" t="s">
        <v>37</v>
      </c>
      <c r="E447">
        <v>23295</v>
      </c>
      <c r="F447">
        <v>0</v>
      </c>
      <c r="G447">
        <v>0</v>
      </c>
      <c r="H447" t="s">
        <v>117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>
        <v>5954</v>
      </c>
      <c r="B448">
        <v>1972</v>
      </c>
      <c r="C448" t="s">
        <v>36</v>
      </c>
      <c r="D448" t="s">
        <v>37</v>
      </c>
      <c r="E448">
        <v>42618</v>
      </c>
      <c r="F448">
        <v>1</v>
      </c>
      <c r="G448">
        <v>0</v>
      </c>
      <c r="H448" s="2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t="s">
        <v>128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>
        <v>2541</v>
      </c>
      <c r="B450">
        <v>1976</v>
      </c>
      <c r="C450" t="s">
        <v>29</v>
      </c>
      <c r="D450" t="s">
        <v>34</v>
      </c>
      <c r="E450">
        <v>24027</v>
      </c>
      <c r="F450">
        <v>1</v>
      </c>
      <c r="G450">
        <v>0</v>
      </c>
      <c r="H450" s="2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>
        <v>1142</v>
      </c>
      <c r="B451">
        <v>1953</v>
      </c>
      <c r="C451" t="s">
        <v>33</v>
      </c>
      <c r="D451" t="s">
        <v>34</v>
      </c>
      <c r="E451">
        <v>55707</v>
      </c>
      <c r="F451">
        <v>0</v>
      </c>
      <c r="G451">
        <v>1</v>
      </c>
      <c r="H451" t="s">
        <v>228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s="2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>
        <v>2807</v>
      </c>
      <c r="B453">
        <v>1969</v>
      </c>
      <c r="C453" t="s">
        <v>29</v>
      </c>
      <c r="D453" t="s">
        <v>34</v>
      </c>
      <c r="E453">
        <v>56796</v>
      </c>
      <c r="F453">
        <v>0</v>
      </c>
      <c r="G453">
        <v>1</v>
      </c>
      <c r="H453" t="s">
        <v>229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>
        <v>6471</v>
      </c>
      <c r="B454">
        <v>1971</v>
      </c>
      <c r="C454" t="s">
        <v>36</v>
      </c>
      <c r="D454" t="s">
        <v>30</v>
      </c>
      <c r="E454">
        <v>36230</v>
      </c>
      <c r="F454">
        <v>1</v>
      </c>
      <c r="G454">
        <v>0</v>
      </c>
      <c r="H454" t="s">
        <v>112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>
        <v>6131</v>
      </c>
      <c r="B455">
        <v>1980</v>
      </c>
      <c r="C455" t="s">
        <v>46</v>
      </c>
      <c r="D455" t="s">
        <v>34</v>
      </c>
      <c r="E455">
        <v>70829</v>
      </c>
      <c r="F455">
        <v>1</v>
      </c>
      <c r="G455">
        <v>1</v>
      </c>
      <c r="H455" s="2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>
        <v>6233</v>
      </c>
      <c r="B456">
        <v>1976</v>
      </c>
      <c r="C456" t="s">
        <v>29</v>
      </c>
      <c r="D456" t="s">
        <v>34</v>
      </c>
      <c r="E456">
        <v>65991</v>
      </c>
      <c r="F456">
        <v>0</v>
      </c>
      <c r="G456">
        <v>1</v>
      </c>
      <c r="H456" s="2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>
        <v>4148</v>
      </c>
      <c r="B457">
        <v>1972</v>
      </c>
      <c r="C457" t="s">
        <v>29</v>
      </c>
      <c r="D457" t="s">
        <v>34</v>
      </c>
      <c r="E457">
        <v>38988</v>
      </c>
      <c r="F457">
        <v>1</v>
      </c>
      <c r="G457">
        <v>2</v>
      </c>
      <c r="H457" t="s">
        <v>230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>
        <v>4947</v>
      </c>
      <c r="B458">
        <v>1966</v>
      </c>
      <c r="C458" t="s">
        <v>46</v>
      </c>
      <c r="D458" t="s">
        <v>30</v>
      </c>
      <c r="E458">
        <v>89572</v>
      </c>
      <c r="F458">
        <v>0</v>
      </c>
      <c r="G458">
        <v>0</v>
      </c>
      <c r="H458" t="s">
        <v>211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5">
      <c r="A459">
        <v>3225</v>
      </c>
      <c r="B459">
        <v>1984</v>
      </c>
      <c r="C459" t="s">
        <v>36</v>
      </c>
      <c r="D459" t="s">
        <v>34</v>
      </c>
      <c r="E459">
        <v>42207</v>
      </c>
      <c r="F459">
        <v>1</v>
      </c>
      <c r="G459">
        <v>0</v>
      </c>
      <c r="H459" s="2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25">
      <c r="A460">
        <v>7540</v>
      </c>
      <c r="B460">
        <v>1952</v>
      </c>
      <c r="C460" t="s">
        <v>29</v>
      </c>
      <c r="D460" t="s">
        <v>34</v>
      </c>
      <c r="E460">
        <v>50300</v>
      </c>
      <c r="F460">
        <v>0</v>
      </c>
      <c r="G460">
        <v>1</v>
      </c>
      <c r="H460" t="s">
        <v>231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5">
      <c r="A461">
        <v>10648</v>
      </c>
      <c r="B461">
        <v>1982</v>
      </c>
      <c r="C461" t="s">
        <v>46</v>
      </c>
      <c r="D461" t="s">
        <v>31</v>
      </c>
      <c r="E461">
        <v>66664</v>
      </c>
      <c r="F461">
        <v>0</v>
      </c>
      <c r="G461">
        <v>0</v>
      </c>
      <c r="H461" t="s">
        <v>232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>
        <v>1992</v>
      </c>
      <c r="B462">
        <v>1964</v>
      </c>
      <c r="C462" t="s">
        <v>29</v>
      </c>
      <c r="D462" t="s">
        <v>34</v>
      </c>
      <c r="E462">
        <v>60597</v>
      </c>
      <c r="F462">
        <v>0</v>
      </c>
      <c r="G462">
        <v>1</v>
      </c>
      <c r="H462" s="2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25">
      <c r="A463">
        <v>7851</v>
      </c>
      <c r="B463">
        <v>1949</v>
      </c>
      <c r="C463" t="s">
        <v>29</v>
      </c>
      <c r="D463" t="s">
        <v>57</v>
      </c>
      <c r="E463">
        <v>70165</v>
      </c>
      <c r="F463">
        <v>0</v>
      </c>
      <c r="G463">
        <v>0</v>
      </c>
      <c r="H463" t="s">
        <v>233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>
        <v>8594</v>
      </c>
      <c r="B464">
        <v>1958</v>
      </c>
      <c r="C464" t="s">
        <v>33</v>
      </c>
      <c r="D464" t="s">
        <v>57</v>
      </c>
      <c r="E464">
        <v>50520</v>
      </c>
      <c r="F464">
        <v>0</v>
      </c>
      <c r="G464">
        <v>1</v>
      </c>
      <c r="H464" t="s">
        <v>234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>
        <v>7059</v>
      </c>
      <c r="B465">
        <v>1963</v>
      </c>
      <c r="C465" t="s">
        <v>29</v>
      </c>
      <c r="D465" t="s">
        <v>34</v>
      </c>
      <c r="E465">
        <v>80124</v>
      </c>
      <c r="F465">
        <v>0</v>
      </c>
      <c r="G465">
        <v>0</v>
      </c>
      <c r="H465" t="s">
        <v>167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>
        <v>2815</v>
      </c>
      <c r="B466">
        <v>1975</v>
      </c>
      <c r="C466" t="s">
        <v>29</v>
      </c>
      <c r="D466" t="s">
        <v>34</v>
      </c>
      <c r="E466">
        <v>33183</v>
      </c>
      <c r="F466">
        <v>1</v>
      </c>
      <c r="G466">
        <v>0</v>
      </c>
      <c r="H466" t="s">
        <v>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5">
      <c r="A467">
        <v>2416</v>
      </c>
      <c r="B467">
        <v>1969</v>
      </c>
      <c r="C467" t="s">
        <v>33</v>
      </c>
      <c r="D467" t="s">
        <v>30</v>
      </c>
      <c r="E467">
        <v>66582</v>
      </c>
      <c r="F467">
        <v>0</v>
      </c>
      <c r="G467">
        <v>0</v>
      </c>
      <c r="H467" s="2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>
        <v>7999</v>
      </c>
      <c r="B468">
        <v>1955</v>
      </c>
      <c r="C468" t="s">
        <v>33</v>
      </c>
      <c r="D468" t="s">
        <v>31</v>
      </c>
      <c r="E468">
        <v>75261</v>
      </c>
      <c r="F468">
        <v>0</v>
      </c>
      <c r="G468">
        <v>0</v>
      </c>
      <c r="H468" t="s">
        <v>235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25">
      <c r="A469">
        <v>9213</v>
      </c>
      <c r="B469">
        <v>1970</v>
      </c>
      <c r="C469" t="s">
        <v>29</v>
      </c>
      <c r="D469" t="s">
        <v>57</v>
      </c>
      <c r="E469">
        <v>31880</v>
      </c>
      <c r="F469">
        <v>1</v>
      </c>
      <c r="G469">
        <v>0</v>
      </c>
      <c r="H469" t="s">
        <v>175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>
        <v>9697</v>
      </c>
      <c r="B470">
        <v>1951</v>
      </c>
      <c r="C470" t="s">
        <v>29</v>
      </c>
      <c r="D470" t="s">
        <v>34</v>
      </c>
      <c r="E470">
        <v>53790</v>
      </c>
      <c r="F470">
        <v>0</v>
      </c>
      <c r="G470">
        <v>2</v>
      </c>
      <c r="H470" s="2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>
        <v>3916</v>
      </c>
      <c r="B471">
        <v>1971</v>
      </c>
      <c r="C471" t="s">
        <v>33</v>
      </c>
      <c r="D471" t="s">
        <v>31</v>
      </c>
      <c r="E471">
        <v>49269</v>
      </c>
      <c r="F471">
        <v>1</v>
      </c>
      <c r="G471">
        <v>0</v>
      </c>
      <c r="H471" t="s">
        <v>236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25">
      <c r="A472">
        <v>2021</v>
      </c>
      <c r="B472">
        <v>1975</v>
      </c>
      <c r="C472" t="s">
        <v>29</v>
      </c>
      <c r="D472" t="s">
        <v>34</v>
      </c>
      <c r="E472">
        <v>61456</v>
      </c>
      <c r="F472">
        <v>0</v>
      </c>
      <c r="G472">
        <v>1</v>
      </c>
      <c r="H472" t="s">
        <v>237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>
        <v>1581</v>
      </c>
      <c r="B473">
        <v>1980</v>
      </c>
      <c r="C473" t="s">
        <v>29</v>
      </c>
      <c r="D473" t="s">
        <v>34</v>
      </c>
      <c r="E473">
        <v>37406</v>
      </c>
      <c r="F473">
        <v>1</v>
      </c>
      <c r="G473">
        <v>0</v>
      </c>
      <c r="H473" s="2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5">
      <c r="A474">
        <v>564</v>
      </c>
      <c r="B474">
        <v>1981</v>
      </c>
      <c r="C474" t="s">
        <v>33</v>
      </c>
      <c r="D474" t="s">
        <v>31</v>
      </c>
      <c r="E474">
        <v>56937</v>
      </c>
      <c r="F474">
        <v>1</v>
      </c>
      <c r="G474">
        <v>0</v>
      </c>
      <c r="H474" s="2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25">
      <c r="A475">
        <v>6619</v>
      </c>
      <c r="B475">
        <v>1978</v>
      </c>
      <c r="C475" t="s">
        <v>29</v>
      </c>
      <c r="D475" t="s">
        <v>34</v>
      </c>
      <c r="E475">
        <v>38415</v>
      </c>
      <c r="F475">
        <v>1</v>
      </c>
      <c r="G475">
        <v>1</v>
      </c>
      <c r="H475" s="2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t="s">
        <v>238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5">
      <c r="A477">
        <v>178</v>
      </c>
      <c r="B477">
        <v>1956</v>
      </c>
      <c r="C477" t="s">
        <v>29</v>
      </c>
      <c r="D477" t="s">
        <v>34</v>
      </c>
      <c r="E477">
        <v>62503</v>
      </c>
      <c r="F477">
        <v>0</v>
      </c>
      <c r="G477">
        <v>1</v>
      </c>
      <c r="H477" t="s">
        <v>64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>
        <v>916</v>
      </c>
      <c r="B478">
        <v>1972</v>
      </c>
      <c r="C478" t="s">
        <v>33</v>
      </c>
      <c r="D478" t="s">
        <v>30</v>
      </c>
      <c r="E478">
        <v>41644</v>
      </c>
      <c r="F478">
        <v>1</v>
      </c>
      <c r="G478">
        <v>1</v>
      </c>
      <c r="H478" s="2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>
        <v>5512</v>
      </c>
      <c r="B479">
        <v>1977</v>
      </c>
      <c r="C479" t="s">
        <v>36</v>
      </c>
      <c r="D479" t="s">
        <v>34</v>
      </c>
      <c r="E479">
        <v>55842</v>
      </c>
      <c r="F479">
        <v>0</v>
      </c>
      <c r="G479">
        <v>1</v>
      </c>
      <c r="H479" t="s">
        <v>120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>
        <v>8970</v>
      </c>
      <c r="B480">
        <v>1972</v>
      </c>
      <c r="C480" t="s">
        <v>33</v>
      </c>
      <c r="D480" t="s">
        <v>34</v>
      </c>
      <c r="E480">
        <v>62010</v>
      </c>
      <c r="F480">
        <v>0</v>
      </c>
      <c r="G480">
        <v>1</v>
      </c>
      <c r="H480" t="s">
        <v>239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>
        <v>10581</v>
      </c>
      <c r="B481">
        <v>1977</v>
      </c>
      <c r="C481" t="s">
        <v>29</v>
      </c>
      <c r="D481" t="s">
        <v>34</v>
      </c>
      <c r="E481">
        <v>41124</v>
      </c>
      <c r="F481">
        <v>1</v>
      </c>
      <c r="G481">
        <v>0</v>
      </c>
      <c r="H481" t="s">
        <v>175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>
        <v>5300</v>
      </c>
      <c r="B482">
        <v>1973</v>
      </c>
      <c r="C482" t="s">
        <v>36</v>
      </c>
      <c r="D482" t="s">
        <v>34</v>
      </c>
      <c r="E482">
        <v>38961</v>
      </c>
      <c r="F482">
        <v>1</v>
      </c>
      <c r="G482">
        <v>0</v>
      </c>
      <c r="H482" t="s">
        <v>240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>
        <v>5154</v>
      </c>
      <c r="B483">
        <v>1972</v>
      </c>
      <c r="C483" t="s">
        <v>36</v>
      </c>
      <c r="D483" t="s">
        <v>37</v>
      </c>
      <c r="E483">
        <v>37760</v>
      </c>
      <c r="F483">
        <v>1</v>
      </c>
      <c r="G483">
        <v>0</v>
      </c>
      <c r="H483" s="2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t="s">
        <v>241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25">
      <c r="A485">
        <v>1676</v>
      </c>
      <c r="B485">
        <v>1975</v>
      </c>
      <c r="C485" t="s">
        <v>29</v>
      </c>
      <c r="D485" t="s">
        <v>34</v>
      </c>
      <c r="E485">
        <v>43057</v>
      </c>
      <c r="F485">
        <v>0</v>
      </c>
      <c r="G485">
        <v>1</v>
      </c>
      <c r="H485" t="s">
        <v>242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>
        <v>9286</v>
      </c>
      <c r="B486">
        <v>1960</v>
      </c>
      <c r="C486" t="s">
        <v>36</v>
      </c>
      <c r="D486" t="s">
        <v>31</v>
      </c>
      <c r="E486">
        <v>83151</v>
      </c>
      <c r="F486">
        <v>0</v>
      </c>
      <c r="G486">
        <v>0</v>
      </c>
      <c r="H486" s="2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>
        <v>2426</v>
      </c>
      <c r="B487">
        <v>1964</v>
      </c>
      <c r="C487" t="s">
        <v>33</v>
      </c>
      <c r="D487" t="s">
        <v>37</v>
      </c>
      <c r="E487">
        <v>78825</v>
      </c>
      <c r="F487">
        <v>0</v>
      </c>
      <c r="G487">
        <v>0</v>
      </c>
      <c r="H487" t="s">
        <v>68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25">
      <c r="A488">
        <v>5172</v>
      </c>
      <c r="B488">
        <v>1976</v>
      </c>
      <c r="C488" t="s">
        <v>36</v>
      </c>
      <c r="D488" t="s">
        <v>31</v>
      </c>
      <c r="E488">
        <v>65104</v>
      </c>
      <c r="F488">
        <v>0</v>
      </c>
      <c r="G488">
        <v>1</v>
      </c>
      <c r="H488" t="s">
        <v>93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>
        <v>5562</v>
      </c>
      <c r="B489">
        <v>1974</v>
      </c>
      <c r="C489" t="s">
        <v>29</v>
      </c>
      <c r="D489" t="s">
        <v>34</v>
      </c>
      <c r="E489">
        <v>60093</v>
      </c>
      <c r="F489">
        <v>0</v>
      </c>
      <c r="G489">
        <v>1</v>
      </c>
      <c r="H489" t="s">
        <v>243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>
        <v>3436</v>
      </c>
      <c r="B490">
        <v>1969</v>
      </c>
      <c r="C490" t="s">
        <v>29</v>
      </c>
      <c r="D490" t="s">
        <v>34</v>
      </c>
      <c r="E490">
        <v>14045</v>
      </c>
      <c r="F490">
        <v>1</v>
      </c>
      <c r="G490">
        <v>0</v>
      </c>
      <c r="H490" t="s">
        <v>244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>
        <v>3921</v>
      </c>
      <c r="B491">
        <v>1952</v>
      </c>
      <c r="C491" t="s">
        <v>46</v>
      </c>
      <c r="D491" t="s">
        <v>57</v>
      </c>
      <c r="E491">
        <v>28457</v>
      </c>
      <c r="F491">
        <v>0</v>
      </c>
      <c r="G491">
        <v>0</v>
      </c>
      <c r="H491" t="s">
        <v>107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>
        <v>3403</v>
      </c>
      <c r="B492">
        <v>1958</v>
      </c>
      <c r="C492" t="s">
        <v>33</v>
      </c>
      <c r="D492" t="s">
        <v>31</v>
      </c>
      <c r="E492">
        <v>78952</v>
      </c>
      <c r="F492">
        <v>0</v>
      </c>
      <c r="G492">
        <v>1</v>
      </c>
      <c r="H492" t="s">
        <v>245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>
        <v>22</v>
      </c>
      <c r="B493">
        <v>1976</v>
      </c>
      <c r="C493" t="s">
        <v>29</v>
      </c>
      <c r="D493" t="s">
        <v>37</v>
      </c>
      <c r="E493">
        <v>46310</v>
      </c>
      <c r="F493">
        <v>1</v>
      </c>
      <c r="G493">
        <v>0</v>
      </c>
      <c r="H493" s="2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>
        <v>10965</v>
      </c>
      <c r="B494">
        <v>1955</v>
      </c>
      <c r="C494" t="s">
        <v>29</v>
      </c>
      <c r="D494" t="s">
        <v>31</v>
      </c>
      <c r="E494">
        <v>76005</v>
      </c>
      <c r="F494">
        <v>0</v>
      </c>
      <c r="G494">
        <v>0</v>
      </c>
      <c r="H494" t="s">
        <v>220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>
        <v>9426</v>
      </c>
      <c r="B495">
        <v>1964</v>
      </c>
      <c r="C495" t="s">
        <v>36</v>
      </c>
      <c r="D495" t="s">
        <v>30</v>
      </c>
      <c r="E495">
        <v>58308</v>
      </c>
      <c r="F495">
        <v>0</v>
      </c>
      <c r="G495">
        <v>1</v>
      </c>
      <c r="H495" s="2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>
        <v>6605</v>
      </c>
      <c r="B496">
        <v>1944</v>
      </c>
      <c r="C496" t="s">
        <v>33</v>
      </c>
      <c r="D496" t="s">
        <v>37</v>
      </c>
      <c r="E496">
        <v>55614</v>
      </c>
      <c r="F496">
        <v>0</v>
      </c>
      <c r="G496">
        <v>0</v>
      </c>
      <c r="H496" t="s">
        <v>246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25">
      <c r="A497">
        <v>3136</v>
      </c>
      <c r="B497">
        <v>1962</v>
      </c>
      <c r="C497" t="s">
        <v>36</v>
      </c>
      <c r="D497" t="s">
        <v>37</v>
      </c>
      <c r="E497">
        <v>59432</v>
      </c>
      <c r="F497">
        <v>0</v>
      </c>
      <c r="G497">
        <v>1</v>
      </c>
      <c r="H497" t="s">
        <v>221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5">
      <c r="A498">
        <v>8737</v>
      </c>
      <c r="B498">
        <v>1978</v>
      </c>
      <c r="C498" t="s">
        <v>29</v>
      </c>
      <c r="D498" t="s">
        <v>37</v>
      </c>
      <c r="E498">
        <v>55563</v>
      </c>
      <c r="F498">
        <v>0</v>
      </c>
      <c r="G498">
        <v>1</v>
      </c>
      <c r="H498" s="2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>
        <v>11088</v>
      </c>
      <c r="B499">
        <v>1971</v>
      </c>
      <c r="C499" t="s">
        <v>33</v>
      </c>
      <c r="D499" t="s">
        <v>31</v>
      </c>
      <c r="E499">
        <v>78642</v>
      </c>
      <c r="F499">
        <v>0</v>
      </c>
      <c r="G499">
        <v>1</v>
      </c>
      <c r="H499" t="s">
        <v>96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>
        <v>716</v>
      </c>
      <c r="B500">
        <v>1949</v>
      </c>
      <c r="C500" t="s">
        <v>33</v>
      </c>
      <c r="D500" t="s">
        <v>31</v>
      </c>
      <c r="E500">
        <v>67911</v>
      </c>
      <c r="F500">
        <v>0</v>
      </c>
      <c r="G500">
        <v>1</v>
      </c>
      <c r="H500" t="s">
        <v>53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5">
      <c r="A501">
        <v>466</v>
      </c>
      <c r="B501">
        <v>1944</v>
      </c>
      <c r="C501" t="s">
        <v>29</v>
      </c>
      <c r="D501" t="s">
        <v>34</v>
      </c>
      <c r="E501">
        <v>65275</v>
      </c>
      <c r="F501">
        <v>0</v>
      </c>
      <c r="G501">
        <v>0</v>
      </c>
      <c r="H501" s="2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>
        <v>9135</v>
      </c>
      <c r="B502">
        <v>1950</v>
      </c>
      <c r="C502" t="s">
        <v>29</v>
      </c>
      <c r="D502" t="s">
        <v>31</v>
      </c>
      <c r="E502">
        <v>27203</v>
      </c>
      <c r="F502">
        <v>1</v>
      </c>
      <c r="G502">
        <v>1</v>
      </c>
      <c r="H502" s="2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>
        <v>10623</v>
      </c>
      <c r="B503">
        <v>1961</v>
      </c>
      <c r="C503" t="s">
        <v>36</v>
      </c>
      <c r="D503" t="s">
        <v>31</v>
      </c>
      <c r="E503">
        <v>48330</v>
      </c>
      <c r="F503">
        <v>0</v>
      </c>
      <c r="G503">
        <v>1</v>
      </c>
      <c r="H503" t="s">
        <v>40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>
        <v>8151</v>
      </c>
      <c r="B504">
        <v>1990</v>
      </c>
      <c r="C504" t="s">
        <v>41</v>
      </c>
      <c r="D504" t="s">
        <v>34</v>
      </c>
      <c r="E504">
        <v>24279</v>
      </c>
      <c r="F504">
        <v>0</v>
      </c>
      <c r="G504">
        <v>0</v>
      </c>
      <c r="H504" t="s">
        <v>247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>
        <v>5140</v>
      </c>
      <c r="B505">
        <v>1985</v>
      </c>
      <c r="C505" t="s">
        <v>33</v>
      </c>
      <c r="D505" t="s">
        <v>34</v>
      </c>
      <c r="E505">
        <v>64355</v>
      </c>
      <c r="F505">
        <v>1</v>
      </c>
      <c r="G505">
        <v>0</v>
      </c>
      <c r="H505" t="s">
        <v>248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5">
      <c r="A506">
        <v>10160</v>
      </c>
      <c r="B506">
        <v>1956</v>
      </c>
      <c r="C506" t="s">
        <v>36</v>
      </c>
      <c r="D506" t="s">
        <v>31</v>
      </c>
      <c r="E506">
        <v>50943</v>
      </c>
      <c r="F506">
        <v>0</v>
      </c>
      <c r="G506">
        <v>1</v>
      </c>
      <c r="H506" t="s">
        <v>224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>
        <v>4945</v>
      </c>
      <c r="B507">
        <v>1953</v>
      </c>
      <c r="C507" t="s">
        <v>29</v>
      </c>
      <c r="D507" t="s">
        <v>57</v>
      </c>
      <c r="E507">
        <v>53653</v>
      </c>
      <c r="F507">
        <v>0</v>
      </c>
      <c r="G507">
        <v>0</v>
      </c>
      <c r="H507" s="2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>
        <v>10584</v>
      </c>
      <c r="B508">
        <v>1976</v>
      </c>
      <c r="C508" t="s">
        <v>29</v>
      </c>
      <c r="D508" t="s">
        <v>34</v>
      </c>
      <c r="E508">
        <v>65665</v>
      </c>
      <c r="F508">
        <v>0</v>
      </c>
      <c r="G508">
        <v>1</v>
      </c>
      <c r="H508" s="2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t="s">
        <v>249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5">
      <c r="A510">
        <v>3386</v>
      </c>
      <c r="B510">
        <v>1992</v>
      </c>
      <c r="C510" t="s">
        <v>29</v>
      </c>
      <c r="D510" t="s">
        <v>34</v>
      </c>
      <c r="E510">
        <v>34935</v>
      </c>
      <c r="F510">
        <v>0</v>
      </c>
      <c r="G510">
        <v>0</v>
      </c>
      <c r="H510" t="s">
        <v>224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>
        <v>8939</v>
      </c>
      <c r="B511">
        <v>1959</v>
      </c>
      <c r="C511" t="s">
        <v>29</v>
      </c>
      <c r="D511" t="s">
        <v>37</v>
      </c>
      <c r="E511">
        <v>61250</v>
      </c>
      <c r="F511">
        <v>0</v>
      </c>
      <c r="G511">
        <v>1</v>
      </c>
      <c r="H511" t="s">
        <v>119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>
        <v>9925</v>
      </c>
      <c r="B512">
        <v>1981</v>
      </c>
      <c r="C512" t="s">
        <v>33</v>
      </c>
      <c r="D512" t="s">
        <v>31</v>
      </c>
      <c r="E512">
        <v>39665</v>
      </c>
      <c r="F512">
        <v>1</v>
      </c>
      <c r="G512">
        <v>0</v>
      </c>
      <c r="H512" t="s">
        <v>250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25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t="s">
        <v>45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25">
      <c r="A514">
        <v>5389</v>
      </c>
      <c r="B514">
        <v>1964</v>
      </c>
      <c r="C514" t="s">
        <v>29</v>
      </c>
      <c r="D514" t="s">
        <v>34</v>
      </c>
      <c r="E514">
        <v>48920</v>
      </c>
      <c r="F514">
        <v>0</v>
      </c>
      <c r="G514">
        <v>2</v>
      </c>
      <c r="H514" t="s">
        <v>251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>
        <v>6036</v>
      </c>
      <c r="B515">
        <v>1959</v>
      </c>
      <c r="C515" t="s">
        <v>36</v>
      </c>
      <c r="D515" t="s">
        <v>31</v>
      </c>
      <c r="E515">
        <v>89120</v>
      </c>
      <c r="F515">
        <v>0</v>
      </c>
      <c r="G515">
        <v>0</v>
      </c>
      <c r="H515" t="s">
        <v>179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>
        <v>182</v>
      </c>
      <c r="B516">
        <v>1946</v>
      </c>
      <c r="C516" t="s">
        <v>33</v>
      </c>
      <c r="D516" t="s">
        <v>31</v>
      </c>
      <c r="E516">
        <v>44124</v>
      </c>
      <c r="F516">
        <v>0</v>
      </c>
      <c r="G516">
        <v>1</v>
      </c>
      <c r="H516" s="2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>
        <v>203</v>
      </c>
      <c r="B517">
        <v>1975</v>
      </c>
      <c r="C517" t="s">
        <v>36</v>
      </c>
      <c r="D517" t="s">
        <v>30</v>
      </c>
      <c r="E517">
        <v>81169</v>
      </c>
      <c r="F517">
        <v>0</v>
      </c>
      <c r="G517">
        <v>0</v>
      </c>
      <c r="H517" t="s">
        <v>252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>
        <v>11025</v>
      </c>
      <c r="B518">
        <v>1961</v>
      </c>
      <c r="C518" t="s">
        <v>29</v>
      </c>
      <c r="D518" t="s">
        <v>34</v>
      </c>
      <c r="E518">
        <v>36443</v>
      </c>
      <c r="F518">
        <v>1</v>
      </c>
      <c r="G518">
        <v>1</v>
      </c>
      <c r="H518" s="2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t="s">
        <v>190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>
        <v>4607</v>
      </c>
      <c r="B520">
        <v>1959</v>
      </c>
      <c r="C520" t="s">
        <v>29</v>
      </c>
      <c r="D520" t="s">
        <v>31</v>
      </c>
      <c r="E520">
        <v>71367</v>
      </c>
      <c r="F520">
        <v>0</v>
      </c>
      <c r="G520">
        <v>0</v>
      </c>
      <c r="H520" t="s">
        <v>187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>
        <v>3711</v>
      </c>
      <c r="B521">
        <v>1944</v>
      </c>
      <c r="C521" t="s">
        <v>36</v>
      </c>
      <c r="D521" t="s">
        <v>34</v>
      </c>
      <c r="E521">
        <v>80184</v>
      </c>
      <c r="F521">
        <v>0</v>
      </c>
      <c r="G521">
        <v>0</v>
      </c>
      <c r="H521" s="2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>
        <v>3696</v>
      </c>
      <c r="B522">
        <v>1965</v>
      </c>
      <c r="C522" t="s">
        <v>29</v>
      </c>
      <c r="D522" t="s">
        <v>37</v>
      </c>
      <c r="E522">
        <v>30630</v>
      </c>
      <c r="F522">
        <v>1</v>
      </c>
      <c r="G522">
        <v>1</v>
      </c>
      <c r="H522" t="s">
        <v>253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5">
      <c r="A523">
        <v>2532</v>
      </c>
      <c r="B523">
        <v>1987</v>
      </c>
      <c r="C523" t="s">
        <v>36</v>
      </c>
      <c r="D523" t="s">
        <v>30</v>
      </c>
      <c r="E523">
        <v>73454</v>
      </c>
      <c r="F523">
        <v>0</v>
      </c>
      <c r="G523">
        <v>0</v>
      </c>
      <c r="H523" s="2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>
        <v>9214</v>
      </c>
      <c r="B524">
        <v>1991</v>
      </c>
      <c r="C524" t="s">
        <v>29</v>
      </c>
      <c r="D524" t="s">
        <v>34</v>
      </c>
      <c r="E524">
        <v>42691</v>
      </c>
      <c r="F524">
        <v>0</v>
      </c>
      <c r="G524">
        <v>0</v>
      </c>
      <c r="H524" t="s">
        <v>254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>
        <v>4943</v>
      </c>
      <c r="B525">
        <v>1953</v>
      </c>
      <c r="C525" t="s">
        <v>29</v>
      </c>
      <c r="D525" t="s">
        <v>34</v>
      </c>
      <c r="E525">
        <v>70503</v>
      </c>
      <c r="F525">
        <v>0</v>
      </c>
      <c r="G525">
        <v>0</v>
      </c>
      <c r="H525" t="s">
        <v>255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>
        <v>35</v>
      </c>
      <c r="B526">
        <v>1987</v>
      </c>
      <c r="C526" t="s">
        <v>29</v>
      </c>
      <c r="D526" t="s">
        <v>34</v>
      </c>
      <c r="E526">
        <v>25545</v>
      </c>
      <c r="F526">
        <v>1</v>
      </c>
      <c r="G526">
        <v>0</v>
      </c>
      <c r="H526" s="2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5">
      <c r="A527">
        <v>2258</v>
      </c>
      <c r="B527">
        <v>1986</v>
      </c>
      <c r="C527" t="s">
        <v>29</v>
      </c>
      <c r="D527" t="s">
        <v>34</v>
      </c>
      <c r="E527">
        <v>32880</v>
      </c>
      <c r="F527">
        <v>1</v>
      </c>
      <c r="G527">
        <v>0</v>
      </c>
      <c r="H527" s="2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>
        <v>4322</v>
      </c>
      <c r="B528">
        <v>1958</v>
      </c>
      <c r="C528" t="s">
        <v>33</v>
      </c>
      <c r="D528" t="s">
        <v>31</v>
      </c>
      <c r="E528">
        <v>77863</v>
      </c>
      <c r="F528">
        <v>0</v>
      </c>
      <c r="G528">
        <v>0</v>
      </c>
      <c r="H528" t="s">
        <v>246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>
        <v>713</v>
      </c>
      <c r="B529">
        <v>1977</v>
      </c>
      <c r="C529" t="s">
        <v>36</v>
      </c>
      <c r="D529" t="s">
        <v>34</v>
      </c>
      <c r="E529">
        <v>50353</v>
      </c>
      <c r="F529">
        <v>0</v>
      </c>
      <c r="G529">
        <v>0</v>
      </c>
      <c r="H529" s="2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s="2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>
        <v>3281</v>
      </c>
      <c r="B531">
        <v>1960</v>
      </c>
      <c r="C531" t="s">
        <v>33</v>
      </c>
      <c r="D531" t="s">
        <v>34</v>
      </c>
      <c r="E531">
        <v>49154</v>
      </c>
      <c r="F531">
        <v>1</v>
      </c>
      <c r="G531">
        <v>1</v>
      </c>
      <c r="H531" s="2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>
        <v>702</v>
      </c>
      <c r="B532">
        <v>1975</v>
      </c>
      <c r="C532" t="s">
        <v>46</v>
      </c>
      <c r="D532" t="s">
        <v>57</v>
      </c>
      <c r="E532">
        <v>47682</v>
      </c>
      <c r="F532">
        <v>0</v>
      </c>
      <c r="G532">
        <v>1</v>
      </c>
      <c r="H532" t="s">
        <v>256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5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t="s">
        <v>257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>
        <v>4769</v>
      </c>
      <c r="B534">
        <v>1977</v>
      </c>
      <c r="C534" t="s">
        <v>36</v>
      </c>
      <c r="D534" t="s">
        <v>31</v>
      </c>
      <c r="E534">
        <v>57954</v>
      </c>
      <c r="F534">
        <v>1</v>
      </c>
      <c r="G534">
        <v>1</v>
      </c>
      <c r="H534" t="s">
        <v>258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>
        <v>4437</v>
      </c>
      <c r="B535">
        <v>1962</v>
      </c>
      <c r="C535" t="s">
        <v>29</v>
      </c>
      <c r="D535" t="s">
        <v>34</v>
      </c>
      <c r="E535">
        <v>65316</v>
      </c>
      <c r="F535">
        <v>1</v>
      </c>
      <c r="G535">
        <v>1</v>
      </c>
      <c r="H535" t="s">
        <v>259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t="s">
        <v>63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>
        <v>10741</v>
      </c>
      <c r="B537">
        <v>1951</v>
      </c>
      <c r="C537" t="s">
        <v>36</v>
      </c>
      <c r="D537" t="s">
        <v>31</v>
      </c>
      <c r="E537">
        <v>47352</v>
      </c>
      <c r="F537">
        <v>0</v>
      </c>
      <c r="G537">
        <v>1</v>
      </c>
      <c r="H537" s="2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>
        <v>1991</v>
      </c>
      <c r="B538">
        <v>1967</v>
      </c>
      <c r="C538" t="s">
        <v>29</v>
      </c>
      <c r="D538" t="s">
        <v>31</v>
      </c>
      <c r="E538">
        <v>44931</v>
      </c>
      <c r="F538">
        <v>0</v>
      </c>
      <c r="G538">
        <v>1</v>
      </c>
      <c r="H538" t="s">
        <v>183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>
        <v>6931</v>
      </c>
      <c r="B539">
        <v>1967</v>
      </c>
      <c r="C539" t="s">
        <v>29</v>
      </c>
      <c r="D539" t="s">
        <v>37</v>
      </c>
      <c r="E539">
        <v>76982</v>
      </c>
      <c r="F539">
        <v>0</v>
      </c>
      <c r="G539">
        <v>0</v>
      </c>
      <c r="H539" t="s">
        <v>260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25">
      <c r="A540">
        <v>11096</v>
      </c>
      <c r="B540">
        <v>1952</v>
      </c>
      <c r="C540" t="s">
        <v>46</v>
      </c>
      <c r="D540" t="s">
        <v>31</v>
      </c>
      <c r="E540">
        <v>57247</v>
      </c>
      <c r="F540">
        <v>0</v>
      </c>
      <c r="G540">
        <v>1</v>
      </c>
      <c r="H540" s="2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>
        <v>304</v>
      </c>
      <c r="B541">
        <v>1981</v>
      </c>
      <c r="C541" t="s">
        <v>36</v>
      </c>
      <c r="D541" t="s">
        <v>30</v>
      </c>
      <c r="E541">
        <v>22944</v>
      </c>
      <c r="F541">
        <v>1</v>
      </c>
      <c r="G541">
        <v>0</v>
      </c>
      <c r="H541" t="s">
        <v>261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>
        <v>3665</v>
      </c>
      <c r="B542">
        <v>1977</v>
      </c>
      <c r="C542" t="s">
        <v>46</v>
      </c>
      <c r="D542" t="s">
        <v>31</v>
      </c>
      <c r="E542">
        <v>25315</v>
      </c>
      <c r="F542">
        <v>1</v>
      </c>
      <c r="G542">
        <v>0</v>
      </c>
      <c r="H542" s="2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5">
      <c r="A543">
        <v>10591</v>
      </c>
      <c r="B543">
        <v>1969</v>
      </c>
      <c r="C543" t="s">
        <v>29</v>
      </c>
      <c r="D543" t="s">
        <v>57</v>
      </c>
      <c r="E543">
        <v>43638</v>
      </c>
      <c r="F543">
        <v>0</v>
      </c>
      <c r="G543">
        <v>1</v>
      </c>
      <c r="H543" s="2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>
        <v>5036</v>
      </c>
      <c r="B544">
        <v>1984</v>
      </c>
      <c r="C544" t="s">
        <v>33</v>
      </c>
      <c r="D544" t="s">
        <v>30</v>
      </c>
      <c r="E544">
        <v>42710</v>
      </c>
      <c r="F544">
        <v>1</v>
      </c>
      <c r="G544">
        <v>0</v>
      </c>
      <c r="H544" t="s">
        <v>262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>
        <v>5547</v>
      </c>
      <c r="B545">
        <v>1982</v>
      </c>
      <c r="C545" t="s">
        <v>33</v>
      </c>
      <c r="D545" t="s">
        <v>34</v>
      </c>
      <c r="E545">
        <v>84169</v>
      </c>
      <c r="F545">
        <v>0</v>
      </c>
      <c r="G545">
        <v>0</v>
      </c>
      <c r="H545" s="2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25">
      <c r="A546">
        <v>7822</v>
      </c>
      <c r="B546">
        <v>1976</v>
      </c>
      <c r="C546" t="s">
        <v>29</v>
      </c>
      <c r="D546" t="s">
        <v>31</v>
      </c>
      <c r="E546">
        <v>54058</v>
      </c>
      <c r="F546">
        <v>0</v>
      </c>
      <c r="G546">
        <v>1</v>
      </c>
      <c r="H546" s="2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>
        <v>8541</v>
      </c>
      <c r="B547">
        <v>1990</v>
      </c>
      <c r="C547" t="s">
        <v>46</v>
      </c>
      <c r="D547" t="s">
        <v>34</v>
      </c>
      <c r="E547">
        <v>24683</v>
      </c>
      <c r="F547">
        <v>1</v>
      </c>
      <c r="G547">
        <v>0</v>
      </c>
      <c r="H547" s="2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>
        <v>10955</v>
      </c>
      <c r="B548">
        <v>1964</v>
      </c>
      <c r="C548" t="s">
        <v>29</v>
      </c>
      <c r="D548" t="s">
        <v>57</v>
      </c>
      <c r="E548">
        <v>85620</v>
      </c>
      <c r="F548">
        <v>0</v>
      </c>
      <c r="G548">
        <v>0</v>
      </c>
      <c r="H548" s="2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25">
      <c r="A549">
        <v>4368</v>
      </c>
      <c r="B549">
        <v>1980</v>
      </c>
      <c r="C549" t="s">
        <v>29</v>
      </c>
      <c r="D549" t="s">
        <v>34</v>
      </c>
      <c r="E549">
        <v>47850</v>
      </c>
      <c r="F549">
        <v>1</v>
      </c>
      <c r="G549">
        <v>0</v>
      </c>
      <c r="H549" s="2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>
        <v>9671</v>
      </c>
      <c r="B550">
        <v>1968</v>
      </c>
      <c r="C550" t="s">
        <v>29</v>
      </c>
      <c r="D550" t="s">
        <v>34</v>
      </c>
      <c r="E550">
        <v>19514</v>
      </c>
      <c r="F550">
        <v>1</v>
      </c>
      <c r="G550">
        <v>1</v>
      </c>
      <c r="H550" t="s">
        <v>244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25">
      <c r="A551">
        <v>2256</v>
      </c>
      <c r="B551">
        <v>1973</v>
      </c>
      <c r="C551" t="s">
        <v>36</v>
      </c>
      <c r="D551" t="s">
        <v>34</v>
      </c>
      <c r="E551">
        <v>27159</v>
      </c>
      <c r="F551">
        <v>1</v>
      </c>
      <c r="G551">
        <v>1</v>
      </c>
      <c r="H551" t="s">
        <v>263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>
        <v>4279</v>
      </c>
      <c r="B552">
        <v>1963</v>
      </c>
      <c r="C552" t="s">
        <v>46</v>
      </c>
      <c r="D552" t="s">
        <v>30</v>
      </c>
      <c r="E552">
        <v>39548</v>
      </c>
      <c r="F552">
        <v>1</v>
      </c>
      <c r="G552">
        <v>1</v>
      </c>
      <c r="H552" t="s">
        <v>132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s="2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25">
      <c r="A554">
        <v>9240</v>
      </c>
      <c r="B554">
        <v>1971</v>
      </c>
      <c r="C554" t="s">
        <v>33</v>
      </c>
      <c r="D554" t="s">
        <v>30</v>
      </c>
      <c r="E554">
        <v>60504</v>
      </c>
      <c r="F554">
        <v>0</v>
      </c>
      <c r="G554">
        <v>1</v>
      </c>
      <c r="H554" s="2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5">
      <c r="A555">
        <v>9460</v>
      </c>
      <c r="B555">
        <v>1963</v>
      </c>
      <c r="C555" t="s">
        <v>29</v>
      </c>
      <c r="D555" t="s">
        <v>34</v>
      </c>
      <c r="E555">
        <v>22419</v>
      </c>
      <c r="F555">
        <v>0</v>
      </c>
      <c r="G555">
        <v>0</v>
      </c>
      <c r="H555" t="s">
        <v>210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>
        <v>9504</v>
      </c>
      <c r="B556">
        <v>1949</v>
      </c>
      <c r="C556" t="s">
        <v>36</v>
      </c>
      <c r="D556" t="s">
        <v>34</v>
      </c>
      <c r="E556">
        <v>81698</v>
      </c>
      <c r="F556">
        <v>0</v>
      </c>
      <c r="G556">
        <v>0</v>
      </c>
      <c r="H556" s="2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5">
      <c r="A557">
        <v>8692</v>
      </c>
      <c r="B557">
        <v>1952</v>
      </c>
      <c r="C557" t="s">
        <v>29</v>
      </c>
      <c r="D557" t="s">
        <v>31</v>
      </c>
      <c r="E557">
        <v>43462</v>
      </c>
      <c r="F557">
        <v>1</v>
      </c>
      <c r="G557">
        <v>1</v>
      </c>
      <c r="H557" s="2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>
        <v>448</v>
      </c>
      <c r="B558">
        <v>1978</v>
      </c>
      <c r="C558" t="s">
        <v>33</v>
      </c>
      <c r="D558" t="s">
        <v>30</v>
      </c>
      <c r="E558">
        <v>54880</v>
      </c>
      <c r="F558">
        <v>1</v>
      </c>
      <c r="G558">
        <v>0</v>
      </c>
      <c r="H558" s="2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>
        <v>8314</v>
      </c>
      <c r="B559">
        <v>1982</v>
      </c>
      <c r="C559" t="s">
        <v>29</v>
      </c>
      <c r="D559" t="s">
        <v>34</v>
      </c>
      <c r="E559">
        <v>79908</v>
      </c>
      <c r="F559">
        <v>0</v>
      </c>
      <c r="G559">
        <v>0</v>
      </c>
      <c r="H559" s="2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>
        <v>8420</v>
      </c>
      <c r="B560">
        <v>1970</v>
      </c>
      <c r="C560" t="s">
        <v>46</v>
      </c>
      <c r="D560" t="s">
        <v>34</v>
      </c>
      <c r="E560">
        <v>15315</v>
      </c>
      <c r="F560">
        <v>0</v>
      </c>
      <c r="G560">
        <v>0</v>
      </c>
      <c r="H560" s="2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>
        <v>3174</v>
      </c>
      <c r="B561">
        <v>1959</v>
      </c>
      <c r="C561" t="s">
        <v>29</v>
      </c>
      <c r="D561" t="s">
        <v>31</v>
      </c>
      <c r="E561">
        <v>87771</v>
      </c>
      <c r="F561">
        <v>0</v>
      </c>
      <c r="G561">
        <v>1</v>
      </c>
      <c r="H561" t="s">
        <v>163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25">
      <c r="A562">
        <v>7685</v>
      </c>
      <c r="B562">
        <v>1978</v>
      </c>
      <c r="C562" t="s">
        <v>29</v>
      </c>
      <c r="D562" t="s">
        <v>34</v>
      </c>
      <c r="E562">
        <v>33039</v>
      </c>
      <c r="F562">
        <v>1</v>
      </c>
      <c r="G562">
        <v>0</v>
      </c>
      <c r="H562" s="2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t="s">
        <v>264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>
        <v>9780</v>
      </c>
      <c r="B564">
        <v>1971</v>
      </c>
      <c r="C564" t="s">
        <v>36</v>
      </c>
      <c r="D564" t="s">
        <v>31</v>
      </c>
      <c r="E564">
        <v>71499</v>
      </c>
      <c r="F564">
        <v>0</v>
      </c>
      <c r="G564">
        <v>1</v>
      </c>
      <c r="H564" t="s">
        <v>265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>
        <v>10681</v>
      </c>
      <c r="B565">
        <v>1970</v>
      </c>
      <c r="C565" t="s">
        <v>46</v>
      </c>
      <c r="D565" t="s">
        <v>34</v>
      </c>
      <c r="E565">
        <v>62466</v>
      </c>
      <c r="F565">
        <v>0</v>
      </c>
      <c r="G565">
        <v>1</v>
      </c>
      <c r="H565" t="s">
        <v>176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>
        <v>10232</v>
      </c>
      <c r="B566">
        <v>1963</v>
      </c>
      <c r="C566" t="s">
        <v>33</v>
      </c>
      <c r="D566" t="s">
        <v>37</v>
      </c>
      <c r="E566">
        <v>48799</v>
      </c>
      <c r="F566">
        <v>0</v>
      </c>
      <c r="G566">
        <v>1</v>
      </c>
      <c r="H566" s="2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>
        <v>4184</v>
      </c>
      <c r="B567">
        <v>1950</v>
      </c>
      <c r="C567" t="s">
        <v>33</v>
      </c>
      <c r="D567" t="s">
        <v>31</v>
      </c>
      <c r="E567">
        <v>52157</v>
      </c>
      <c r="F567">
        <v>0</v>
      </c>
      <c r="G567">
        <v>1</v>
      </c>
      <c r="H567" s="2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s="2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>
        <v>891</v>
      </c>
      <c r="B569">
        <v>1951</v>
      </c>
      <c r="C569" t="s">
        <v>36</v>
      </c>
      <c r="D569" t="s">
        <v>31</v>
      </c>
      <c r="E569">
        <v>29298</v>
      </c>
      <c r="F569">
        <v>1</v>
      </c>
      <c r="G569">
        <v>1</v>
      </c>
      <c r="H569" s="2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5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s="2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>
        <v>3525</v>
      </c>
      <c r="B571">
        <v>1970</v>
      </c>
      <c r="C571" t="s">
        <v>29</v>
      </c>
      <c r="D571" t="s">
        <v>31</v>
      </c>
      <c r="E571">
        <v>38200</v>
      </c>
      <c r="F571">
        <v>1</v>
      </c>
      <c r="G571">
        <v>1</v>
      </c>
      <c r="H571" s="2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>
        <v>6818</v>
      </c>
      <c r="B572">
        <v>1974</v>
      </c>
      <c r="C572" t="s">
        <v>29</v>
      </c>
      <c r="D572" t="s">
        <v>34</v>
      </c>
      <c r="E572">
        <v>44989</v>
      </c>
      <c r="F572">
        <v>0</v>
      </c>
      <c r="G572">
        <v>1</v>
      </c>
      <c r="H572" s="2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5">
      <c r="A573">
        <v>3526</v>
      </c>
      <c r="B573">
        <v>1968</v>
      </c>
      <c r="C573" t="s">
        <v>33</v>
      </c>
      <c r="D573" t="s">
        <v>34</v>
      </c>
      <c r="E573">
        <v>38443</v>
      </c>
      <c r="F573">
        <v>1</v>
      </c>
      <c r="G573">
        <v>1</v>
      </c>
      <c r="H573" t="s">
        <v>253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>
        <v>8181</v>
      </c>
      <c r="B574">
        <v>1978</v>
      </c>
      <c r="C574" t="s">
        <v>46</v>
      </c>
      <c r="D574" t="s">
        <v>30</v>
      </c>
      <c r="E574">
        <v>38593</v>
      </c>
      <c r="F574">
        <v>1</v>
      </c>
      <c r="G574">
        <v>0</v>
      </c>
      <c r="H574" t="s">
        <v>266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>
        <v>1029</v>
      </c>
      <c r="B575">
        <v>1970</v>
      </c>
      <c r="C575" t="s">
        <v>33</v>
      </c>
      <c r="D575" t="s">
        <v>31</v>
      </c>
      <c r="E575">
        <v>64413</v>
      </c>
      <c r="F575">
        <v>0</v>
      </c>
      <c r="G575">
        <v>1</v>
      </c>
      <c r="H575" s="2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>
        <v>7369</v>
      </c>
      <c r="B576">
        <v>1981</v>
      </c>
      <c r="C576" t="s">
        <v>36</v>
      </c>
      <c r="D576" t="s">
        <v>34</v>
      </c>
      <c r="E576">
        <v>36959</v>
      </c>
      <c r="F576">
        <v>1</v>
      </c>
      <c r="G576">
        <v>0</v>
      </c>
      <c r="H576" s="2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>
        <v>2574</v>
      </c>
      <c r="B577">
        <v>1977</v>
      </c>
      <c r="C577" t="s">
        <v>33</v>
      </c>
      <c r="D577" t="s">
        <v>34</v>
      </c>
      <c r="E577">
        <v>61996</v>
      </c>
      <c r="F577">
        <v>0</v>
      </c>
      <c r="G577">
        <v>1</v>
      </c>
      <c r="H577" t="s">
        <v>267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25">
      <c r="A578">
        <v>8159</v>
      </c>
      <c r="B578">
        <v>1968</v>
      </c>
      <c r="C578" t="s">
        <v>29</v>
      </c>
      <c r="D578" t="s">
        <v>34</v>
      </c>
      <c r="E578">
        <v>51287</v>
      </c>
      <c r="F578">
        <v>1</v>
      </c>
      <c r="G578">
        <v>1</v>
      </c>
      <c r="H578" s="2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5">
      <c r="A579">
        <v>1160</v>
      </c>
      <c r="B579">
        <v>1970</v>
      </c>
      <c r="C579" t="s">
        <v>29</v>
      </c>
      <c r="D579" t="s">
        <v>34</v>
      </c>
      <c r="E579">
        <v>13260</v>
      </c>
      <c r="F579">
        <v>1</v>
      </c>
      <c r="G579">
        <v>1</v>
      </c>
      <c r="H579" t="s">
        <v>187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>
        <v>10242</v>
      </c>
      <c r="B580">
        <v>1966</v>
      </c>
      <c r="C580" t="s">
        <v>33</v>
      </c>
      <c r="D580" t="s">
        <v>31</v>
      </c>
      <c r="E580">
        <v>47472</v>
      </c>
      <c r="F580">
        <v>1</v>
      </c>
      <c r="G580">
        <v>1</v>
      </c>
      <c r="H580" t="s">
        <v>157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>
        <v>5253</v>
      </c>
      <c r="B581">
        <v>1956</v>
      </c>
      <c r="C581" t="s">
        <v>36</v>
      </c>
      <c r="D581" t="s">
        <v>31</v>
      </c>
      <c r="E581">
        <v>54603</v>
      </c>
      <c r="F581">
        <v>1</v>
      </c>
      <c r="G581">
        <v>1</v>
      </c>
      <c r="H581" s="2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>
        <v>5966</v>
      </c>
      <c r="B582">
        <v>1974</v>
      </c>
      <c r="C582" t="s">
        <v>33</v>
      </c>
      <c r="D582" t="s">
        <v>34</v>
      </c>
      <c r="E582">
        <v>45207</v>
      </c>
      <c r="F582">
        <v>1</v>
      </c>
      <c r="G582">
        <v>1</v>
      </c>
      <c r="H582" s="2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>
        <v>5314</v>
      </c>
      <c r="B583">
        <v>1951</v>
      </c>
      <c r="C583" t="s">
        <v>29</v>
      </c>
      <c r="D583" t="s">
        <v>31</v>
      </c>
      <c r="E583">
        <v>40689</v>
      </c>
      <c r="F583">
        <v>0</v>
      </c>
      <c r="G583">
        <v>1</v>
      </c>
      <c r="H583" t="s">
        <v>48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>
        <v>5081</v>
      </c>
      <c r="B584">
        <v>1967</v>
      </c>
      <c r="C584" t="s">
        <v>46</v>
      </c>
      <c r="D584" t="s">
        <v>31</v>
      </c>
      <c r="E584">
        <v>47821</v>
      </c>
      <c r="F584">
        <v>1</v>
      </c>
      <c r="G584">
        <v>1</v>
      </c>
      <c r="H584" t="s">
        <v>251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>
        <v>5123</v>
      </c>
      <c r="B585">
        <v>1951</v>
      </c>
      <c r="C585" t="s">
        <v>36</v>
      </c>
      <c r="D585" t="s">
        <v>34</v>
      </c>
      <c r="E585">
        <v>27450</v>
      </c>
      <c r="F585">
        <v>0</v>
      </c>
      <c r="G585">
        <v>0</v>
      </c>
      <c r="H585" t="s">
        <v>268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>
        <v>5756</v>
      </c>
      <c r="B586">
        <v>1983</v>
      </c>
      <c r="C586" t="s">
        <v>29</v>
      </c>
      <c r="D586" t="s">
        <v>31</v>
      </c>
      <c r="E586">
        <v>39453</v>
      </c>
      <c r="F586">
        <v>1</v>
      </c>
      <c r="G586">
        <v>0</v>
      </c>
      <c r="H586" s="2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>
        <v>8036</v>
      </c>
      <c r="B587">
        <v>1971</v>
      </c>
      <c r="C587" t="s">
        <v>46</v>
      </c>
      <c r="D587" t="s">
        <v>31</v>
      </c>
      <c r="E587">
        <v>26850</v>
      </c>
      <c r="F587">
        <v>1</v>
      </c>
      <c r="G587">
        <v>1</v>
      </c>
      <c r="H587" t="s">
        <v>269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>
        <v>9058</v>
      </c>
      <c r="B588">
        <v>1955</v>
      </c>
      <c r="C588" t="s">
        <v>29</v>
      </c>
      <c r="D588" t="s">
        <v>57</v>
      </c>
      <c r="E588">
        <v>79800</v>
      </c>
      <c r="F588">
        <v>0</v>
      </c>
      <c r="G588">
        <v>0</v>
      </c>
      <c r="H588" t="s">
        <v>270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25">
      <c r="A589">
        <v>5057</v>
      </c>
      <c r="B589">
        <v>1961</v>
      </c>
      <c r="C589" t="s">
        <v>36</v>
      </c>
      <c r="D589" t="s">
        <v>34</v>
      </c>
      <c r="E589">
        <v>61794</v>
      </c>
      <c r="F589">
        <v>0</v>
      </c>
      <c r="G589">
        <v>1</v>
      </c>
      <c r="H589" t="s">
        <v>271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>
        <v>254</v>
      </c>
      <c r="B590">
        <v>1955</v>
      </c>
      <c r="C590" t="s">
        <v>29</v>
      </c>
      <c r="D590" t="s">
        <v>31</v>
      </c>
      <c r="E590">
        <v>53863</v>
      </c>
      <c r="F590">
        <v>0</v>
      </c>
      <c r="G590">
        <v>1</v>
      </c>
      <c r="H590" t="s">
        <v>151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>
        <v>4179</v>
      </c>
      <c r="B591">
        <v>1959</v>
      </c>
      <c r="C591" t="s">
        <v>29</v>
      </c>
      <c r="D591" t="s">
        <v>31</v>
      </c>
      <c r="E591">
        <v>24221</v>
      </c>
      <c r="F591">
        <v>0</v>
      </c>
      <c r="G591">
        <v>0</v>
      </c>
      <c r="H591" t="s">
        <v>113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>
        <v>3710</v>
      </c>
      <c r="B592">
        <v>1984</v>
      </c>
      <c r="C592" t="s">
        <v>33</v>
      </c>
      <c r="D592" t="s">
        <v>30</v>
      </c>
      <c r="E592">
        <v>39684</v>
      </c>
      <c r="F592">
        <v>1</v>
      </c>
      <c r="G592">
        <v>0</v>
      </c>
      <c r="H592" s="2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5">
      <c r="A593">
        <v>7627</v>
      </c>
      <c r="B593">
        <v>1975</v>
      </c>
      <c r="C593" t="s">
        <v>36</v>
      </c>
      <c r="D593" t="s">
        <v>34</v>
      </c>
      <c r="E593">
        <v>92163</v>
      </c>
      <c r="F593">
        <v>0</v>
      </c>
      <c r="G593">
        <v>0</v>
      </c>
      <c r="H593" s="2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25">
      <c r="A594">
        <v>4501</v>
      </c>
      <c r="B594">
        <v>1965</v>
      </c>
      <c r="C594" t="s">
        <v>36</v>
      </c>
      <c r="D594" t="s">
        <v>30</v>
      </c>
      <c r="E594">
        <v>69882</v>
      </c>
      <c r="F594">
        <v>0</v>
      </c>
      <c r="G594">
        <v>0</v>
      </c>
      <c r="H594" s="2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>
        <v>6424</v>
      </c>
      <c r="B595">
        <v>1977</v>
      </c>
      <c r="C595" t="s">
        <v>29</v>
      </c>
      <c r="D595" t="s">
        <v>31</v>
      </c>
      <c r="E595">
        <v>33178</v>
      </c>
      <c r="F595">
        <v>1</v>
      </c>
      <c r="G595">
        <v>0</v>
      </c>
      <c r="H595" t="s">
        <v>118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>
        <v>3075</v>
      </c>
      <c r="B596">
        <v>1972</v>
      </c>
      <c r="C596" t="s">
        <v>33</v>
      </c>
      <c r="D596" t="s">
        <v>34</v>
      </c>
      <c r="E596">
        <v>59973</v>
      </c>
      <c r="F596">
        <v>0</v>
      </c>
      <c r="G596">
        <v>0</v>
      </c>
      <c r="H596" s="2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>
        <v>4992</v>
      </c>
      <c r="B597">
        <v>1975</v>
      </c>
      <c r="C597" t="s">
        <v>36</v>
      </c>
      <c r="D597" t="s">
        <v>31</v>
      </c>
      <c r="E597">
        <v>17459</v>
      </c>
      <c r="F597">
        <v>1</v>
      </c>
      <c r="G597">
        <v>0</v>
      </c>
      <c r="H597" t="s">
        <v>130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25">
      <c r="A598">
        <v>5252</v>
      </c>
      <c r="B598">
        <v>1969</v>
      </c>
      <c r="C598" t="s">
        <v>29</v>
      </c>
      <c r="D598" t="s">
        <v>37</v>
      </c>
      <c r="E598">
        <v>23910</v>
      </c>
      <c r="F598">
        <v>1</v>
      </c>
      <c r="G598">
        <v>0</v>
      </c>
      <c r="H598" t="s">
        <v>272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>
        <v>7444</v>
      </c>
      <c r="B599">
        <v>1969</v>
      </c>
      <c r="C599" t="s">
        <v>36</v>
      </c>
      <c r="D599" t="s">
        <v>34</v>
      </c>
      <c r="E599">
        <v>42169</v>
      </c>
      <c r="F599">
        <v>1</v>
      </c>
      <c r="G599">
        <v>1</v>
      </c>
      <c r="H599" t="s">
        <v>273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>
        <v>6919</v>
      </c>
      <c r="B600">
        <v>1978</v>
      </c>
      <c r="C600" t="s">
        <v>46</v>
      </c>
      <c r="D600" t="s">
        <v>34</v>
      </c>
      <c r="E600">
        <v>26224</v>
      </c>
      <c r="F600">
        <v>1</v>
      </c>
      <c r="G600">
        <v>0</v>
      </c>
      <c r="H600" s="2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5">
      <c r="A601">
        <v>3537</v>
      </c>
      <c r="B601">
        <v>1981</v>
      </c>
      <c r="C601" t="s">
        <v>29</v>
      </c>
      <c r="D601" t="s">
        <v>31</v>
      </c>
      <c r="E601">
        <v>31089</v>
      </c>
      <c r="F601">
        <v>1</v>
      </c>
      <c r="G601">
        <v>0</v>
      </c>
      <c r="H601" t="s">
        <v>155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t="s">
        <v>274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>
        <v>2453</v>
      </c>
      <c r="B603">
        <v>1960</v>
      </c>
      <c r="C603" t="s">
        <v>29</v>
      </c>
      <c r="D603" t="s">
        <v>31</v>
      </c>
      <c r="E603">
        <v>62807</v>
      </c>
      <c r="F603">
        <v>0</v>
      </c>
      <c r="G603">
        <v>1</v>
      </c>
      <c r="H603" t="s">
        <v>44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t="s">
        <v>275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>
        <v>895</v>
      </c>
      <c r="B605">
        <v>1948</v>
      </c>
      <c r="C605" t="s">
        <v>33</v>
      </c>
      <c r="D605" t="s">
        <v>34</v>
      </c>
      <c r="E605">
        <v>61467</v>
      </c>
      <c r="F605">
        <v>0</v>
      </c>
      <c r="G605">
        <v>2</v>
      </c>
      <c r="H605" s="2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25">
      <c r="A606">
        <v>1177</v>
      </c>
      <c r="B606">
        <v>1966</v>
      </c>
      <c r="C606" t="s">
        <v>36</v>
      </c>
      <c r="D606" t="s">
        <v>31</v>
      </c>
      <c r="E606">
        <v>49618</v>
      </c>
      <c r="F606">
        <v>1</v>
      </c>
      <c r="G606">
        <v>1</v>
      </c>
      <c r="H606" t="s">
        <v>276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>
        <v>7141</v>
      </c>
      <c r="B607">
        <v>1986</v>
      </c>
      <c r="C607" t="s">
        <v>36</v>
      </c>
      <c r="D607" t="s">
        <v>30</v>
      </c>
      <c r="E607">
        <v>21888</v>
      </c>
      <c r="F607">
        <v>1</v>
      </c>
      <c r="G607">
        <v>0</v>
      </c>
      <c r="H607" t="s">
        <v>247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25">
      <c r="A608">
        <v>7232</v>
      </c>
      <c r="B608">
        <v>1973</v>
      </c>
      <c r="C608" t="s">
        <v>29</v>
      </c>
      <c r="D608" t="s">
        <v>57</v>
      </c>
      <c r="E608">
        <v>42429</v>
      </c>
      <c r="F608">
        <v>0</v>
      </c>
      <c r="G608">
        <v>1</v>
      </c>
      <c r="H608" s="2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25">
      <c r="A609">
        <v>8477</v>
      </c>
      <c r="B609">
        <v>1956</v>
      </c>
      <c r="C609" t="s">
        <v>29</v>
      </c>
      <c r="D609" t="s">
        <v>37</v>
      </c>
      <c r="E609">
        <v>26150</v>
      </c>
      <c r="F609">
        <v>2</v>
      </c>
      <c r="G609">
        <v>1</v>
      </c>
      <c r="H609" s="2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>
        <v>2457</v>
      </c>
      <c r="B610">
        <v>1975</v>
      </c>
      <c r="C610" t="s">
        <v>41</v>
      </c>
      <c r="D610" t="s">
        <v>34</v>
      </c>
      <c r="E610">
        <v>30801</v>
      </c>
      <c r="F610">
        <v>0</v>
      </c>
      <c r="G610">
        <v>1</v>
      </c>
      <c r="H610" t="s">
        <v>272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5">
      <c r="A611">
        <v>988</v>
      </c>
      <c r="B611">
        <v>1965</v>
      </c>
      <c r="C611" t="s">
        <v>29</v>
      </c>
      <c r="D611" t="s">
        <v>34</v>
      </c>
      <c r="E611">
        <v>81168</v>
      </c>
      <c r="F611">
        <v>0</v>
      </c>
      <c r="G611">
        <v>0</v>
      </c>
      <c r="H611" s="2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>
        <v>7930</v>
      </c>
      <c r="B612">
        <v>1969</v>
      </c>
      <c r="C612" t="s">
        <v>36</v>
      </c>
      <c r="D612" t="s">
        <v>30</v>
      </c>
      <c r="E612">
        <v>26877</v>
      </c>
      <c r="F612">
        <v>0</v>
      </c>
      <c r="G612">
        <v>0</v>
      </c>
      <c r="H612" t="s">
        <v>277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>
        <v>4587</v>
      </c>
      <c r="B613">
        <v>1944</v>
      </c>
      <c r="C613" t="s">
        <v>36</v>
      </c>
      <c r="D613" t="s">
        <v>57</v>
      </c>
      <c r="E613">
        <v>45006</v>
      </c>
      <c r="F613">
        <v>0</v>
      </c>
      <c r="G613">
        <v>0</v>
      </c>
      <c r="H613" t="s">
        <v>278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>
        <v>6682</v>
      </c>
      <c r="B614">
        <v>1973</v>
      </c>
      <c r="C614" t="s">
        <v>41</v>
      </c>
      <c r="D614" t="s">
        <v>34</v>
      </c>
      <c r="E614">
        <v>18978</v>
      </c>
      <c r="F614">
        <v>1</v>
      </c>
      <c r="G614">
        <v>0</v>
      </c>
      <c r="H614" s="2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5">
      <c r="A615">
        <v>6222</v>
      </c>
      <c r="B615">
        <v>1967</v>
      </c>
      <c r="C615" t="s">
        <v>29</v>
      </c>
      <c r="D615" t="s">
        <v>34</v>
      </c>
      <c r="E615">
        <v>22574</v>
      </c>
      <c r="F615">
        <v>2</v>
      </c>
      <c r="G615">
        <v>1</v>
      </c>
      <c r="H615" t="s">
        <v>152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>
        <v>10299</v>
      </c>
      <c r="B616">
        <v>1969</v>
      </c>
      <c r="C616" t="s">
        <v>33</v>
      </c>
      <c r="D616" t="s">
        <v>30</v>
      </c>
      <c r="E616">
        <v>48240</v>
      </c>
      <c r="F616">
        <v>0</v>
      </c>
      <c r="G616">
        <v>0</v>
      </c>
      <c r="H616" s="2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25">
      <c r="A617">
        <v>3083</v>
      </c>
      <c r="B617">
        <v>1974</v>
      </c>
      <c r="C617" t="s">
        <v>29</v>
      </c>
      <c r="D617" t="s">
        <v>34</v>
      </c>
      <c r="E617">
        <v>45837</v>
      </c>
      <c r="F617">
        <v>1</v>
      </c>
      <c r="G617">
        <v>1</v>
      </c>
      <c r="H617" t="s">
        <v>279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>
        <v>8953</v>
      </c>
      <c r="B618">
        <v>1965</v>
      </c>
      <c r="C618" t="s">
        <v>36</v>
      </c>
      <c r="D618" t="s">
        <v>30</v>
      </c>
      <c r="E618">
        <v>35791</v>
      </c>
      <c r="F618">
        <v>2</v>
      </c>
      <c r="G618">
        <v>1</v>
      </c>
      <c r="H618" s="2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>
        <v>1503</v>
      </c>
      <c r="B619">
        <v>1976</v>
      </c>
      <c r="C619" t="s">
        <v>33</v>
      </c>
      <c r="D619" t="s">
        <v>31</v>
      </c>
      <c r="E619">
        <v>162397</v>
      </c>
      <c r="F619">
        <v>1</v>
      </c>
      <c r="G619">
        <v>1</v>
      </c>
      <c r="H619" s="2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25">
      <c r="A620">
        <v>8650</v>
      </c>
      <c r="B620">
        <v>1978</v>
      </c>
      <c r="C620" t="s">
        <v>29</v>
      </c>
      <c r="D620" t="s">
        <v>57</v>
      </c>
      <c r="E620">
        <v>54162</v>
      </c>
      <c r="F620">
        <v>1</v>
      </c>
      <c r="G620">
        <v>1</v>
      </c>
      <c r="H620" t="s">
        <v>48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>
        <v>10862</v>
      </c>
      <c r="B621">
        <v>1960</v>
      </c>
      <c r="C621" t="s">
        <v>36</v>
      </c>
      <c r="D621" t="s">
        <v>34</v>
      </c>
      <c r="E621">
        <v>30522</v>
      </c>
      <c r="F621">
        <v>0</v>
      </c>
      <c r="G621">
        <v>1</v>
      </c>
      <c r="H621" t="s">
        <v>155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>
        <v>2782</v>
      </c>
      <c r="B622">
        <v>1961</v>
      </c>
      <c r="C622" t="s">
        <v>33</v>
      </c>
      <c r="D622" t="s">
        <v>34</v>
      </c>
      <c r="E622">
        <v>54456</v>
      </c>
      <c r="F622">
        <v>0</v>
      </c>
      <c r="G622">
        <v>1</v>
      </c>
      <c r="H622" s="2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t="s">
        <v>280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>
        <v>10972</v>
      </c>
      <c r="B624">
        <v>1949</v>
      </c>
      <c r="C624" t="s">
        <v>29</v>
      </c>
      <c r="D624" t="s">
        <v>57</v>
      </c>
      <c r="E624">
        <v>72298</v>
      </c>
      <c r="F624">
        <v>0</v>
      </c>
      <c r="G624">
        <v>0</v>
      </c>
      <c r="H624" s="2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>
        <v>10708</v>
      </c>
      <c r="B625">
        <v>1978</v>
      </c>
      <c r="C625" t="s">
        <v>46</v>
      </c>
      <c r="D625" t="s">
        <v>30</v>
      </c>
      <c r="E625">
        <v>36975</v>
      </c>
      <c r="F625">
        <v>1</v>
      </c>
      <c r="G625">
        <v>0</v>
      </c>
      <c r="H625" t="s">
        <v>281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>
        <v>6583</v>
      </c>
      <c r="B626">
        <v>1955</v>
      </c>
      <c r="C626" t="s">
        <v>46</v>
      </c>
      <c r="D626" t="s">
        <v>34</v>
      </c>
      <c r="E626">
        <v>72635</v>
      </c>
      <c r="F626">
        <v>0</v>
      </c>
      <c r="G626">
        <v>0</v>
      </c>
      <c r="H626" s="2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>
        <v>3641</v>
      </c>
      <c r="B627">
        <v>1976</v>
      </c>
      <c r="C627" t="s">
        <v>29</v>
      </c>
      <c r="D627" t="s">
        <v>34</v>
      </c>
      <c r="E627">
        <v>13624</v>
      </c>
      <c r="F627">
        <v>1</v>
      </c>
      <c r="G627">
        <v>0</v>
      </c>
      <c r="H627" t="s">
        <v>282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5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s="2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>
        <v>4299</v>
      </c>
      <c r="B629">
        <v>1960</v>
      </c>
      <c r="C629" t="s">
        <v>29</v>
      </c>
      <c r="D629" t="s">
        <v>31</v>
      </c>
      <c r="E629">
        <v>70971</v>
      </c>
      <c r="F629">
        <v>0</v>
      </c>
      <c r="G629">
        <v>1</v>
      </c>
      <c r="H629" t="s">
        <v>283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25">
      <c r="A630">
        <v>3469</v>
      </c>
      <c r="B630">
        <v>1977</v>
      </c>
      <c r="C630" t="s">
        <v>33</v>
      </c>
      <c r="D630" t="s">
        <v>37</v>
      </c>
      <c r="E630">
        <v>34487</v>
      </c>
      <c r="F630">
        <v>1</v>
      </c>
      <c r="G630">
        <v>1</v>
      </c>
      <c r="H630" s="2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t="s">
        <v>284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5">
      <c r="A632">
        <v>10727</v>
      </c>
      <c r="B632">
        <v>1970</v>
      </c>
      <c r="C632" t="s">
        <v>33</v>
      </c>
      <c r="D632" t="s">
        <v>34</v>
      </c>
      <c r="E632">
        <v>69084</v>
      </c>
      <c r="F632">
        <v>1</v>
      </c>
      <c r="G632">
        <v>0</v>
      </c>
      <c r="H632" t="s">
        <v>285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>
        <v>9624</v>
      </c>
      <c r="B633">
        <v>1958</v>
      </c>
      <c r="C633" t="s">
        <v>33</v>
      </c>
      <c r="D633" t="s">
        <v>31</v>
      </c>
      <c r="E633">
        <v>65488</v>
      </c>
      <c r="F633">
        <v>0</v>
      </c>
      <c r="G633">
        <v>0</v>
      </c>
      <c r="H633" t="s">
        <v>286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>
        <v>5156</v>
      </c>
      <c r="B634">
        <v>1970</v>
      </c>
      <c r="C634" t="s">
        <v>46</v>
      </c>
      <c r="D634" t="s">
        <v>34</v>
      </c>
      <c r="E634">
        <v>62466</v>
      </c>
      <c r="F634">
        <v>0</v>
      </c>
      <c r="G634">
        <v>1</v>
      </c>
      <c r="H634" t="s">
        <v>176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>
        <v>4376</v>
      </c>
      <c r="B635">
        <v>1960</v>
      </c>
      <c r="C635" t="s">
        <v>46</v>
      </c>
      <c r="D635" t="s">
        <v>30</v>
      </c>
      <c r="E635">
        <v>32218</v>
      </c>
      <c r="F635">
        <v>0</v>
      </c>
      <c r="G635">
        <v>0</v>
      </c>
      <c r="H635" t="s">
        <v>260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t="s">
        <v>210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25">
      <c r="A637">
        <v>8461</v>
      </c>
      <c r="B637">
        <v>1962</v>
      </c>
      <c r="C637" t="s">
        <v>29</v>
      </c>
      <c r="D637" t="s">
        <v>37</v>
      </c>
      <c r="E637">
        <v>46102</v>
      </c>
      <c r="F637">
        <v>2</v>
      </c>
      <c r="G637">
        <v>1</v>
      </c>
      <c r="H637" s="2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s="2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>
        <v>944</v>
      </c>
      <c r="B639">
        <v>1962</v>
      </c>
      <c r="C639" t="s">
        <v>29</v>
      </c>
      <c r="D639" t="s">
        <v>34</v>
      </c>
      <c r="E639">
        <v>56181</v>
      </c>
      <c r="F639">
        <v>0</v>
      </c>
      <c r="G639">
        <v>1</v>
      </c>
      <c r="H639" s="2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>
        <v>1907</v>
      </c>
      <c r="B640">
        <v>1950</v>
      </c>
      <c r="C640" t="s">
        <v>36</v>
      </c>
      <c r="D640" t="s">
        <v>37</v>
      </c>
      <c r="E640">
        <v>63120</v>
      </c>
      <c r="F640">
        <v>0</v>
      </c>
      <c r="G640">
        <v>1</v>
      </c>
      <c r="H640" t="s">
        <v>197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25">
      <c r="A641">
        <v>701</v>
      </c>
      <c r="B641">
        <v>1971</v>
      </c>
      <c r="C641" t="s">
        <v>29</v>
      </c>
      <c r="D641" t="s">
        <v>34</v>
      </c>
      <c r="E641">
        <v>73691</v>
      </c>
      <c r="F641">
        <v>0</v>
      </c>
      <c r="G641">
        <v>1</v>
      </c>
      <c r="H641" s="2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5">
      <c r="A642">
        <v>3856</v>
      </c>
      <c r="B642">
        <v>1960</v>
      </c>
      <c r="C642" t="s">
        <v>29</v>
      </c>
      <c r="D642" t="s">
        <v>31</v>
      </c>
      <c r="E642">
        <v>63381</v>
      </c>
      <c r="F642">
        <v>0</v>
      </c>
      <c r="G642">
        <v>1</v>
      </c>
      <c r="H642" s="2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>
        <v>4149</v>
      </c>
      <c r="B643">
        <v>1948</v>
      </c>
      <c r="C643" t="s">
        <v>33</v>
      </c>
      <c r="D643" t="s">
        <v>31</v>
      </c>
      <c r="E643">
        <v>76140</v>
      </c>
      <c r="F643">
        <v>0</v>
      </c>
      <c r="G643">
        <v>0</v>
      </c>
      <c r="H643" t="s">
        <v>129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25">
      <c r="A644">
        <v>2131</v>
      </c>
      <c r="B644">
        <v>1959</v>
      </c>
      <c r="C644" t="s">
        <v>33</v>
      </c>
      <c r="D644" t="s">
        <v>37</v>
      </c>
      <c r="E644">
        <v>62859</v>
      </c>
      <c r="F644">
        <v>0</v>
      </c>
      <c r="G644">
        <v>1</v>
      </c>
      <c r="H644" t="s">
        <v>206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s="2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>
        <v>1173</v>
      </c>
      <c r="B646">
        <v>1947</v>
      </c>
      <c r="C646" t="s">
        <v>36</v>
      </c>
      <c r="D646" t="s">
        <v>31</v>
      </c>
      <c r="E646">
        <v>77632</v>
      </c>
      <c r="F646">
        <v>0</v>
      </c>
      <c r="G646">
        <v>0</v>
      </c>
      <c r="H646" s="2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25">
      <c r="A647">
        <v>4381</v>
      </c>
      <c r="B647">
        <v>1971</v>
      </c>
      <c r="C647" t="s">
        <v>33</v>
      </c>
      <c r="D647" t="s">
        <v>34</v>
      </c>
      <c r="E647">
        <v>46463</v>
      </c>
      <c r="F647">
        <v>1</v>
      </c>
      <c r="G647">
        <v>1</v>
      </c>
      <c r="H647" t="s">
        <v>287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>
        <v>4611</v>
      </c>
      <c r="B648">
        <v>1970</v>
      </c>
      <c r="C648" t="s">
        <v>29</v>
      </c>
      <c r="D648" t="s">
        <v>31</v>
      </c>
      <c r="E648">
        <v>105471</v>
      </c>
      <c r="F648">
        <v>0</v>
      </c>
      <c r="G648">
        <v>0</v>
      </c>
      <c r="H648" t="s">
        <v>139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25">
      <c r="A649">
        <v>3376</v>
      </c>
      <c r="B649">
        <v>1970</v>
      </c>
      <c r="C649" t="s">
        <v>36</v>
      </c>
      <c r="D649" t="s">
        <v>37</v>
      </c>
      <c r="E649">
        <v>55282</v>
      </c>
      <c r="F649">
        <v>1</v>
      </c>
      <c r="G649">
        <v>0</v>
      </c>
      <c r="H649" t="s">
        <v>288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>
        <v>4679</v>
      </c>
      <c r="B650">
        <v>1977</v>
      </c>
      <c r="C650" t="s">
        <v>36</v>
      </c>
      <c r="D650" t="s">
        <v>34</v>
      </c>
      <c r="E650">
        <v>78710</v>
      </c>
      <c r="F650">
        <v>0</v>
      </c>
      <c r="G650">
        <v>1</v>
      </c>
      <c r="H650" t="s">
        <v>120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>
        <v>10928</v>
      </c>
      <c r="B651">
        <v>1958</v>
      </c>
      <c r="C651" t="s">
        <v>29</v>
      </c>
      <c r="D651" t="s">
        <v>31</v>
      </c>
      <c r="E651">
        <v>66886</v>
      </c>
      <c r="F651">
        <v>0</v>
      </c>
      <c r="G651">
        <v>1</v>
      </c>
      <c r="H651" t="s">
        <v>157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>
        <v>4248</v>
      </c>
      <c r="B652">
        <v>1960</v>
      </c>
      <c r="C652" t="s">
        <v>36</v>
      </c>
      <c r="D652" t="s">
        <v>30</v>
      </c>
      <c r="E652">
        <v>98777</v>
      </c>
      <c r="F652">
        <v>0</v>
      </c>
      <c r="G652">
        <v>0</v>
      </c>
      <c r="H652" t="s">
        <v>289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5">
      <c r="A653">
        <v>6728</v>
      </c>
      <c r="B653">
        <v>1985</v>
      </c>
      <c r="C653" t="s">
        <v>29</v>
      </c>
      <c r="D653" t="s">
        <v>31</v>
      </c>
      <c r="E653">
        <v>29103</v>
      </c>
      <c r="F653">
        <v>1</v>
      </c>
      <c r="G653">
        <v>0</v>
      </c>
      <c r="H653" t="s">
        <v>72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>
        <v>6661</v>
      </c>
      <c r="B654">
        <v>1974</v>
      </c>
      <c r="C654" t="s">
        <v>29</v>
      </c>
      <c r="D654" t="s">
        <v>34</v>
      </c>
      <c r="E654">
        <v>67445</v>
      </c>
      <c r="F654">
        <v>0</v>
      </c>
      <c r="G654">
        <v>1</v>
      </c>
      <c r="H654" s="2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>
        <v>4725</v>
      </c>
      <c r="B655">
        <v>1950</v>
      </c>
      <c r="C655" t="s">
        <v>33</v>
      </c>
      <c r="D655" t="s">
        <v>31</v>
      </c>
      <c r="E655">
        <v>50616</v>
      </c>
      <c r="F655">
        <v>0</v>
      </c>
      <c r="G655">
        <v>1</v>
      </c>
      <c r="H655" t="s">
        <v>180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>
        <v>3277</v>
      </c>
      <c r="B656">
        <v>1955</v>
      </c>
      <c r="C656" t="s">
        <v>29</v>
      </c>
      <c r="D656" t="s">
        <v>37</v>
      </c>
      <c r="E656">
        <v>49431</v>
      </c>
      <c r="F656">
        <v>0</v>
      </c>
      <c r="G656">
        <v>1</v>
      </c>
      <c r="H656" s="2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>
        <v>5555</v>
      </c>
      <c r="B657">
        <v>1975</v>
      </c>
      <c r="C657" t="s">
        <v>29</v>
      </c>
      <c r="D657" t="s">
        <v>37</v>
      </c>
      <c r="E657">
        <v>153924</v>
      </c>
      <c r="F657">
        <v>0</v>
      </c>
      <c r="G657">
        <v>0</v>
      </c>
      <c r="H657" s="2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>
        <v>2564</v>
      </c>
      <c r="B658">
        <v>1953</v>
      </c>
      <c r="C658" t="s">
        <v>29</v>
      </c>
      <c r="D658" t="s">
        <v>31</v>
      </c>
      <c r="E658">
        <v>61278</v>
      </c>
      <c r="F658">
        <v>0</v>
      </c>
      <c r="G658">
        <v>1</v>
      </c>
      <c r="H658" s="2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>
        <v>946</v>
      </c>
      <c r="B659">
        <v>1958</v>
      </c>
      <c r="C659" t="s">
        <v>46</v>
      </c>
      <c r="D659" t="s">
        <v>31</v>
      </c>
      <c r="E659">
        <v>26490</v>
      </c>
      <c r="F659">
        <v>0</v>
      </c>
      <c r="G659">
        <v>0</v>
      </c>
      <c r="H659" t="s">
        <v>159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>
        <v>3867</v>
      </c>
      <c r="B660">
        <v>1947</v>
      </c>
      <c r="C660" t="s">
        <v>33</v>
      </c>
      <c r="D660" t="s">
        <v>31</v>
      </c>
      <c r="E660">
        <v>73059</v>
      </c>
      <c r="F660">
        <v>0</v>
      </c>
      <c r="G660">
        <v>1</v>
      </c>
      <c r="H660" t="s">
        <v>140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>
        <v>6940</v>
      </c>
      <c r="B661">
        <v>1966</v>
      </c>
      <c r="C661" t="s">
        <v>33</v>
      </c>
      <c r="D661" t="s">
        <v>30</v>
      </c>
      <c r="E661">
        <v>46734</v>
      </c>
      <c r="F661">
        <v>1</v>
      </c>
      <c r="G661">
        <v>2</v>
      </c>
      <c r="H661" t="s">
        <v>290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>
        <v>55</v>
      </c>
      <c r="B662">
        <v>1963</v>
      </c>
      <c r="C662" t="s">
        <v>29</v>
      </c>
      <c r="D662" t="s">
        <v>31</v>
      </c>
      <c r="E662">
        <v>56253</v>
      </c>
      <c r="F662">
        <v>0</v>
      </c>
      <c r="G662">
        <v>1</v>
      </c>
      <c r="H662" s="2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>
        <v>7093</v>
      </c>
      <c r="B663">
        <v>1985</v>
      </c>
      <c r="C663" t="s">
        <v>29</v>
      </c>
      <c r="D663" t="s">
        <v>34</v>
      </c>
      <c r="E663">
        <v>19986</v>
      </c>
      <c r="F663">
        <v>1</v>
      </c>
      <c r="G663">
        <v>0</v>
      </c>
      <c r="H663" t="s">
        <v>93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>
        <v>5084</v>
      </c>
      <c r="B664">
        <v>1975</v>
      </c>
      <c r="C664" t="s">
        <v>29</v>
      </c>
      <c r="D664" t="s">
        <v>57</v>
      </c>
      <c r="E664">
        <v>58330</v>
      </c>
      <c r="F664">
        <v>0</v>
      </c>
      <c r="G664">
        <v>1</v>
      </c>
      <c r="H664" t="s">
        <v>291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>
        <v>1777</v>
      </c>
      <c r="B665">
        <v>1980</v>
      </c>
      <c r="C665" t="s">
        <v>41</v>
      </c>
      <c r="D665" t="s">
        <v>34</v>
      </c>
      <c r="E665">
        <v>25965</v>
      </c>
      <c r="F665">
        <v>0</v>
      </c>
      <c r="G665">
        <v>0</v>
      </c>
      <c r="H665" s="2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>
        <v>8162</v>
      </c>
      <c r="B666">
        <v>1956</v>
      </c>
      <c r="C666" t="s">
        <v>36</v>
      </c>
      <c r="D666" t="s">
        <v>31</v>
      </c>
      <c r="E666">
        <v>14661</v>
      </c>
      <c r="F666">
        <v>0</v>
      </c>
      <c r="G666">
        <v>0</v>
      </c>
      <c r="H666" s="2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>
        <v>10826</v>
      </c>
      <c r="B667">
        <v>1959</v>
      </c>
      <c r="C667" t="s">
        <v>29</v>
      </c>
      <c r="D667" t="s">
        <v>34</v>
      </c>
      <c r="E667">
        <v>18690</v>
      </c>
      <c r="F667">
        <v>0</v>
      </c>
      <c r="G667">
        <v>0</v>
      </c>
      <c r="H667" t="s">
        <v>199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>
        <v>8754</v>
      </c>
      <c r="B668">
        <v>1974</v>
      </c>
      <c r="C668" t="s">
        <v>33</v>
      </c>
      <c r="D668" t="s">
        <v>31</v>
      </c>
      <c r="E668">
        <v>45068</v>
      </c>
      <c r="F668">
        <v>0</v>
      </c>
      <c r="G668">
        <v>1</v>
      </c>
      <c r="H668" t="s">
        <v>292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>
        <v>1987</v>
      </c>
      <c r="B669">
        <v>1987</v>
      </c>
      <c r="C669" t="s">
        <v>41</v>
      </c>
      <c r="D669" t="s">
        <v>30</v>
      </c>
      <c r="E669">
        <v>21063</v>
      </c>
      <c r="F669">
        <v>1</v>
      </c>
      <c r="G669">
        <v>0</v>
      </c>
      <c r="H669" t="s">
        <v>293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>
        <v>11007</v>
      </c>
      <c r="B670">
        <v>1968</v>
      </c>
      <c r="C670" t="s">
        <v>33</v>
      </c>
      <c r="D670" t="s">
        <v>34</v>
      </c>
      <c r="E670">
        <v>29187</v>
      </c>
      <c r="F670">
        <v>1</v>
      </c>
      <c r="G670">
        <v>0</v>
      </c>
      <c r="H670" s="2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5">
      <c r="A671">
        <v>7426</v>
      </c>
      <c r="B671">
        <v>1971</v>
      </c>
      <c r="C671" t="s">
        <v>46</v>
      </c>
      <c r="D671" t="s">
        <v>34</v>
      </c>
      <c r="E671">
        <v>54690</v>
      </c>
      <c r="F671">
        <v>1</v>
      </c>
      <c r="G671">
        <v>1</v>
      </c>
      <c r="H671" s="2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>
        <v>9153</v>
      </c>
      <c r="B672">
        <v>1964</v>
      </c>
      <c r="C672" t="s">
        <v>33</v>
      </c>
      <c r="D672" t="s">
        <v>34</v>
      </c>
      <c r="E672">
        <v>59304</v>
      </c>
      <c r="F672">
        <v>0</v>
      </c>
      <c r="G672">
        <v>1</v>
      </c>
      <c r="H672" t="s">
        <v>185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>
        <v>10379</v>
      </c>
      <c r="B673">
        <v>1962</v>
      </c>
      <c r="C673" t="s">
        <v>36</v>
      </c>
      <c r="D673" t="s">
        <v>30</v>
      </c>
      <c r="E673">
        <v>59247</v>
      </c>
      <c r="F673">
        <v>0</v>
      </c>
      <c r="G673">
        <v>2</v>
      </c>
      <c r="H673" s="2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>
        <v>9204</v>
      </c>
      <c r="B674">
        <v>1970</v>
      </c>
      <c r="C674" t="s">
        <v>29</v>
      </c>
      <c r="D674" t="s">
        <v>57</v>
      </c>
      <c r="E674">
        <v>66731</v>
      </c>
      <c r="F674">
        <v>0</v>
      </c>
      <c r="G674">
        <v>1</v>
      </c>
      <c r="H674" s="2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>
        <v>3197</v>
      </c>
      <c r="B675">
        <v>1980</v>
      </c>
      <c r="C675" t="s">
        <v>29</v>
      </c>
      <c r="D675" t="s">
        <v>34</v>
      </c>
      <c r="E675">
        <v>77353</v>
      </c>
      <c r="F675">
        <v>0</v>
      </c>
      <c r="G675">
        <v>1</v>
      </c>
      <c r="H675" t="s">
        <v>294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>
        <v>2920</v>
      </c>
      <c r="B676">
        <v>1975</v>
      </c>
      <c r="C676" t="s">
        <v>33</v>
      </c>
      <c r="D676" t="s">
        <v>30</v>
      </c>
      <c r="E676">
        <v>52614</v>
      </c>
      <c r="F676">
        <v>0</v>
      </c>
      <c r="G676">
        <v>1</v>
      </c>
      <c r="H676" s="2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>
        <v>6961</v>
      </c>
      <c r="B677">
        <v>1974</v>
      </c>
      <c r="C677" t="s">
        <v>29</v>
      </c>
      <c r="D677" t="s">
        <v>34</v>
      </c>
      <c r="E677">
        <v>26751</v>
      </c>
      <c r="F677">
        <v>2</v>
      </c>
      <c r="G677">
        <v>0</v>
      </c>
      <c r="H677" t="s">
        <v>53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>
        <v>4673</v>
      </c>
      <c r="B678">
        <v>1963</v>
      </c>
      <c r="C678" t="s">
        <v>33</v>
      </c>
      <c r="D678" t="s">
        <v>34</v>
      </c>
      <c r="E678">
        <v>81300</v>
      </c>
      <c r="F678">
        <v>0</v>
      </c>
      <c r="G678">
        <v>1</v>
      </c>
      <c r="H678" t="s">
        <v>295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25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s="2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>
        <v>8779</v>
      </c>
      <c r="B680">
        <v>1985</v>
      </c>
      <c r="C680" t="s">
        <v>46</v>
      </c>
      <c r="D680" t="s">
        <v>34</v>
      </c>
      <c r="E680">
        <v>36145</v>
      </c>
      <c r="F680">
        <v>1</v>
      </c>
      <c r="G680">
        <v>0</v>
      </c>
      <c r="H680" t="s">
        <v>264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25">
      <c r="A681">
        <v>9596</v>
      </c>
      <c r="B681">
        <v>1980</v>
      </c>
      <c r="C681" t="s">
        <v>33</v>
      </c>
      <c r="D681" t="s">
        <v>30</v>
      </c>
      <c r="E681">
        <v>65295</v>
      </c>
      <c r="F681">
        <v>0</v>
      </c>
      <c r="G681">
        <v>0</v>
      </c>
      <c r="H681" t="s">
        <v>261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>
        <v>2891</v>
      </c>
      <c r="B682">
        <v>1963</v>
      </c>
      <c r="C682" t="s">
        <v>29</v>
      </c>
      <c r="D682" t="s">
        <v>37</v>
      </c>
      <c r="E682">
        <v>68118</v>
      </c>
      <c r="F682">
        <v>0</v>
      </c>
      <c r="G682">
        <v>1</v>
      </c>
      <c r="H682" t="s">
        <v>296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>
        <v>4910</v>
      </c>
      <c r="B683">
        <v>1967</v>
      </c>
      <c r="C683" t="s">
        <v>29</v>
      </c>
      <c r="D683" t="s">
        <v>37</v>
      </c>
      <c r="E683">
        <v>68743</v>
      </c>
      <c r="F683">
        <v>0</v>
      </c>
      <c r="G683">
        <v>0</v>
      </c>
      <c r="H683" t="s">
        <v>209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>
        <v>75</v>
      </c>
      <c r="B684">
        <v>1982</v>
      </c>
      <c r="C684" t="s">
        <v>46</v>
      </c>
      <c r="D684" t="s">
        <v>31</v>
      </c>
      <c r="E684">
        <v>41039</v>
      </c>
      <c r="F684">
        <v>0</v>
      </c>
      <c r="G684">
        <v>0</v>
      </c>
      <c r="H684" t="s">
        <v>297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>
        <v>10120</v>
      </c>
      <c r="B685">
        <v>1955</v>
      </c>
      <c r="C685" t="s">
        <v>29</v>
      </c>
      <c r="D685" t="s">
        <v>31</v>
      </c>
      <c r="E685">
        <v>38946</v>
      </c>
      <c r="F685">
        <v>0</v>
      </c>
      <c r="G685">
        <v>1</v>
      </c>
      <c r="H685" t="s">
        <v>298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>
        <v>6327</v>
      </c>
      <c r="B686">
        <v>1967</v>
      </c>
      <c r="C686" t="s">
        <v>29</v>
      </c>
      <c r="D686" t="s">
        <v>31</v>
      </c>
      <c r="E686">
        <v>65777</v>
      </c>
      <c r="F686">
        <v>0</v>
      </c>
      <c r="G686">
        <v>0</v>
      </c>
      <c r="H686" t="s">
        <v>299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>
        <v>10142</v>
      </c>
      <c r="B687">
        <v>1976</v>
      </c>
      <c r="C687" t="s">
        <v>33</v>
      </c>
      <c r="D687" t="s">
        <v>37</v>
      </c>
      <c r="E687">
        <v>66476</v>
      </c>
      <c r="F687">
        <v>0</v>
      </c>
      <c r="G687">
        <v>1</v>
      </c>
      <c r="H687" s="2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>
        <v>9826</v>
      </c>
      <c r="B688">
        <v>1972</v>
      </c>
      <c r="C688" t="s">
        <v>33</v>
      </c>
      <c r="D688" t="s">
        <v>30</v>
      </c>
      <c r="E688">
        <v>86857</v>
      </c>
      <c r="F688">
        <v>0</v>
      </c>
      <c r="G688">
        <v>0</v>
      </c>
      <c r="H688" s="2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25">
      <c r="A689">
        <v>1501</v>
      </c>
      <c r="B689">
        <v>1982</v>
      </c>
      <c r="C689" t="s">
        <v>33</v>
      </c>
      <c r="D689" t="s">
        <v>34</v>
      </c>
      <c r="E689">
        <v>160803</v>
      </c>
      <c r="F689">
        <v>0</v>
      </c>
      <c r="G689">
        <v>0</v>
      </c>
      <c r="H689" s="2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>
        <v>10767</v>
      </c>
      <c r="B690">
        <v>1989</v>
      </c>
      <c r="C690" t="s">
        <v>33</v>
      </c>
      <c r="D690" t="s">
        <v>31</v>
      </c>
      <c r="E690">
        <v>77845</v>
      </c>
      <c r="F690">
        <v>0</v>
      </c>
      <c r="G690">
        <v>0</v>
      </c>
      <c r="H690" t="s">
        <v>300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25">
      <c r="A691">
        <v>7279</v>
      </c>
      <c r="B691">
        <v>1969</v>
      </c>
      <c r="C691" t="s">
        <v>33</v>
      </c>
      <c r="D691" t="s">
        <v>31</v>
      </c>
      <c r="E691">
        <v>69476</v>
      </c>
      <c r="F691">
        <v>0</v>
      </c>
      <c r="G691">
        <v>0</v>
      </c>
      <c r="H691" t="s">
        <v>97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>
        <v>7230</v>
      </c>
      <c r="B692">
        <v>1960</v>
      </c>
      <c r="C692" t="s">
        <v>33</v>
      </c>
      <c r="D692" t="s">
        <v>37</v>
      </c>
      <c r="E692">
        <v>50611</v>
      </c>
      <c r="F692">
        <v>0</v>
      </c>
      <c r="G692">
        <v>1</v>
      </c>
      <c r="H692" s="2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25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t="s">
        <v>301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5">
      <c r="A694">
        <v>450</v>
      </c>
      <c r="B694">
        <v>1958</v>
      </c>
      <c r="C694" t="s">
        <v>36</v>
      </c>
      <c r="D694" t="s">
        <v>31</v>
      </c>
      <c r="E694">
        <v>42315</v>
      </c>
      <c r="F694">
        <v>0</v>
      </c>
      <c r="G694">
        <v>1</v>
      </c>
      <c r="H694" s="2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>
        <v>9316</v>
      </c>
      <c r="B695">
        <v>1952</v>
      </c>
      <c r="C695" t="s">
        <v>41</v>
      </c>
      <c r="D695" t="s">
        <v>31</v>
      </c>
      <c r="E695">
        <v>13084</v>
      </c>
      <c r="F695">
        <v>0</v>
      </c>
      <c r="G695">
        <v>0</v>
      </c>
      <c r="H695" s="2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>
        <v>6379</v>
      </c>
      <c r="B696">
        <v>1949</v>
      </c>
      <c r="C696" t="s">
        <v>36</v>
      </c>
      <c r="D696" t="s">
        <v>57</v>
      </c>
      <c r="E696">
        <v>47570</v>
      </c>
      <c r="F696">
        <v>1</v>
      </c>
      <c r="G696">
        <v>1</v>
      </c>
      <c r="H696" t="s">
        <v>302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25">
      <c r="A697">
        <v>9239</v>
      </c>
      <c r="B697">
        <v>1961</v>
      </c>
      <c r="C697" t="s">
        <v>36</v>
      </c>
      <c r="D697" t="s">
        <v>34</v>
      </c>
      <c r="E697">
        <v>61923</v>
      </c>
      <c r="F697">
        <v>0</v>
      </c>
      <c r="G697">
        <v>2</v>
      </c>
      <c r="H697" t="s">
        <v>279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5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t="s">
        <v>303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>
        <v>2868</v>
      </c>
      <c r="B699">
        <v>1949</v>
      </c>
      <c r="C699" t="s">
        <v>33</v>
      </c>
      <c r="D699" t="s">
        <v>30</v>
      </c>
      <c r="E699">
        <v>26518</v>
      </c>
      <c r="F699">
        <v>1</v>
      </c>
      <c r="G699">
        <v>1</v>
      </c>
      <c r="H699" s="2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5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s="2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>
        <v>1277</v>
      </c>
      <c r="B701">
        <v>1960</v>
      </c>
      <c r="C701" t="s">
        <v>29</v>
      </c>
      <c r="D701" t="s">
        <v>31</v>
      </c>
      <c r="E701">
        <v>78468</v>
      </c>
      <c r="F701">
        <v>0</v>
      </c>
      <c r="G701">
        <v>0</v>
      </c>
      <c r="H701" s="2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25">
      <c r="A702">
        <v>9977</v>
      </c>
      <c r="B702">
        <v>1973</v>
      </c>
      <c r="C702" t="s">
        <v>29</v>
      </c>
      <c r="D702" t="s">
        <v>37</v>
      </c>
      <c r="E702">
        <v>78901</v>
      </c>
      <c r="F702">
        <v>0</v>
      </c>
      <c r="G702">
        <v>1</v>
      </c>
      <c r="H702" t="s">
        <v>275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>
        <v>10196</v>
      </c>
      <c r="B703">
        <v>1978</v>
      </c>
      <c r="C703" t="s">
        <v>29</v>
      </c>
      <c r="D703" t="s">
        <v>34</v>
      </c>
      <c r="E703">
        <v>71427</v>
      </c>
      <c r="F703">
        <v>2</v>
      </c>
      <c r="G703">
        <v>0</v>
      </c>
      <c r="H703" s="2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5">
      <c r="A704">
        <v>6384</v>
      </c>
      <c r="B704">
        <v>1978</v>
      </c>
      <c r="C704" t="s">
        <v>29</v>
      </c>
      <c r="D704" t="s">
        <v>37</v>
      </c>
      <c r="E704">
        <v>71022</v>
      </c>
      <c r="F704">
        <v>0</v>
      </c>
      <c r="G704">
        <v>1</v>
      </c>
      <c r="H704" s="2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>
        <v>8029</v>
      </c>
      <c r="B705">
        <v>1988</v>
      </c>
      <c r="C705" t="s">
        <v>36</v>
      </c>
      <c r="D705" t="s">
        <v>30</v>
      </c>
      <c r="E705">
        <v>90247</v>
      </c>
      <c r="F705">
        <v>0</v>
      </c>
      <c r="G705">
        <v>0</v>
      </c>
      <c r="H705" t="s">
        <v>304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25">
      <c r="A706">
        <v>968</v>
      </c>
      <c r="B706">
        <v>1968</v>
      </c>
      <c r="C706" t="s">
        <v>36</v>
      </c>
      <c r="D706" t="s">
        <v>37</v>
      </c>
      <c r="E706">
        <v>41335</v>
      </c>
      <c r="F706">
        <v>1</v>
      </c>
      <c r="G706">
        <v>0</v>
      </c>
      <c r="H706" t="s">
        <v>150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>
        <v>6988</v>
      </c>
      <c r="B707">
        <v>1986</v>
      </c>
      <c r="C707" t="s">
        <v>29</v>
      </c>
      <c r="D707" t="s">
        <v>34</v>
      </c>
      <c r="E707">
        <v>71952</v>
      </c>
      <c r="F707">
        <v>1</v>
      </c>
      <c r="G707">
        <v>0</v>
      </c>
      <c r="H707" s="2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>
        <v>4472</v>
      </c>
      <c r="B708">
        <v>1970</v>
      </c>
      <c r="C708" t="s">
        <v>33</v>
      </c>
      <c r="D708" t="s">
        <v>37</v>
      </c>
      <c r="E708">
        <v>35682</v>
      </c>
      <c r="F708">
        <v>1</v>
      </c>
      <c r="G708">
        <v>0</v>
      </c>
      <c r="H708" t="s">
        <v>305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>
        <v>6991</v>
      </c>
      <c r="B709">
        <v>1951</v>
      </c>
      <c r="C709" t="s">
        <v>29</v>
      </c>
      <c r="D709" t="s">
        <v>37</v>
      </c>
      <c r="E709">
        <v>43185</v>
      </c>
      <c r="F709">
        <v>0</v>
      </c>
      <c r="G709">
        <v>1</v>
      </c>
      <c r="H709" s="2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>
        <v>3336</v>
      </c>
      <c r="B710">
        <v>1948</v>
      </c>
      <c r="C710" t="s">
        <v>33</v>
      </c>
      <c r="D710" t="s">
        <v>31</v>
      </c>
      <c r="E710">
        <v>66375</v>
      </c>
      <c r="F710">
        <v>0</v>
      </c>
      <c r="G710">
        <v>1</v>
      </c>
      <c r="H710" t="s">
        <v>306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>
        <v>4301</v>
      </c>
      <c r="B711">
        <v>1971</v>
      </c>
      <c r="C711" t="s">
        <v>36</v>
      </c>
      <c r="D711" t="s">
        <v>34</v>
      </c>
      <c r="E711">
        <v>35178</v>
      </c>
      <c r="F711">
        <v>1</v>
      </c>
      <c r="G711">
        <v>0</v>
      </c>
      <c r="H711" s="2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5">
      <c r="A712">
        <v>1940</v>
      </c>
      <c r="B712">
        <v>1986</v>
      </c>
      <c r="C712" t="s">
        <v>29</v>
      </c>
      <c r="D712" t="s">
        <v>34</v>
      </c>
      <c r="E712">
        <v>25252</v>
      </c>
      <c r="F712">
        <v>1</v>
      </c>
      <c r="G712">
        <v>0</v>
      </c>
      <c r="H712" s="2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>
        <v>1272</v>
      </c>
      <c r="B713">
        <v>1965</v>
      </c>
      <c r="C713" t="s">
        <v>36</v>
      </c>
      <c r="D713" t="s">
        <v>30</v>
      </c>
      <c r="E713">
        <v>55250</v>
      </c>
      <c r="F713">
        <v>0</v>
      </c>
      <c r="G713">
        <v>1</v>
      </c>
      <c r="H713" t="s">
        <v>307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t="s">
        <v>50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>
        <v>1044</v>
      </c>
      <c r="B715">
        <v>1953</v>
      </c>
      <c r="C715" t="s">
        <v>29</v>
      </c>
      <c r="D715" t="s">
        <v>31</v>
      </c>
      <c r="E715">
        <v>58398</v>
      </c>
      <c r="F715">
        <v>0</v>
      </c>
      <c r="G715">
        <v>0</v>
      </c>
      <c r="H715" t="s">
        <v>308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>
        <v>6969</v>
      </c>
      <c r="B716">
        <v>1982</v>
      </c>
      <c r="C716" t="s">
        <v>29</v>
      </c>
      <c r="D716" t="s">
        <v>31</v>
      </c>
      <c r="E716">
        <v>50272</v>
      </c>
      <c r="F716">
        <v>1</v>
      </c>
      <c r="G716">
        <v>0</v>
      </c>
      <c r="H716" s="2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>
        <v>10479</v>
      </c>
      <c r="B717">
        <v>1975</v>
      </c>
      <c r="C717" t="s">
        <v>33</v>
      </c>
      <c r="D717" t="s">
        <v>34</v>
      </c>
      <c r="E717">
        <v>76618</v>
      </c>
      <c r="F717">
        <v>0</v>
      </c>
      <c r="G717">
        <v>0</v>
      </c>
      <c r="H717" s="2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>
        <v>3619</v>
      </c>
      <c r="B718">
        <v>1960</v>
      </c>
      <c r="C718" t="s">
        <v>46</v>
      </c>
      <c r="D718" t="s">
        <v>37</v>
      </c>
      <c r="E718">
        <v>87305</v>
      </c>
      <c r="F718">
        <v>0</v>
      </c>
      <c r="G718">
        <v>0</v>
      </c>
      <c r="H718" t="s">
        <v>270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25">
      <c r="A719">
        <v>1715</v>
      </c>
      <c r="B719">
        <v>1978</v>
      </c>
      <c r="C719" t="s">
        <v>29</v>
      </c>
      <c r="D719" t="s">
        <v>31</v>
      </c>
      <c r="E719">
        <v>25851</v>
      </c>
      <c r="F719">
        <v>1</v>
      </c>
      <c r="G719">
        <v>0</v>
      </c>
      <c r="H719" s="2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5">
      <c r="A720">
        <v>10159</v>
      </c>
      <c r="B720">
        <v>1970</v>
      </c>
      <c r="C720" t="s">
        <v>29</v>
      </c>
      <c r="D720" t="s">
        <v>37</v>
      </c>
      <c r="E720">
        <v>58710</v>
      </c>
      <c r="F720">
        <v>0</v>
      </c>
      <c r="G720">
        <v>1</v>
      </c>
      <c r="H720" t="s">
        <v>137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t="s">
        <v>263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>
        <v>5114</v>
      </c>
      <c r="B722">
        <v>1965</v>
      </c>
      <c r="C722" t="s">
        <v>36</v>
      </c>
      <c r="D722" t="s">
        <v>34</v>
      </c>
      <c r="E722">
        <v>74806</v>
      </c>
      <c r="F722">
        <v>0</v>
      </c>
      <c r="G722">
        <v>1</v>
      </c>
      <c r="H722" t="s">
        <v>71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>
        <v>4990</v>
      </c>
      <c r="B723">
        <v>1954</v>
      </c>
      <c r="C723" t="s">
        <v>29</v>
      </c>
      <c r="D723" t="s">
        <v>34</v>
      </c>
      <c r="E723">
        <v>59111</v>
      </c>
      <c r="F723">
        <v>0</v>
      </c>
      <c r="G723">
        <v>0</v>
      </c>
      <c r="H723" s="2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>
        <v>4329</v>
      </c>
      <c r="B724">
        <v>1984</v>
      </c>
      <c r="C724" t="s">
        <v>33</v>
      </c>
      <c r="D724" t="s">
        <v>34</v>
      </c>
      <c r="E724">
        <v>18988</v>
      </c>
      <c r="F724">
        <v>1</v>
      </c>
      <c r="G724">
        <v>0</v>
      </c>
      <c r="H724" t="s">
        <v>120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>
        <v>10936</v>
      </c>
      <c r="B725">
        <v>1965</v>
      </c>
      <c r="C725" t="s">
        <v>29</v>
      </c>
      <c r="D725" t="s">
        <v>34</v>
      </c>
      <c r="E725">
        <v>72190</v>
      </c>
      <c r="F725">
        <v>0</v>
      </c>
      <c r="G725">
        <v>0</v>
      </c>
      <c r="H725" t="s">
        <v>188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>
        <v>4692</v>
      </c>
      <c r="B726">
        <v>1976</v>
      </c>
      <c r="C726" t="s">
        <v>29</v>
      </c>
      <c r="D726" t="s">
        <v>34</v>
      </c>
      <c r="E726">
        <v>7500</v>
      </c>
      <c r="F726">
        <v>1</v>
      </c>
      <c r="G726">
        <v>0</v>
      </c>
      <c r="H726" s="2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25">
      <c r="A727">
        <v>7212</v>
      </c>
      <c r="B727">
        <v>1966</v>
      </c>
      <c r="C727" t="s">
        <v>29</v>
      </c>
      <c r="D727" t="s">
        <v>34</v>
      </c>
      <c r="E727">
        <v>44794</v>
      </c>
      <c r="F727">
        <v>0</v>
      </c>
      <c r="G727">
        <v>1</v>
      </c>
      <c r="H727" s="2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>
        <v>6086</v>
      </c>
      <c r="B728">
        <v>1955</v>
      </c>
      <c r="C728" t="s">
        <v>29</v>
      </c>
      <c r="D728" t="s">
        <v>34</v>
      </c>
      <c r="E728">
        <v>80395</v>
      </c>
      <c r="F728">
        <v>0</v>
      </c>
      <c r="G728">
        <v>0</v>
      </c>
      <c r="H728" t="s">
        <v>80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>
        <v>437</v>
      </c>
      <c r="B729">
        <v>1976</v>
      </c>
      <c r="C729" t="s">
        <v>36</v>
      </c>
      <c r="D729" t="s">
        <v>37</v>
      </c>
      <c r="E729">
        <v>75012</v>
      </c>
      <c r="F729">
        <v>0</v>
      </c>
      <c r="G729">
        <v>0</v>
      </c>
      <c r="H729" t="s">
        <v>309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>
        <v>11171</v>
      </c>
      <c r="B730">
        <v>1965</v>
      </c>
      <c r="C730" t="s">
        <v>36</v>
      </c>
      <c r="D730" t="s">
        <v>34</v>
      </c>
      <c r="E730">
        <v>56962</v>
      </c>
      <c r="F730">
        <v>2</v>
      </c>
      <c r="G730">
        <v>1</v>
      </c>
      <c r="H730" s="2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>
        <v>11101</v>
      </c>
      <c r="B731">
        <v>1991</v>
      </c>
      <c r="C731" t="s">
        <v>29</v>
      </c>
      <c r="D731" t="s">
        <v>31</v>
      </c>
      <c r="E731">
        <v>89891</v>
      </c>
      <c r="F731">
        <v>0</v>
      </c>
      <c r="G731">
        <v>0</v>
      </c>
      <c r="H731" t="s">
        <v>268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>
        <v>5329</v>
      </c>
      <c r="B732">
        <v>1949</v>
      </c>
      <c r="C732" t="s">
        <v>33</v>
      </c>
      <c r="D732" t="s">
        <v>37</v>
      </c>
      <c r="E732">
        <v>35946</v>
      </c>
      <c r="F732">
        <v>1</v>
      </c>
      <c r="G732">
        <v>1</v>
      </c>
      <c r="H732" t="s">
        <v>67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5">
      <c r="A733">
        <v>610</v>
      </c>
      <c r="B733">
        <v>1953</v>
      </c>
      <c r="C733" t="s">
        <v>33</v>
      </c>
      <c r="D733" t="s">
        <v>31</v>
      </c>
      <c r="E733">
        <v>53593</v>
      </c>
      <c r="F733">
        <v>1</v>
      </c>
      <c r="G733">
        <v>1</v>
      </c>
      <c r="H733" s="2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>
        <v>9384</v>
      </c>
      <c r="B734">
        <v>1978</v>
      </c>
      <c r="C734" t="s">
        <v>29</v>
      </c>
      <c r="D734" t="s">
        <v>34</v>
      </c>
      <c r="E734">
        <v>66373</v>
      </c>
      <c r="F734">
        <v>1</v>
      </c>
      <c r="G734">
        <v>1</v>
      </c>
      <c r="H734" s="2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>
        <v>5956</v>
      </c>
      <c r="B735">
        <v>1948</v>
      </c>
      <c r="C735" t="s">
        <v>33</v>
      </c>
      <c r="D735" t="s">
        <v>37</v>
      </c>
      <c r="E735">
        <v>45072</v>
      </c>
      <c r="F735">
        <v>1</v>
      </c>
      <c r="G735">
        <v>2</v>
      </c>
      <c r="H735" t="s">
        <v>208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>
        <v>10430</v>
      </c>
      <c r="B736">
        <v>1973</v>
      </c>
      <c r="C736" t="s">
        <v>29</v>
      </c>
      <c r="D736" t="s">
        <v>37</v>
      </c>
      <c r="E736">
        <v>89694</v>
      </c>
      <c r="F736">
        <v>1</v>
      </c>
      <c r="G736">
        <v>1</v>
      </c>
      <c r="H736" s="2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>
        <v>7875</v>
      </c>
      <c r="B737">
        <v>1949</v>
      </c>
      <c r="C737" t="s">
        <v>29</v>
      </c>
      <c r="D737" t="s">
        <v>34</v>
      </c>
      <c r="E737">
        <v>72025</v>
      </c>
      <c r="F737">
        <v>0</v>
      </c>
      <c r="G737">
        <v>0</v>
      </c>
      <c r="H737" t="s">
        <v>304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25">
      <c r="A738">
        <v>7072</v>
      </c>
      <c r="B738">
        <v>1973</v>
      </c>
      <c r="C738" t="s">
        <v>29</v>
      </c>
      <c r="D738" t="s">
        <v>34</v>
      </c>
      <c r="E738">
        <v>67432</v>
      </c>
      <c r="F738">
        <v>0</v>
      </c>
      <c r="G738">
        <v>1</v>
      </c>
      <c r="H738" t="s">
        <v>310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5">
      <c r="A739">
        <v>6255</v>
      </c>
      <c r="B739">
        <v>1952</v>
      </c>
      <c r="C739" t="s">
        <v>36</v>
      </c>
      <c r="D739" t="s">
        <v>31</v>
      </c>
      <c r="E739">
        <v>70545</v>
      </c>
      <c r="F739">
        <v>0</v>
      </c>
      <c r="G739">
        <v>1</v>
      </c>
      <c r="H739" s="2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5">
      <c r="A740">
        <v>6516</v>
      </c>
      <c r="B740">
        <v>1989</v>
      </c>
      <c r="C740" t="s">
        <v>41</v>
      </c>
      <c r="D740" t="s">
        <v>34</v>
      </c>
      <c r="E740">
        <v>17487</v>
      </c>
      <c r="F740">
        <v>1</v>
      </c>
      <c r="G740">
        <v>0</v>
      </c>
      <c r="H740" t="s">
        <v>48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5">
      <c r="A741">
        <v>5564</v>
      </c>
      <c r="B741">
        <v>1969</v>
      </c>
      <c r="C741" t="s">
        <v>29</v>
      </c>
      <c r="D741" t="s">
        <v>31</v>
      </c>
      <c r="E741">
        <v>62882</v>
      </c>
      <c r="F741">
        <v>0</v>
      </c>
      <c r="G741">
        <v>1</v>
      </c>
      <c r="H741" s="2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5">
      <c r="A742">
        <v>5682</v>
      </c>
      <c r="B742">
        <v>1953</v>
      </c>
      <c r="C742" t="s">
        <v>33</v>
      </c>
      <c r="D742" t="s">
        <v>30</v>
      </c>
      <c r="E742">
        <v>64108</v>
      </c>
      <c r="F742">
        <v>0</v>
      </c>
      <c r="G742">
        <v>1</v>
      </c>
      <c r="H742" t="s">
        <v>149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5">
      <c r="A743">
        <v>7458</v>
      </c>
      <c r="B743">
        <v>1956</v>
      </c>
      <c r="C743" t="s">
        <v>36</v>
      </c>
      <c r="D743" t="s">
        <v>31</v>
      </c>
      <c r="E743">
        <v>34941</v>
      </c>
      <c r="F743">
        <v>1</v>
      </c>
      <c r="G743">
        <v>1</v>
      </c>
      <c r="H743" s="2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5">
      <c r="A744">
        <v>5237</v>
      </c>
      <c r="B744">
        <v>1950</v>
      </c>
      <c r="C744" t="s">
        <v>33</v>
      </c>
      <c r="D744" t="s">
        <v>30</v>
      </c>
      <c r="E744">
        <v>48767</v>
      </c>
      <c r="F744">
        <v>1</v>
      </c>
      <c r="G744">
        <v>2</v>
      </c>
      <c r="H744" s="2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5">
      <c r="A745">
        <v>7761</v>
      </c>
      <c r="B745">
        <v>1978</v>
      </c>
      <c r="C745" t="s">
        <v>46</v>
      </c>
      <c r="D745" t="s">
        <v>31</v>
      </c>
      <c r="E745">
        <v>38702</v>
      </c>
      <c r="F745">
        <v>1</v>
      </c>
      <c r="G745">
        <v>0</v>
      </c>
      <c r="H745" s="2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>
        <v>5278</v>
      </c>
      <c r="B746">
        <v>1964</v>
      </c>
      <c r="C746" t="s">
        <v>29</v>
      </c>
      <c r="D746" t="s">
        <v>34</v>
      </c>
      <c r="E746">
        <v>82224</v>
      </c>
      <c r="F746">
        <v>0</v>
      </c>
      <c r="G746">
        <v>0</v>
      </c>
      <c r="H746" t="s">
        <v>309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>
        <v>3560</v>
      </c>
      <c r="B747">
        <v>1952</v>
      </c>
      <c r="C747" t="s">
        <v>29</v>
      </c>
      <c r="D747" t="s">
        <v>31</v>
      </c>
      <c r="E747">
        <v>83844</v>
      </c>
      <c r="F747">
        <v>0</v>
      </c>
      <c r="G747">
        <v>0</v>
      </c>
      <c r="H747" s="2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>
        <v>7235</v>
      </c>
      <c r="B748">
        <v>1975</v>
      </c>
      <c r="C748" t="s">
        <v>46</v>
      </c>
      <c r="D748" t="s">
        <v>34</v>
      </c>
      <c r="E748">
        <v>17003</v>
      </c>
      <c r="F748">
        <v>1</v>
      </c>
      <c r="G748">
        <v>0</v>
      </c>
      <c r="H748" s="2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s="2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5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t="s">
        <v>311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>
        <v>4073</v>
      </c>
      <c r="B751">
        <v>1954</v>
      </c>
      <c r="C751" t="s">
        <v>46</v>
      </c>
      <c r="D751" t="s">
        <v>34</v>
      </c>
      <c r="E751">
        <v>63564</v>
      </c>
      <c r="F751">
        <v>0</v>
      </c>
      <c r="G751">
        <v>0</v>
      </c>
      <c r="H751" t="s">
        <v>312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25">
      <c r="A752">
        <v>6974</v>
      </c>
      <c r="B752">
        <v>1972</v>
      </c>
      <c r="C752" t="s">
        <v>33</v>
      </c>
      <c r="D752" t="s">
        <v>31</v>
      </c>
      <c r="E752">
        <v>83443</v>
      </c>
      <c r="F752">
        <v>0</v>
      </c>
      <c r="G752">
        <v>0</v>
      </c>
      <c r="H752" t="s">
        <v>56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>
        <v>7938</v>
      </c>
      <c r="B753">
        <v>1958</v>
      </c>
      <c r="C753" t="s">
        <v>33</v>
      </c>
      <c r="D753" t="s">
        <v>31</v>
      </c>
      <c r="E753">
        <v>51518</v>
      </c>
      <c r="F753">
        <v>0</v>
      </c>
      <c r="G753">
        <v>1</v>
      </c>
      <c r="H753" s="2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5">
      <c r="A754">
        <v>7094</v>
      </c>
      <c r="B754">
        <v>1975</v>
      </c>
      <c r="C754" t="s">
        <v>29</v>
      </c>
      <c r="D754" t="s">
        <v>57</v>
      </c>
      <c r="E754">
        <v>58330</v>
      </c>
      <c r="F754">
        <v>0</v>
      </c>
      <c r="G754">
        <v>1</v>
      </c>
      <c r="H754" t="s">
        <v>291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>
        <v>3667</v>
      </c>
      <c r="B755">
        <v>1969</v>
      </c>
      <c r="C755" t="s">
        <v>29</v>
      </c>
      <c r="D755" t="s">
        <v>34</v>
      </c>
      <c r="E755">
        <v>80952</v>
      </c>
      <c r="F755">
        <v>0</v>
      </c>
      <c r="G755">
        <v>0</v>
      </c>
      <c r="H755" t="s">
        <v>313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25">
      <c r="A756">
        <v>7723</v>
      </c>
      <c r="B756">
        <v>1979</v>
      </c>
      <c r="C756" t="s">
        <v>29</v>
      </c>
      <c r="D756" t="s">
        <v>31</v>
      </c>
      <c r="E756">
        <v>75507</v>
      </c>
      <c r="F756">
        <v>0</v>
      </c>
      <c r="G756">
        <v>0</v>
      </c>
      <c r="H756" s="2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5">
      <c r="A757">
        <v>3870</v>
      </c>
      <c r="B757">
        <v>1978</v>
      </c>
      <c r="C757" t="s">
        <v>46</v>
      </c>
      <c r="D757" t="s">
        <v>31</v>
      </c>
      <c r="E757">
        <v>63855</v>
      </c>
      <c r="F757">
        <v>0</v>
      </c>
      <c r="G757">
        <v>0</v>
      </c>
      <c r="H757" s="2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>
        <v>4012</v>
      </c>
      <c r="B758">
        <v>1972</v>
      </c>
      <c r="C758" t="s">
        <v>33</v>
      </c>
      <c r="D758" t="s">
        <v>31</v>
      </c>
      <c r="E758">
        <v>62220</v>
      </c>
      <c r="F758">
        <v>0</v>
      </c>
      <c r="G758">
        <v>1</v>
      </c>
      <c r="H758" s="2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25">
      <c r="A759">
        <v>5909</v>
      </c>
      <c r="B759">
        <v>1964</v>
      </c>
      <c r="C759" t="s">
        <v>29</v>
      </c>
      <c r="D759" t="s">
        <v>34</v>
      </c>
      <c r="E759">
        <v>58512</v>
      </c>
      <c r="F759">
        <v>0</v>
      </c>
      <c r="G759">
        <v>1</v>
      </c>
      <c r="H759" t="s">
        <v>130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>
        <v>10470</v>
      </c>
      <c r="B760">
        <v>1979</v>
      </c>
      <c r="C760" t="s">
        <v>36</v>
      </c>
      <c r="D760" t="s">
        <v>34</v>
      </c>
      <c r="E760">
        <v>40662</v>
      </c>
      <c r="F760">
        <v>1</v>
      </c>
      <c r="G760">
        <v>0</v>
      </c>
      <c r="H760" t="s">
        <v>314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>
        <v>6488</v>
      </c>
      <c r="B761">
        <v>1959</v>
      </c>
      <c r="C761" t="s">
        <v>33</v>
      </c>
      <c r="D761" t="s">
        <v>34</v>
      </c>
      <c r="E761">
        <v>38829</v>
      </c>
      <c r="F761">
        <v>0</v>
      </c>
      <c r="G761">
        <v>1</v>
      </c>
      <c r="H761" s="2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>
        <v>10270</v>
      </c>
      <c r="B762">
        <v>1981</v>
      </c>
      <c r="C762" t="s">
        <v>46</v>
      </c>
      <c r="D762" t="s">
        <v>34</v>
      </c>
      <c r="E762">
        <v>35523</v>
      </c>
      <c r="F762">
        <v>1</v>
      </c>
      <c r="G762">
        <v>0</v>
      </c>
      <c r="H762" s="2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t="s">
        <v>110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>
        <v>6406</v>
      </c>
      <c r="B764">
        <v>1988</v>
      </c>
      <c r="C764" t="s">
        <v>36</v>
      </c>
      <c r="D764" t="s">
        <v>34</v>
      </c>
      <c r="E764">
        <v>78285</v>
      </c>
      <c r="F764">
        <v>0</v>
      </c>
      <c r="G764">
        <v>0</v>
      </c>
      <c r="H764" t="s">
        <v>152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>
        <v>7573</v>
      </c>
      <c r="B765">
        <v>1978</v>
      </c>
      <c r="C765" t="s">
        <v>33</v>
      </c>
      <c r="D765" t="s">
        <v>30</v>
      </c>
      <c r="E765">
        <v>31626</v>
      </c>
      <c r="F765">
        <v>1</v>
      </c>
      <c r="G765">
        <v>0</v>
      </c>
      <c r="H765" s="2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25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t="s">
        <v>53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>
        <v>221</v>
      </c>
      <c r="B767">
        <v>1955</v>
      </c>
      <c r="C767" t="s">
        <v>29</v>
      </c>
      <c r="D767" t="s">
        <v>34</v>
      </c>
      <c r="E767">
        <v>48726</v>
      </c>
      <c r="F767">
        <v>0</v>
      </c>
      <c r="G767">
        <v>1</v>
      </c>
      <c r="H767" t="s">
        <v>182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>
        <v>5331</v>
      </c>
      <c r="B768">
        <v>1977</v>
      </c>
      <c r="C768" t="s">
        <v>29</v>
      </c>
      <c r="D768" t="s">
        <v>34</v>
      </c>
      <c r="E768">
        <v>74985</v>
      </c>
      <c r="F768">
        <v>0</v>
      </c>
      <c r="G768">
        <v>0</v>
      </c>
      <c r="H768" s="2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>
        <v>1911</v>
      </c>
      <c r="B769">
        <v>1987</v>
      </c>
      <c r="C769" t="s">
        <v>29</v>
      </c>
      <c r="D769" t="s">
        <v>31</v>
      </c>
      <c r="E769">
        <v>67430</v>
      </c>
      <c r="F769">
        <v>0</v>
      </c>
      <c r="G769">
        <v>0</v>
      </c>
      <c r="H769" s="2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>
        <v>20</v>
      </c>
      <c r="B770">
        <v>1965</v>
      </c>
      <c r="C770" t="s">
        <v>46</v>
      </c>
      <c r="D770" t="s">
        <v>34</v>
      </c>
      <c r="E770">
        <v>46891</v>
      </c>
      <c r="F770">
        <v>0</v>
      </c>
      <c r="G770">
        <v>1</v>
      </c>
      <c r="H770" s="2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>
        <v>8786</v>
      </c>
      <c r="B771">
        <v>1956</v>
      </c>
      <c r="C771" t="s">
        <v>36</v>
      </c>
      <c r="D771" t="s">
        <v>34</v>
      </c>
      <c r="E771">
        <v>62058</v>
      </c>
      <c r="F771">
        <v>0</v>
      </c>
      <c r="G771">
        <v>1</v>
      </c>
      <c r="H771" t="s">
        <v>315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>
        <v>10582</v>
      </c>
      <c r="B772">
        <v>1979</v>
      </c>
      <c r="C772" t="s">
        <v>29</v>
      </c>
      <c r="D772" t="s">
        <v>34</v>
      </c>
      <c r="E772">
        <v>72063</v>
      </c>
      <c r="F772">
        <v>0</v>
      </c>
      <c r="G772">
        <v>1</v>
      </c>
      <c r="H772" s="2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>
        <v>1915</v>
      </c>
      <c r="B773">
        <v>1951</v>
      </c>
      <c r="C773" t="s">
        <v>33</v>
      </c>
      <c r="D773" t="s">
        <v>34</v>
      </c>
      <c r="E773">
        <v>78939</v>
      </c>
      <c r="F773">
        <v>0</v>
      </c>
      <c r="G773">
        <v>0</v>
      </c>
      <c r="H773" s="2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t="s">
        <v>259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25">
      <c r="A775">
        <v>2371</v>
      </c>
      <c r="B775">
        <v>1972</v>
      </c>
      <c r="C775" t="s">
        <v>29</v>
      </c>
      <c r="D775" t="s">
        <v>34</v>
      </c>
      <c r="E775">
        <v>33622</v>
      </c>
      <c r="F775">
        <v>1</v>
      </c>
      <c r="G775">
        <v>1</v>
      </c>
      <c r="H775" t="s">
        <v>221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25">
      <c r="A776">
        <v>4303</v>
      </c>
      <c r="B776">
        <v>1957</v>
      </c>
      <c r="C776" t="s">
        <v>33</v>
      </c>
      <c r="D776" t="s">
        <v>31</v>
      </c>
      <c r="E776">
        <v>6835</v>
      </c>
      <c r="F776">
        <v>0</v>
      </c>
      <c r="G776">
        <v>1</v>
      </c>
      <c r="H776" s="2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5">
      <c r="A777">
        <v>6825</v>
      </c>
      <c r="B777">
        <v>1953</v>
      </c>
      <c r="C777" t="s">
        <v>29</v>
      </c>
      <c r="D777" t="s">
        <v>31</v>
      </c>
      <c r="E777">
        <v>41452</v>
      </c>
      <c r="F777">
        <v>1</v>
      </c>
      <c r="G777">
        <v>1</v>
      </c>
      <c r="H777" s="2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>
        <v>1072</v>
      </c>
      <c r="B778">
        <v>1965</v>
      </c>
      <c r="C778" t="s">
        <v>33</v>
      </c>
      <c r="D778" t="s">
        <v>30</v>
      </c>
      <c r="E778">
        <v>40760</v>
      </c>
      <c r="F778">
        <v>0</v>
      </c>
      <c r="G778">
        <v>1</v>
      </c>
      <c r="H778" t="s">
        <v>316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>
        <v>4964</v>
      </c>
      <c r="B779">
        <v>1958</v>
      </c>
      <c r="C779" t="s">
        <v>33</v>
      </c>
      <c r="D779" t="s">
        <v>31</v>
      </c>
      <c r="E779">
        <v>74250</v>
      </c>
      <c r="F779">
        <v>0</v>
      </c>
      <c r="G779">
        <v>0</v>
      </c>
      <c r="H779" t="s">
        <v>244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25">
      <c r="A780">
        <v>2461</v>
      </c>
      <c r="B780">
        <v>1955</v>
      </c>
      <c r="C780" t="s">
        <v>36</v>
      </c>
      <c r="D780" t="s">
        <v>30</v>
      </c>
      <c r="E780">
        <v>51124</v>
      </c>
      <c r="F780">
        <v>1</v>
      </c>
      <c r="G780">
        <v>1</v>
      </c>
      <c r="H780" t="s">
        <v>317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25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s="2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>
        <v>3194</v>
      </c>
      <c r="B782">
        <v>1974</v>
      </c>
      <c r="C782" t="s">
        <v>33</v>
      </c>
      <c r="D782" t="s">
        <v>30</v>
      </c>
      <c r="E782">
        <v>71466</v>
      </c>
      <c r="F782">
        <v>0</v>
      </c>
      <c r="G782">
        <v>0</v>
      </c>
      <c r="H782" s="2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>
        <v>10839</v>
      </c>
      <c r="B783">
        <v>1976</v>
      </c>
      <c r="C783" t="s">
        <v>29</v>
      </c>
      <c r="D783" t="s">
        <v>31</v>
      </c>
      <c r="E783">
        <v>36283</v>
      </c>
      <c r="F783">
        <v>1</v>
      </c>
      <c r="G783">
        <v>1</v>
      </c>
      <c r="H783" t="s">
        <v>142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5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s="2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>
        <v>4290</v>
      </c>
      <c r="B785">
        <v>1972</v>
      </c>
      <c r="C785" t="s">
        <v>29</v>
      </c>
      <c r="D785" t="s">
        <v>34</v>
      </c>
      <c r="E785">
        <v>30467</v>
      </c>
      <c r="F785">
        <v>1</v>
      </c>
      <c r="G785">
        <v>0</v>
      </c>
      <c r="H785" t="s">
        <v>66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5">
      <c r="A786">
        <v>10219</v>
      </c>
      <c r="B786">
        <v>1972</v>
      </c>
      <c r="C786" t="s">
        <v>29</v>
      </c>
      <c r="D786" t="s">
        <v>31</v>
      </c>
      <c r="E786">
        <v>31590</v>
      </c>
      <c r="F786">
        <v>1</v>
      </c>
      <c r="G786">
        <v>0</v>
      </c>
      <c r="H786" t="s">
        <v>318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>
        <v>4211</v>
      </c>
      <c r="B787">
        <v>1986</v>
      </c>
      <c r="C787" t="s">
        <v>41</v>
      </c>
      <c r="D787" t="s">
        <v>34</v>
      </c>
      <c r="E787">
        <v>20425</v>
      </c>
      <c r="F787">
        <v>1</v>
      </c>
      <c r="G787">
        <v>0</v>
      </c>
      <c r="H787" t="s">
        <v>54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>
        <v>1135</v>
      </c>
      <c r="B788">
        <v>1960</v>
      </c>
      <c r="C788" t="s">
        <v>36</v>
      </c>
      <c r="D788" t="s">
        <v>31</v>
      </c>
      <c r="E788">
        <v>17144</v>
      </c>
      <c r="F788">
        <v>1</v>
      </c>
      <c r="G788">
        <v>1</v>
      </c>
      <c r="H788" t="s">
        <v>260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>
        <v>6299</v>
      </c>
      <c r="B789">
        <v>1968</v>
      </c>
      <c r="C789" t="s">
        <v>33</v>
      </c>
      <c r="D789" t="s">
        <v>37</v>
      </c>
      <c r="E789">
        <v>42564</v>
      </c>
      <c r="F789">
        <v>0</v>
      </c>
      <c r="G789">
        <v>1</v>
      </c>
      <c r="H789" s="2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25">
      <c r="A790">
        <v>10846</v>
      </c>
      <c r="B790">
        <v>1978</v>
      </c>
      <c r="C790" t="s">
        <v>36</v>
      </c>
      <c r="D790" t="s">
        <v>34</v>
      </c>
      <c r="E790">
        <v>43783</v>
      </c>
      <c r="F790">
        <v>1</v>
      </c>
      <c r="G790">
        <v>0</v>
      </c>
      <c r="H790" t="s">
        <v>319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5">
      <c r="A791">
        <v>347</v>
      </c>
      <c r="B791">
        <v>1976</v>
      </c>
      <c r="C791" t="s">
        <v>29</v>
      </c>
      <c r="D791" t="s">
        <v>37</v>
      </c>
      <c r="E791">
        <v>40780</v>
      </c>
      <c r="F791">
        <v>0</v>
      </c>
      <c r="G791">
        <v>1</v>
      </c>
      <c r="H791" s="2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>
        <v>6543</v>
      </c>
      <c r="B792">
        <v>1945</v>
      </c>
      <c r="C792" t="s">
        <v>36</v>
      </c>
      <c r="D792" t="s">
        <v>31</v>
      </c>
      <c r="E792">
        <v>62847</v>
      </c>
      <c r="F792">
        <v>0</v>
      </c>
      <c r="G792">
        <v>0</v>
      </c>
      <c r="H792" t="s">
        <v>320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>
        <v>10446</v>
      </c>
      <c r="B793">
        <v>1957</v>
      </c>
      <c r="C793" t="s">
        <v>33</v>
      </c>
      <c r="D793" t="s">
        <v>34</v>
      </c>
      <c r="E793">
        <v>82017</v>
      </c>
      <c r="F793">
        <v>0</v>
      </c>
      <c r="G793">
        <v>0</v>
      </c>
      <c r="H793" s="2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25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t="s">
        <v>249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>
        <v>11075</v>
      </c>
      <c r="B795">
        <v>1978</v>
      </c>
      <c r="C795" t="s">
        <v>29</v>
      </c>
      <c r="D795" t="s">
        <v>34</v>
      </c>
      <c r="E795">
        <v>51267</v>
      </c>
      <c r="F795">
        <v>1</v>
      </c>
      <c r="G795">
        <v>1</v>
      </c>
      <c r="H795" t="s">
        <v>321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s="2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25">
      <c r="A797">
        <v>199</v>
      </c>
      <c r="B797">
        <v>1962</v>
      </c>
      <c r="C797" t="s">
        <v>36</v>
      </c>
      <c r="D797" t="s">
        <v>30</v>
      </c>
      <c r="E797">
        <v>45183</v>
      </c>
      <c r="F797">
        <v>0</v>
      </c>
      <c r="G797">
        <v>0</v>
      </c>
      <c r="H797" t="s">
        <v>282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>
        <v>6722</v>
      </c>
      <c r="B798">
        <v>1954</v>
      </c>
      <c r="C798" t="s">
        <v>33</v>
      </c>
      <c r="D798" t="s">
        <v>34</v>
      </c>
      <c r="E798">
        <v>70421</v>
      </c>
      <c r="F798">
        <v>0</v>
      </c>
      <c r="G798">
        <v>1</v>
      </c>
      <c r="H798" t="s">
        <v>59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>
        <v>796</v>
      </c>
      <c r="B799">
        <v>1965</v>
      </c>
      <c r="C799" t="s">
        <v>46</v>
      </c>
      <c r="D799" t="s">
        <v>37</v>
      </c>
      <c r="E799">
        <v>60161</v>
      </c>
      <c r="F799">
        <v>0</v>
      </c>
      <c r="G799">
        <v>1</v>
      </c>
      <c r="H799" t="s">
        <v>239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5">
      <c r="A800">
        <v>3749</v>
      </c>
      <c r="B800">
        <v>1973</v>
      </c>
      <c r="C800" t="s">
        <v>29</v>
      </c>
      <c r="D800" t="s">
        <v>31</v>
      </c>
      <c r="E800">
        <v>73926</v>
      </c>
      <c r="F800">
        <v>0</v>
      </c>
      <c r="G800">
        <v>0</v>
      </c>
      <c r="H800" s="2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5">
      <c r="A801">
        <v>8523</v>
      </c>
      <c r="B801">
        <v>1968</v>
      </c>
      <c r="C801" t="s">
        <v>29</v>
      </c>
      <c r="D801" t="s">
        <v>34</v>
      </c>
      <c r="E801">
        <v>19329</v>
      </c>
      <c r="F801">
        <v>1</v>
      </c>
      <c r="G801">
        <v>0</v>
      </c>
      <c r="H801" t="s">
        <v>322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>
        <v>310</v>
      </c>
      <c r="B802">
        <v>1970</v>
      </c>
      <c r="C802" t="s">
        <v>36</v>
      </c>
      <c r="D802" t="s">
        <v>34</v>
      </c>
      <c r="E802">
        <v>61872</v>
      </c>
      <c r="F802">
        <v>0</v>
      </c>
      <c r="G802">
        <v>1</v>
      </c>
      <c r="H802" t="s">
        <v>288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5">
      <c r="A803">
        <v>8629</v>
      </c>
      <c r="B803">
        <v>1956</v>
      </c>
      <c r="C803" t="s">
        <v>29</v>
      </c>
      <c r="D803" t="s">
        <v>57</v>
      </c>
      <c r="E803">
        <v>46984</v>
      </c>
      <c r="F803">
        <v>1</v>
      </c>
      <c r="G803">
        <v>1</v>
      </c>
      <c r="H803" t="s">
        <v>143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>
        <v>236</v>
      </c>
      <c r="B804">
        <v>1951</v>
      </c>
      <c r="C804" t="s">
        <v>29</v>
      </c>
      <c r="D804" t="s">
        <v>34</v>
      </c>
      <c r="E804">
        <v>34838</v>
      </c>
      <c r="F804">
        <v>1</v>
      </c>
      <c r="G804">
        <v>1</v>
      </c>
      <c r="H804" t="s">
        <v>323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>
        <v>9930</v>
      </c>
      <c r="B805">
        <v>1944</v>
      </c>
      <c r="C805" t="s">
        <v>33</v>
      </c>
      <c r="D805" t="s">
        <v>30</v>
      </c>
      <c r="E805">
        <v>82716</v>
      </c>
      <c r="F805">
        <v>0</v>
      </c>
      <c r="G805">
        <v>0</v>
      </c>
      <c r="H805" s="2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>
        <v>3483</v>
      </c>
      <c r="B806">
        <v>1958</v>
      </c>
      <c r="C806" t="s">
        <v>29</v>
      </c>
      <c r="D806" t="s">
        <v>34</v>
      </c>
      <c r="E806">
        <v>48192</v>
      </c>
      <c r="F806">
        <v>0</v>
      </c>
      <c r="G806">
        <v>0</v>
      </c>
      <c r="H806" s="2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25">
      <c r="A807">
        <v>4599</v>
      </c>
      <c r="B807">
        <v>1976</v>
      </c>
      <c r="C807" t="s">
        <v>36</v>
      </c>
      <c r="D807" t="s">
        <v>34</v>
      </c>
      <c r="E807">
        <v>49681</v>
      </c>
      <c r="F807">
        <v>0</v>
      </c>
      <c r="G807">
        <v>2</v>
      </c>
      <c r="H807" s="2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>
        <v>7326</v>
      </c>
      <c r="B808">
        <v>1971</v>
      </c>
      <c r="C808" t="s">
        <v>36</v>
      </c>
      <c r="D808" t="s">
        <v>34</v>
      </c>
      <c r="E808">
        <v>56850</v>
      </c>
      <c r="F808">
        <v>0</v>
      </c>
      <c r="G808">
        <v>1</v>
      </c>
      <c r="H808" t="s">
        <v>81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>
        <v>7352</v>
      </c>
      <c r="B809">
        <v>1957</v>
      </c>
      <c r="C809" t="s">
        <v>29</v>
      </c>
      <c r="D809" t="s">
        <v>34</v>
      </c>
      <c r="E809">
        <v>55267</v>
      </c>
      <c r="F809">
        <v>0</v>
      </c>
      <c r="G809">
        <v>1</v>
      </c>
      <c r="H809" t="s">
        <v>290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5">
      <c r="A810">
        <v>2350</v>
      </c>
      <c r="B810">
        <v>1972</v>
      </c>
      <c r="C810" t="s">
        <v>29</v>
      </c>
      <c r="D810" t="s">
        <v>34</v>
      </c>
      <c r="E810">
        <v>59666</v>
      </c>
      <c r="F810">
        <v>1</v>
      </c>
      <c r="G810">
        <v>1</v>
      </c>
      <c r="H810" t="s">
        <v>324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5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s="2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>
        <v>2964</v>
      </c>
      <c r="B812">
        <v>1981</v>
      </c>
      <c r="C812" t="s">
        <v>29</v>
      </c>
      <c r="D812" t="s">
        <v>34</v>
      </c>
      <c r="E812">
        <v>26872</v>
      </c>
      <c r="F812">
        <v>0</v>
      </c>
      <c r="G812">
        <v>0</v>
      </c>
      <c r="H812" t="s">
        <v>208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t="s">
        <v>87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25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t="s">
        <v>325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>
        <v>3732</v>
      </c>
      <c r="B815">
        <v>1955</v>
      </c>
      <c r="C815" t="s">
        <v>36</v>
      </c>
      <c r="D815" t="s">
        <v>34</v>
      </c>
      <c r="E815">
        <v>52750</v>
      </c>
      <c r="F815">
        <v>0</v>
      </c>
      <c r="G815">
        <v>1</v>
      </c>
      <c r="H815" s="2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>
        <v>6303</v>
      </c>
      <c r="B816">
        <v>1986</v>
      </c>
      <c r="C816" t="s">
        <v>33</v>
      </c>
      <c r="D816" t="s">
        <v>31</v>
      </c>
      <c r="E816">
        <v>91820</v>
      </c>
      <c r="F816">
        <v>0</v>
      </c>
      <c r="G816">
        <v>0</v>
      </c>
      <c r="H816" t="s">
        <v>80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>
        <v>11176</v>
      </c>
      <c r="B817">
        <v>1970</v>
      </c>
      <c r="C817" t="s">
        <v>33</v>
      </c>
      <c r="D817" t="s">
        <v>31</v>
      </c>
      <c r="E817">
        <v>65968</v>
      </c>
      <c r="F817">
        <v>0</v>
      </c>
      <c r="G817">
        <v>1</v>
      </c>
      <c r="H817" s="2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>
        <v>2986</v>
      </c>
      <c r="B818">
        <v>1976</v>
      </c>
      <c r="C818" t="s">
        <v>29</v>
      </c>
      <c r="D818" t="s">
        <v>34</v>
      </c>
      <c r="E818">
        <v>30772</v>
      </c>
      <c r="F818">
        <v>1</v>
      </c>
      <c r="G818">
        <v>1</v>
      </c>
      <c r="H818" s="2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t="s">
        <v>42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>
        <v>3900</v>
      </c>
      <c r="B820">
        <v>1972</v>
      </c>
      <c r="C820" t="s">
        <v>29</v>
      </c>
      <c r="D820" t="s">
        <v>34</v>
      </c>
      <c r="E820">
        <v>65685</v>
      </c>
      <c r="F820">
        <v>0</v>
      </c>
      <c r="G820">
        <v>1</v>
      </c>
      <c r="H820" t="s">
        <v>263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>
        <v>7034</v>
      </c>
      <c r="B821">
        <v>1978</v>
      </c>
      <c r="C821" t="s">
        <v>46</v>
      </c>
      <c r="D821" t="s">
        <v>34</v>
      </c>
      <c r="E821">
        <v>25804</v>
      </c>
      <c r="F821">
        <v>1</v>
      </c>
      <c r="G821">
        <v>0</v>
      </c>
      <c r="H821" s="2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>
        <v>9493</v>
      </c>
      <c r="B822">
        <v>1980</v>
      </c>
      <c r="C822" t="s">
        <v>33</v>
      </c>
      <c r="D822" t="s">
        <v>30</v>
      </c>
      <c r="E822">
        <v>76412</v>
      </c>
      <c r="F822">
        <v>0</v>
      </c>
      <c r="G822">
        <v>0</v>
      </c>
      <c r="H822" s="2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25">
      <c r="A823">
        <v>1143</v>
      </c>
      <c r="B823">
        <v>1972</v>
      </c>
      <c r="C823" t="s">
        <v>29</v>
      </c>
      <c r="D823" t="s">
        <v>34</v>
      </c>
      <c r="E823">
        <v>22063</v>
      </c>
      <c r="F823">
        <v>1</v>
      </c>
      <c r="G823">
        <v>0</v>
      </c>
      <c r="H823" s="2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t="s">
        <v>124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25">
      <c r="A825">
        <v>3855</v>
      </c>
      <c r="B825">
        <v>1963</v>
      </c>
      <c r="C825" t="s">
        <v>29</v>
      </c>
      <c r="D825" t="s">
        <v>34</v>
      </c>
      <c r="E825">
        <v>22419</v>
      </c>
      <c r="F825">
        <v>0</v>
      </c>
      <c r="G825">
        <v>0</v>
      </c>
      <c r="H825" t="s">
        <v>210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>
        <v>5536</v>
      </c>
      <c r="B826">
        <v>1959</v>
      </c>
      <c r="C826" t="s">
        <v>29</v>
      </c>
      <c r="D826" t="s">
        <v>31</v>
      </c>
      <c r="E826">
        <v>87771</v>
      </c>
      <c r="F826">
        <v>0</v>
      </c>
      <c r="G826">
        <v>1</v>
      </c>
      <c r="H826" t="s">
        <v>163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25">
      <c r="A827">
        <v>5989</v>
      </c>
      <c r="B827">
        <v>1959</v>
      </c>
      <c r="C827" t="s">
        <v>46</v>
      </c>
      <c r="D827" t="s">
        <v>37</v>
      </c>
      <c r="E827">
        <v>78353</v>
      </c>
      <c r="F827">
        <v>0</v>
      </c>
      <c r="G827">
        <v>1</v>
      </c>
      <c r="H827" t="s">
        <v>189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>
        <v>9499</v>
      </c>
      <c r="B828">
        <v>1954</v>
      </c>
      <c r="C828" t="s">
        <v>29</v>
      </c>
      <c r="D828" t="s">
        <v>34</v>
      </c>
      <c r="E828">
        <v>93404</v>
      </c>
      <c r="F828">
        <v>1</v>
      </c>
      <c r="G828">
        <v>2</v>
      </c>
      <c r="H828" s="2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>
        <v>6768</v>
      </c>
      <c r="B829">
        <v>1962</v>
      </c>
      <c r="C829" t="s">
        <v>29</v>
      </c>
      <c r="D829" t="s">
        <v>37</v>
      </c>
      <c r="E829">
        <v>37859</v>
      </c>
      <c r="F829">
        <v>1</v>
      </c>
      <c r="G829">
        <v>2</v>
      </c>
      <c r="H829" s="2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5">
      <c r="A830">
        <v>2150</v>
      </c>
      <c r="B830">
        <v>1958</v>
      </c>
      <c r="C830" t="s">
        <v>33</v>
      </c>
      <c r="D830" t="s">
        <v>57</v>
      </c>
      <c r="E830">
        <v>80995</v>
      </c>
      <c r="F830">
        <v>0</v>
      </c>
      <c r="G830">
        <v>1</v>
      </c>
      <c r="H830" s="2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>
        <v>6646</v>
      </c>
      <c r="B831">
        <v>1984</v>
      </c>
      <c r="C831" t="s">
        <v>29</v>
      </c>
      <c r="D831" t="s">
        <v>31</v>
      </c>
      <c r="E831">
        <v>16529</v>
      </c>
      <c r="F831">
        <v>1</v>
      </c>
      <c r="G831">
        <v>0</v>
      </c>
      <c r="H831" s="2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>
        <v>4887</v>
      </c>
      <c r="B832">
        <v>1976</v>
      </c>
      <c r="C832" t="s">
        <v>33</v>
      </c>
      <c r="D832" t="s">
        <v>37</v>
      </c>
      <c r="E832">
        <v>55412</v>
      </c>
      <c r="F832">
        <v>1</v>
      </c>
      <c r="G832">
        <v>1</v>
      </c>
      <c r="H832" t="s">
        <v>52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s="2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>
        <v>3321</v>
      </c>
      <c r="B834">
        <v>1967</v>
      </c>
      <c r="C834" t="s">
        <v>33</v>
      </c>
      <c r="D834" t="s">
        <v>31</v>
      </c>
      <c r="E834">
        <v>56575</v>
      </c>
      <c r="F834">
        <v>0</v>
      </c>
      <c r="G834">
        <v>2</v>
      </c>
      <c r="H834" s="2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25">
      <c r="A835">
        <v>11003</v>
      </c>
      <c r="B835">
        <v>1980</v>
      </c>
      <c r="C835" t="s">
        <v>46</v>
      </c>
      <c r="D835" t="s">
        <v>31</v>
      </c>
      <c r="E835">
        <v>25130</v>
      </c>
      <c r="F835">
        <v>1</v>
      </c>
      <c r="G835">
        <v>0</v>
      </c>
      <c r="H835" s="2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>
        <v>10402</v>
      </c>
      <c r="B836">
        <v>1967</v>
      </c>
      <c r="C836" t="s">
        <v>29</v>
      </c>
      <c r="D836" t="s">
        <v>34</v>
      </c>
      <c r="E836">
        <v>35441</v>
      </c>
      <c r="F836">
        <v>1</v>
      </c>
      <c r="G836">
        <v>1</v>
      </c>
      <c r="H836" t="s">
        <v>326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>
        <v>9904</v>
      </c>
      <c r="B837">
        <v>1956</v>
      </c>
      <c r="C837" t="s">
        <v>29</v>
      </c>
      <c r="D837" t="s">
        <v>34</v>
      </c>
      <c r="E837">
        <v>71391</v>
      </c>
      <c r="F837">
        <v>0</v>
      </c>
      <c r="G837">
        <v>1</v>
      </c>
      <c r="H837" t="s">
        <v>310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5">
      <c r="A838">
        <v>6141</v>
      </c>
      <c r="B838">
        <v>1972</v>
      </c>
      <c r="C838" t="s">
        <v>36</v>
      </c>
      <c r="D838" t="s">
        <v>30</v>
      </c>
      <c r="E838">
        <v>49494</v>
      </c>
      <c r="F838">
        <v>1</v>
      </c>
      <c r="G838">
        <v>0</v>
      </c>
      <c r="H838" t="s">
        <v>222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>
        <v>5687</v>
      </c>
      <c r="B839">
        <v>1980</v>
      </c>
      <c r="C839" t="s">
        <v>29</v>
      </c>
      <c r="D839" t="s">
        <v>37</v>
      </c>
      <c r="E839">
        <v>81702</v>
      </c>
      <c r="F839">
        <v>0</v>
      </c>
      <c r="G839">
        <v>0</v>
      </c>
      <c r="H839" t="s">
        <v>270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25">
      <c r="A840">
        <v>10856</v>
      </c>
      <c r="B840">
        <v>1980</v>
      </c>
      <c r="C840" t="s">
        <v>46</v>
      </c>
      <c r="D840" t="s">
        <v>30</v>
      </c>
      <c r="E840">
        <v>45889</v>
      </c>
      <c r="F840">
        <v>0</v>
      </c>
      <c r="G840">
        <v>1</v>
      </c>
      <c r="H840" s="2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t="s">
        <v>327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>
        <v>4186</v>
      </c>
      <c r="B842">
        <v>1950</v>
      </c>
      <c r="C842" t="s">
        <v>29</v>
      </c>
      <c r="D842" t="s">
        <v>31</v>
      </c>
      <c r="E842">
        <v>34026</v>
      </c>
      <c r="F842">
        <v>1</v>
      </c>
      <c r="G842">
        <v>1</v>
      </c>
      <c r="H842" s="2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>
        <v>368</v>
      </c>
      <c r="B843">
        <v>1974</v>
      </c>
      <c r="C843" t="s">
        <v>29</v>
      </c>
      <c r="D843" t="s">
        <v>34</v>
      </c>
      <c r="E843">
        <v>40049</v>
      </c>
      <c r="F843">
        <v>0</v>
      </c>
      <c r="G843">
        <v>1</v>
      </c>
      <c r="H843" t="s">
        <v>328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s="2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5">
      <c r="A845">
        <v>11121</v>
      </c>
      <c r="B845">
        <v>1981</v>
      </c>
      <c r="C845" t="s">
        <v>29</v>
      </c>
      <c r="D845" t="s">
        <v>34</v>
      </c>
      <c r="E845">
        <v>19419</v>
      </c>
      <c r="F845">
        <v>1</v>
      </c>
      <c r="G845">
        <v>0</v>
      </c>
      <c r="H845" s="2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25">
      <c r="A846">
        <v>5332</v>
      </c>
      <c r="B846">
        <v>1960</v>
      </c>
      <c r="C846" t="s">
        <v>46</v>
      </c>
      <c r="D846" t="s">
        <v>34</v>
      </c>
      <c r="E846">
        <v>82504</v>
      </c>
      <c r="F846">
        <v>0</v>
      </c>
      <c r="G846">
        <v>0</v>
      </c>
      <c r="H846" t="s">
        <v>329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>
        <v>5848</v>
      </c>
      <c r="B847">
        <v>1970</v>
      </c>
      <c r="C847" t="s">
        <v>29</v>
      </c>
      <c r="D847" t="s">
        <v>31</v>
      </c>
      <c r="E847">
        <v>81205</v>
      </c>
      <c r="F847">
        <v>0</v>
      </c>
      <c r="G847">
        <v>0</v>
      </c>
      <c r="H847" t="s">
        <v>330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25">
      <c r="A848">
        <v>10343</v>
      </c>
      <c r="B848">
        <v>1991</v>
      </c>
      <c r="C848" t="s">
        <v>46</v>
      </c>
      <c r="D848" t="s">
        <v>30</v>
      </c>
      <c r="E848">
        <v>61618</v>
      </c>
      <c r="F848">
        <v>0</v>
      </c>
      <c r="G848">
        <v>0</v>
      </c>
      <c r="H848" t="s">
        <v>331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>
        <v>5935</v>
      </c>
      <c r="B849">
        <v>1956</v>
      </c>
      <c r="C849" t="s">
        <v>36</v>
      </c>
      <c r="D849" t="s">
        <v>30</v>
      </c>
      <c r="E849">
        <v>55284</v>
      </c>
      <c r="F849">
        <v>0</v>
      </c>
      <c r="G849">
        <v>1</v>
      </c>
      <c r="H849" t="s">
        <v>43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5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t="s">
        <v>332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>
        <v>10262</v>
      </c>
      <c r="B851">
        <v>1980</v>
      </c>
      <c r="C851" t="s">
        <v>29</v>
      </c>
      <c r="D851" t="s">
        <v>34</v>
      </c>
      <c r="E851">
        <v>15072</v>
      </c>
      <c r="F851">
        <v>2</v>
      </c>
      <c r="G851">
        <v>0</v>
      </c>
      <c r="H851" s="2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t="s">
        <v>173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>
        <v>9477</v>
      </c>
      <c r="B853">
        <v>1954</v>
      </c>
      <c r="C853" t="s">
        <v>33</v>
      </c>
      <c r="D853" t="s">
        <v>34</v>
      </c>
      <c r="E853">
        <v>65324</v>
      </c>
      <c r="F853">
        <v>0</v>
      </c>
      <c r="G853">
        <v>1</v>
      </c>
      <c r="H853" s="2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5">
      <c r="A854">
        <v>4856</v>
      </c>
      <c r="B854">
        <v>1957</v>
      </c>
      <c r="C854" t="s">
        <v>46</v>
      </c>
      <c r="D854" t="s">
        <v>34</v>
      </c>
      <c r="E854">
        <v>82347</v>
      </c>
      <c r="F854">
        <v>0</v>
      </c>
      <c r="G854">
        <v>0</v>
      </c>
      <c r="H854" s="2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>
        <v>7186</v>
      </c>
      <c r="B855">
        <v>1966</v>
      </c>
      <c r="C855" t="s">
        <v>33</v>
      </c>
      <c r="D855" t="s">
        <v>31</v>
      </c>
      <c r="E855">
        <v>30843</v>
      </c>
      <c r="F855">
        <v>1</v>
      </c>
      <c r="G855">
        <v>1</v>
      </c>
      <c r="H855" t="s">
        <v>333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>
        <v>5794</v>
      </c>
      <c r="B856">
        <v>1974</v>
      </c>
      <c r="C856" t="s">
        <v>33</v>
      </c>
      <c r="D856" t="s">
        <v>34</v>
      </c>
      <c r="E856">
        <v>46374</v>
      </c>
      <c r="F856">
        <v>0</v>
      </c>
      <c r="G856">
        <v>1</v>
      </c>
      <c r="H856" t="s">
        <v>179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5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s="2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>
        <v>4877</v>
      </c>
      <c r="B858">
        <v>1973</v>
      </c>
      <c r="C858" t="s">
        <v>36</v>
      </c>
      <c r="D858" t="s">
        <v>34</v>
      </c>
      <c r="E858">
        <v>38576</v>
      </c>
      <c r="F858">
        <v>0</v>
      </c>
      <c r="G858">
        <v>1</v>
      </c>
      <c r="H858" s="2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>
        <v>425</v>
      </c>
      <c r="B859">
        <v>1985</v>
      </c>
      <c r="C859" t="s">
        <v>29</v>
      </c>
      <c r="D859" t="s">
        <v>34</v>
      </c>
      <c r="E859">
        <v>55357</v>
      </c>
      <c r="F859">
        <v>2</v>
      </c>
      <c r="G859">
        <v>0</v>
      </c>
      <c r="H859" t="s">
        <v>92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>
        <v>3007</v>
      </c>
      <c r="B860">
        <v>1966</v>
      </c>
      <c r="C860" t="s">
        <v>29</v>
      </c>
      <c r="D860" t="s">
        <v>31</v>
      </c>
      <c r="E860">
        <v>37758</v>
      </c>
      <c r="F860">
        <v>1</v>
      </c>
      <c r="G860">
        <v>1</v>
      </c>
      <c r="H860" s="2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>
        <v>1031</v>
      </c>
      <c r="B861">
        <v>1989</v>
      </c>
      <c r="C861" t="s">
        <v>46</v>
      </c>
      <c r="D861" t="s">
        <v>34</v>
      </c>
      <c r="E861">
        <v>85710</v>
      </c>
      <c r="F861">
        <v>0</v>
      </c>
      <c r="G861">
        <v>0</v>
      </c>
      <c r="H861" s="2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>
        <v>4297</v>
      </c>
      <c r="B862">
        <v>1969</v>
      </c>
      <c r="C862" t="s">
        <v>29</v>
      </c>
      <c r="D862" t="s">
        <v>31</v>
      </c>
      <c r="E862">
        <v>23228</v>
      </c>
      <c r="F862">
        <v>1</v>
      </c>
      <c r="G862">
        <v>0</v>
      </c>
      <c r="H862" t="s">
        <v>244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25">
      <c r="A863">
        <v>807</v>
      </c>
      <c r="B863">
        <v>1969</v>
      </c>
      <c r="C863" t="s">
        <v>36</v>
      </c>
      <c r="D863" t="s">
        <v>31</v>
      </c>
      <c r="E863">
        <v>44602</v>
      </c>
      <c r="F863">
        <v>1</v>
      </c>
      <c r="G863">
        <v>1</v>
      </c>
      <c r="H863" t="s">
        <v>260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5">
      <c r="A864">
        <v>9553</v>
      </c>
      <c r="B864">
        <v>1987</v>
      </c>
      <c r="C864" t="s">
        <v>29</v>
      </c>
      <c r="D864" t="s">
        <v>34</v>
      </c>
      <c r="E864">
        <v>7500</v>
      </c>
      <c r="F864">
        <v>0</v>
      </c>
      <c r="G864">
        <v>0</v>
      </c>
      <c r="H864" s="2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>
        <v>4271</v>
      </c>
      <c r="B865">
        <v>1989</v>
      </c>
      <c r="C865" t="s">
        <v>46</v>
      </c>
      <c r="D865" t="s">
        <v>31</v>
      </c>
      <c r="E865">
        <v>38683</v>
      </c>
      <c r="F865">
        <v>1</v>
      </c>
      <c r="G865">
        <v>0</v>
      </c>
      <c r="H865" s="2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5">
      <c r="A866">
        <v>4120</v>
      </c>
      <c r="B866">
        <v>1975</v>
      </c>
      <c r="C866" t="s">
        <v>46</v>
      </c>
      <c r="D866" t="s">
        <v>30</v>
      </c>
      <c r="E866">
        <v>49514</v>
      </c>
      <c r="F866">
        <v>1</v>
      </c>
      <c r="G866">
        <v>0</v>
      </c>
      <c r="H866" t="s">
        <v>184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>
        <v>2036</v>
      </c>
      <c r="B867">
        <v>1973</v>
      </c>
      <c r="C867" t="s">
        <v>33</v>
      </c>
      <c r="D867" t="s">
        <v>31</v>
      </c>
      <c r="E867">
        <v>57906</v>
      </c>
      <c r="F867">
        <v>0</v>
      </c>
      <c r="G867">
        <v>1</v>
      </c>
      <c r="H867" s="2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>
        <v>115</v>
      </c>
      <c r="B868">
        <v>1966</v>
      </c>
      <c r="C868" t="s">
        <v>36</v>
      </c>
      <c r="D868" t="s">
        <v>30</v>
      </c>
      <c r="E868">
        <v>43456</v>
      </c>
      <c r="F868">
        <v>0</v>
      </c>
      <c r="G868">
        <v>1</v>
      </c>
      <c r="H868" t="s">
        <v>143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>
        <v>4259</v>
      </c>
      <c r="B869">
        <v>1986</v>
      </c>
      <c r="C869" t="s">
        <v>36</v>
      </c>
      <c r="D869" t="s">
        <v>30</v>
      </c>
      <c r="E869">
        <v>19485</v>
      </c>
      <c r="F869">
        <v>2</v>
      </c>
      <c r="G869">
        <v>0</v>
      </c>
      <c r="H869" t="s">
        <v>89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>
        <v>8687</v>
      </c>
      <c r="B870">
        <v>1978</v>
      </c>
      <c r="C870" t="s">
        <v>29</v>
      </c>
      <c r="D870" t="s">
        <v>31</v>
      </c>
      <c r="E870">
        <v>53172</v>
      </c>
      <c r="F870">
        <v>0</v>
      </c>
      <c r="G870">
        <v>1</v>
      </c>
      <c r="H870" s="2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>
        <v>2447</v>
      </c>
      <c r="B871">
        <v>1979</v>
      </c>
      <c r="C871" t="s">
        <v>29</v>
      </c>
      <c r="D871" t="s">
        <v>31</v>
      </c>
      <c r="E871">
        <v>30545</v>
      </c>
      <c r="F871">
        <v>1</v>
      </c>
      <c r="G871">
        <v>0</v>
      </c>
      <c r="H871" t="s">
        <v>215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>
        <v>10140</v>
      </c>
      <c r="B872">
        <v>1983</v>
      </c>
      <c r="C872" t="s">
        <v>33</v>
      </c>
      <c r="D872" t="s">
        <v>31</v>
      </c>
      <c r="E872">
        <v>70123</v>
      </c>
      <c r="F872">
        <v>0</v>
      </c>
      <c r="G872">
        <v>0</v>
      </c>
      <c r="H872" t="s">
        <v>122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s="2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>
        <v>3623</v>
      </c>
      <c r="B874">
        <v>1976</v>
      </c>
      <c r="C874" t="s">
        <v>29</v>
      </c>
      <c r="D874" t="s">
        <v>31</v>
      </c>
      <c r="E874">
        <v>21675</v>
      </c>
      <c r="F874">
        <v>1</v>
      </c>
      <c r="G874">
        <v>0</v>
      </c>
      <c r="H874" s="2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>
        <v>738</v>
      </c>
      <c r="B875">
        <v>1981</v>
      </c>
      <c r="C875" t="s">
        <v>46</v>
      </c>
      <c r="D875" t="s">
        <v>30</v>
      </c>
      <c r="E875">
        <v>42395</v>
      </c>
      <c r="F875">
        <v>1</v>
      </c>
      <c r="G875">
        <v>1</v>
      </c>
      <c r="H875" s="2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>
        <v>7631</v>
      </c>
      <c r="B876">
        <v>1978</v>
      </c>
      <c r="C876" t="s">
        <v>36</v>
      </c>
      <c r="D876" t="s">
        <v>31</v>
      </c>
      <c r="E876">
        <v>61346</v>
      </c>
      <c r="F876">
        <v>1</v>
      </c>
      <c r="G876">
        <v>0</v>
      </c>
      <c r="H876" s="2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>
        <v>4789</v>
      </c>
      <c r="B877">
        <v>1953</v>
      </c>
      <c r="C877" t="s">
        <v>29</v>
      </c>
      <c r="D877" t="s">
        <v>31</v>
      </c>
      <c r="E877">
        <v>80812</v>
      </c>
      <c r="F877">
        <v>0</v>
      </c>
      <c r="G877">
        <v>0</v>
      </c>
      <c r="H877" t="s">
        <v>275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>
        <v>773</v>
      </c>
      <c r="B878">
        <v>1971</v>
      </c>
      <c r="C878" t="s">
        <v>36</v>
      </c>
      <c r="D878" t="s">
        <v>37</v>
      </c>
      <c r="E878">
        <v>42835</v>
      </c>
      <c r="F878">
        <v>1</v>
      </c>
      <c r="G878">
        <v>1</v>
      </c>
      <c r="H878" t="s">
        <v>190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>
        <v>10602</v>
      </c>
      <c r="B879">
        <v>1983</v>
      </c>
      <c r="C879" t="s">
        <v>29</v>
      </c>
      <c r="D879" t="s">
        <v>34</v>
      </c>
      <c r="E879">
        <v>39922</v>
      </c>
      <c r="F879">
        <v>1</v>
      </c>
      <c r="G879">
        <v>0</v>
      </c>
      <c r="H879" t="s">
        <v>326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>
        <v>1446</v>
      </c>
      <c r="B880">
        <v>1956</v>
      </c>
      <c r="C880" t="s">
        <v>36</v>
      </c>
      <c r="D880" t="s">
        <v>30</v>
      </c>
      <c r="E880">
        <v>86424</v>
      </c>
      <c r="F880">
        <v>0</v>
      </c>
      <c r="G880">
        <v>0</v>
      </c>
      <c r="H880" s="2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>
        <v>3270</v>
      </c>
      <c r="B881">
        <v>1978</v>
      </c>
      <c r="C881" t="s">
        <v>46</v>
      </c>
      <c r="D881" t="s">
        <v>31</v>
      </c>
      <c r="E881">
        <v>17117</v>
      </c>
      <c r="F881">
        <v>1</v>
      </c>
      <c r="G881">
        <v>0</v>
      </c>
      <c r="H881" t="s">
        <v>131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s="2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25">
      <c r="A883">
        <v>9653</v>
      </c>
      <c r="B883">
        <v>1975</v>
      </c>
      <c r="C883" t="s">
        <v>29</v>
      </c>
      <c r="D883" t="s">
        <v>34</v>
      </c>
      <c r="E883">
        <v>35797</v>
      </c>
      <c r="F883">
        <v>0</v>
      </c>
      <c r="G883">
        <v>1</v>
      </c>
      <c r="H883" t="s">
        <v>161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>
        <v>8916</v>
      </c>
      <c r="B884">
        <v>1975</v>
      </c>
      <c r="C884" t="s">
        <v>29</v>
      </c>
      <c r="D884" t="s">
        <v>37</v>
      </c>
      <c r="E884">
        <v>36627</v>
      </c>
      <c r="F884">
        <v>2</v>
      </c>
      <c r="G884">
        <v>0</v>
      </c>
      <c r="H884" t="s">
        <v>85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>
        <v>8017</v>
      </c>
      <c r="B885">
        <v>1981</v>
      </c>
      <c r="C885" t="s">
        <v>46</v>
      </c>
      <c r="D885" t="s">
        <v>34</v>
      </c>
      <c r="E885">
        <v>51111</v>
      </c>
      <c r="F885">
        <v>1</v>
      </c>
      <c r="G885">
        <v>1</v>
      </c>
      <c r="H885" t="s">
        <v>334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>
        <v>5830</v>
      </c>
      <c r="B886">
        <v>1972</v>
      </c>
      <c r="C886" t="s">
        <v>33</v>
      </c>
      <c r="D886" t="s">
        <v>30</v>
      </c>
      <c r="E886">
        <v>86857</v>
      </c>
      <c r="F886">
        <v>0</v>
      </c>
      <c r="G886">
        <v>0</v>
      </c>
      <c r="H886" s="2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25">
      <c r="A887">
        <v>4597</v>
      </c>
      <c r="B887">
        <v>1970</v>
      </c>
      <c r="C887" t="s">
        <v>33</v>
      </c>
      <c r="D887" t="s">
        <v>31</v>
      </c>
      <c r="E887">
        <v>82072</v>
      </c>
      <c r="F887">
        <v>0</v>
      </c>
      <c r="G887">
        <v>0</v>
      </c>
      <c r="H887" s="2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>
        <v>7023</v>
      </c>
      <c r="B888">
        <v>1953</v>
      </c>
      <c r="C888" t="s">
        <v>33</v>
      </c>
      <c r="D888" t="s">
        <v>30</v>
      </c>
      <c r="E888">
        <v>46231</v>
      </c>
      <c r="F888">
        <v>2</v>
      </c>
      <c r="G888">
        <v>1</v>
      </c>
      <c r="H888" t="s">
        <v>335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5">
      <c r="A889">
        <v>8086</v>
      </c>
      <c r="B889">
        <v>1959</v>
      </c>
      <c r="C889" t="s">
        <v>29</v>
      </c>
      <c r="D889" t="s">
        <v>34</v>
      </c>
      <c r="E889">
        <v>42243</v>
      </c>
      <c r="F889">
        <v>1</v>
      </c>
      <c r="G889">
        <v>1</v>
      </c>
      <c r="H889" s="2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>
        <v>8825</v>
      </c>
      <c r="B890">
        <v>1962</v>
      </c>
      <c r="C890" t="s">
        <v>29</v>
      </c>
      <c r="D890" t="s">
        <v>31</v>
      </c>
      <c r="E890">
        <v>51195</v>
      </c>
      <c r="F890">
        <v>1</v>
      </c>
      <c r="G890">
        <v>1</v>
      </c>
      <c r="H890" s="2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>
        <v>2930</v>
      </c>
      <c r="B891">
        <v>1978</v>
      </c>
      <c r="C891" t="s">
        <v>36</v>
      </c>
      <c r="D891" t="s">
        <v>30</v>
      </c>
      <c r="E891">
        <v>68092</v>
      </c>
      <c r="F891">
        <v>0</v>
      </c>
      <c r="G891">
        <v>0</v>
      </c>
      <c r="H891" t="s">
        <v>294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>
        <v>1928</v>
      </c>
      <c r="B892">
        <v>1973</v>
      </c>
      <c r="C892" t="s">
        <v>29</v>
      </c>
      <c r="D892" t="s">
        <v>34</v>
      </c>
      <c r="E892">
        <v>31814</v>
      </c>
      <c r="F892">
        <v>1</v>
      </c>
      <c r="G892">
        <v>0</v>
      </c>
      <c r="H892" s="2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5">
      <c r="A893">
        <v>7108</v>
      </c>
      <c r="B893">
        <v>1965</v>
      </c>
      <c r="C893" t="s">
        <v>36</v>
      </c>
      <c r="D893" t="s">
        <v>57</v>
      </c>
      <c r="E893">
        <v>51390</v>
      </c>
      <c r="F893">
        <v>1</v>
      </c>
      <c r="G893">
        <v>1</v>
      </c>
      <c r="H893" s="2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>
        <v>10925</v>
      </c>
      <c r="B894">
        <v>1983</v>
      </c>
      <c r="C894" t="s">
        <v>29</v>
      </c>
      <c r="D894" t="s">
        <v>34</v>
      </c>
      <c r="E894">
        <v>76630</v>
      </c>
      <c r="F894">
        <v>0</v>
      </c>
      <c r="G894">
        <v>0</v>
      </c>
      <c r="H894" t="s">
        <v>336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5">
      <c r="A895">
        <v>9960</v>
      </c>
      <c r="B895">
        <v>1991</v>
      </c>
      <c r="C895" t="s">
        <v>41</v>
      </c>
      <c r="D895" t="s">
        <v>30</v>
      </c>
      <c r="E895">
        <v>26868</v>
      </c>
      <c r="F895">
        <v>1</v>
      </c>
      <c r="G895">
        <v>0</v>
      </c>
      <c r="H895" t="s">
        <v>70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>
        <v>8800</v>
      </c>
      <c r="B896">
        <v>1943</v>
      </c>
      <c r="C896" t="s">
        <v>33</v>
      </c>
      <c r="D896" t="s">
        <v>37</v>
      </c>
      <c r="E896">
        <v>48948</v>
      </c>
      <c r="F896">
        <v>0</v>
      </c>
      <c r="G896">
        <v>0</v>
      </c>
      <c r="H896" s="2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25">
      <c r="A897">
        <v>9224</v>
      </c>
      <c r="B897">
        <v>1972</v>
      </c>
      <c r="C897" t="s">
        <v>33</v>
      </c>
      <c r="D897" t="s">
        <v>30</v>
      </c>
      <c r="E897">
        <v>55260</v>
      </c>
      <c r="F897">
        <v>0</v>
      </c>
      <c r="G897">
        <v>1</v>
      </c>
      <c r="H897" s="2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>
        <v>5519</v>
      </c>
      <c r="B898">
        <v>1956</v>
      </c>
      <c r="C898" t="s">
        <v>29</v>
      </c>
      <c r="D898" t="s">
        <v>31</v>
      </c>
      <c r="E898">
        <v>64090</v>
      </c>
      <c r="F898">
        <v>0</v>
      </c>
      <c r="G898">
        <v>1</v>
      </c>
      <c r="H898" s="2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25">
      <c r="A899">
        <v>5046</v>
      </c>
      <c r="B899">
        <v>1958</v>
      </c>
      <c r="C899" t="s">
        <v>29</v>
      </c>
      <c r="D899" t="s">
        <v>37</v>
      </c>
      <c r="E899">
        <v>78331</v>
      </c>
      <c r="F899">
        <v>0</v>
      </c>
      <c r="G899">
        <v>1</v>
      </c>
      <c r="H899" t="s">
        <v>337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>
        <v>7037</v>
      </c>
      <c r="B900">
        <v>1974</v>
      </c>
      <c r="C900" t="s">
        <v>33</v>
      </c>
      <c r="D900" t="s">
        <v>34</v>
      </c>
      <c r="E900">
        <v>37087</v>
      </c>
      <c r="F900">
        <v>1</v>
      </c>
      <c r="G900">
        <v>0</v>
      </c>
      <c r="H900" s="2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>
        <v>905</v>
      </c>
      <c r="B901">
        <v>1986</v>
      </c>
      <c r="C901" t="s">
        <v>29</v>
      </c>
      <c r="D901" t="s">
        <v>37</v>
      </c>
      <c r="E901">
        <v>21846</v>
      </c>
      <c r="F901">
        <v>1</v>
      </c>
      <c r="G901">
        <v>0</v>
      </c>
      <c r="H901" t="s">
        <v>213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5">
      <c r="A902">
        <v>8624</v>
      </c>
      <c r="B902">
        <v>1958</v>
      </c>
      <c r="C902" t="s">
        <v>29</v>
      </c>
      <c r="D902" t="s">
        <v>34</v>
      </c>
      <c r="E902">
        <v>81320</v>
      </c>
      <c r="F902">
        <v>0</v>
      </c>
      <c r="G902">
        <v>0</v>
      </c>
      <c r="H902" s="2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>
        <v>8945</v>
      </c>
      <c r="B903">
        <v>1970</v>
      </c>
      <c r="C903" t="s">
        <v>29</v>
      </c>
      <c r="D903" t="s">
        <v>37</v>
      </c>
      <c r="E903">
        <v>54137</v>
      </c>
      <c r="F903">
        <v>0</v>
      </c>
      <c r="G903">
        <v>1</v>
      </c>
      <c r="H903" t="s">
        <v>254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>
        <v>6445</v>
      </c>
      <c r="B904">
        <v>1967</v>
      </c>
      <c r="C904" t="s">
        <v>29</v>
      </c>
      <c r="D904" t="s">
        <v>31</v>
      </c>
      <c r="E904">
        <v>66825</v>
      </c>
      <c r="F904">
        <v>0</v>
      </c>
      <c r="G904">
        <v>0</v>
      </c>
      <c r="H904" t="s">
        <v>280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>
        <v>2727</v>
      </c>
      <c r="B905">
        <v>1973</v>
      </c>
      <c r="C905" t="s">
        <v>29</v>
      </c>
      <c r="D905" t="s">
        <v>31</v>
      </c>
      <c r="E905">
        <v>57100</v>
      </c>
      <c r="F905">
        <v>0</v>
      </c>
      <c r="G905">
        <v>0</v>
      </c>
      <c r="H905" s="2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>
        <v>6404</v>
      </c>
      <c r="B906">
        <v>1969</v>
      </c>
      <c r="C906" t="s">
        <v>29</v>
      </c>
      <c r="D906" t="s">
        <v>31</v>
      </c>
      <c r="E906">
        <v>58917</v>
      </c>
      <c r="F906">
        <v>1</v>
      </c>
      <c r="G906">
        <v>2</v>
      </c>
      <c r="H906" t="s">
        <v>338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s="2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t="s">
        <v>306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25">
      <c r="A909">
        <v>1968</v>
      </c>
      <c r="B909">
        <v>1971</v>
      </c>
      <c r="C909" t="s">
        <v>29</v>
      </c>
      <c r="D909" t="s">
        <v>57</v>
      </c>
      <c r="E909">
        <v>45684</v>
      </c>
      <c r="F909">
        <v>1</v>
      </c>
      <c r="G909">
        <v>0</v>
      </c>
      <c r="H909" s="2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>
        <v>6534</v>
      </c>
      <c r="B910">
        <v>1974</v>
      </c>
      <c r="C910" t="s">
        <v>29</v>
      </c>
      <c r="D910" t="s">
        <v>31</v>
      </c>
      <c r="E910">
        <v>47889</v>
      </c>
      <c r="F910">
        <v>1</v>
      </c>
      <c r="G910">
        <v>0</v>
      </c>
      <c r="H910" s="2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25">
      <c r="A911">
        <v>9485</v>
      </c>
      <c r="B911">
        <v>1986</v>
      </c>
      <c r="C911" t="s">
        <v>33</v>
      </c>
      <c r="D911" t="s">
        <v>34</v>
      </c>
      <c r="E911">
        <v>45921</v>
      </c>
      <c r="F911">
        <v>0</v>
      </c>
      <c r="G911">
        <v>0</v>
      </c>
      <c r="H911" s="2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>
        <v>7053</v>
      </c>
      <c r="B912">
        <v>1966</v>
      </c>
      <c r="C912" t="s">
        <v>33</v>
      </c>
      <c r="D912" t="s">
        <v>30</v>
      </c>
      <c r="E912">
        <v>78420</v>
      </c>
      <c r="F912">
        <v>0</v>
      </c>
      <c r="G912">
        <v>0</v>
      </c>
      <c r="H912" t="s">
        <v>339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>
        <v>4654</v>
      </c>
      <c r="B913">
        <v>1992</v>
      </c>
      <c r="C913" t="s">
        <v>29</v>
      </c>
      <c r="D913" t="s">
        <v>31</v>
      </c>
      <c r="E913">
        <v>75114</v>
      </c>
      <c r="F913">
        <v>0</v>
      </c>
      <c r="G913">
        <v>0</v>
      </c>
      <c r="H913" s="2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>
        <v>9760</v>
      </c>
      <c r="B914">
        <v>1963</v>
      </c>
      <c r="C914" t="s">
        <v>33</v>
      </c>
      <c r="D914" t="s">
        <v>57</v>
      </c>
      <c r="E914">
        <v>52278</v>
      </c>
      <c r="F914">
        <v>0</v>
      </c>
      <c r="G914">
        <v>1</v>
      </c>
      <c r="H914" t="s">
        <v>340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5">
      <c r="A915">
        <v>1048</v>
      </c>
      <c r="B915">
        <v>1972</v>
      </c>
      <c r="C915" t="s">
        <v>36</v>
      </c>
      <c r="D915" t="s">
        <v>34</v>
      </c>
      <c r="E915">
        <v>35641</v>
      </c>
      <c r="F915">
        <v>1</v>
      </c>
      <c r="G915">
        <v>0</v>
      </c>
      <c r="H915" t="s">
        <v>280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5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s="2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25">
      <c r="A917">
        <v>9308</v>
      </c>
      <c r="B917">
        <v>1954</v>
      </c>
      <c r="C917" t="s">
        <v>29</v>
      </c>
      <c r="D917" t="s">
        <v>34</v>
      </c>
      <c r="E917">
        <v>62820</v>
      </c>
      <c r="F917">
        <v>0</v>
      </c>
      <c r="G917">
        <v>0</v>
      </c>
      <c r="H917" s="2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5">
      <c r="A918">
        <v>10505</v>
      </c>
      <c r="B918">
        <v>1960</v>
      </c>
      <c r="C918" t="s">
        <v>36</v>
      </c>
      <c r="D918" t="s">
        <v>31</v>
      </c>
      <c r="E918">
        <v>73113</v>
      </c>
      <c r="F918">
        <v>0</v>
      </c>
      <c r="G918">
        <v>0</v>
      </c>
      <c r="H918" t="s">
        <v>150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>
        <v>8362</v>
      </c>
      <c r="B919">
        <v>1982</v>
      </c>
      <c r="C919" t="s">
        <v>33</v>
      </c>
      <c r="D919" t="s">
        <v>34</v>
      </c>
      <c r="E919">
        <v>84169</v>
      </c>
      <c r="F919">
        <v>0</v>
      </c>
      <c r="G919">
        <v>0</v>
      </c>
      <c r="H919" s="2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25">
      <c r="A920">
        <v>2625</v>
      </c>
      <c r="B920">
        <v>1954</v>
      </c>
      <c r="C920" t="s">
        <v>46</v>
      </c>
      <c r="D920" t="s">
        <v>30</v>
      </c>
      <c r="E920">
        <v>42607</v>
      </c>
      <c r="F920">
        <v>0</v>
      </c>
      <c r="G920">
        <v>1</v>
      </c>
      <c r="H920" t="s">
        <v>341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>
        <v>4637</v>
      </c>
      <c r="B921">
        <v>1954</v>
      </c>
      <c r="C921" t="s">
        <v>33</v>
      </c>
      <c r="D921" t="s">
        <v>30</v>
      </c>
      <c r="E921">
        <v>74637</v>
      </c>
      <c r="F921">
        <v>0</v>
      </c>
      <c r="G921">
        <v>0</v>
      </c>
      <c r="H921" t="s">
        <v>342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>
        <v>9972</v>
      </c>
      <c r="B922">
        <v>1955</v>
      </c>
      <c r="C922" t="s">
        <v>33</v>
      </c>
      <c r="D922" t="s">
        <v>31</v>
      </c>
      <c r="E922">
        <v>46015</v>
      </c>
      <c r="F922">
        <v>1</v>
      </c>
      <c r="G922">
        <v>1</v>
      </c>
      <c r="H922" t="s">
        <v>180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t="s">
        <v>343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>
        <v>4487</v>
      </c>
      <c r="B924">
        <v>1969</v>
      </c>
      <c r="C924" t="s">
        <v>36</v>
      </c>
      <c r="D924" t="s">
        <v>30</v>
      </c>
      <c r="E924">
        <v>39858</v>
      </c>
      <c r="F924">
        <v>1</v>
      </c>
      <c r="G924">
        <v>0</v>
      </c>
      <c r="H924" t="s">
        <v>344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25">
      <c r="A925">
        <v>4988</v>
      </c>
      <c r="B925">
        <v>1948</v>
      </c>
      <c r="C925" t="s">
        <v>33</v>
      </c>
      <c r="D925" t="s">
        <v>34</v>
      </c>
      <c r="E925">
        <v>34469</v>
      </c>
      <c r="F925">
        <v>1</v>
      </c>
      <c r="G925">
        <v>1</v>
      </c>
      <c r="H925" s="2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>
        <v>8931</v>
      </c>
      <c r="B926">
        <v>1986</v>
      </c>
      <c r="C926" t="s">
        <v>29</v>
      </c>
      <c r="D926" t="s">
        <v>31</v>
      </c>
      <c r="E926">
        <v>83033</v>
      </c>
      <c r="F926">
        <v>1</v>
      </c>
      <c r="G926">
        <v>0</v>
      </c>
      <c r="H926" t="s">
        <v>238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5">
      <c r="A927">
        <v>5871</v>
      </c>
      <c r="B927">
        <v>1979</v>
      </c>
      <c r="C927" t="s">
        <v>36</v>
      </c>
      <c r="D927" t="s">
        <v>31</v>
      </c>
      <c r="E927">
        <v>24401</v>
      </c>
      <c r="F927">
        <v>0</v>
      </c>
      <c r="G927">
        <v>0</v>
      </c>
      <c r="H927" t="s">
        <v>44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>
        <v>2008</v>
      </c>
      <c r="B928">
        <v>1978</v>
      </c>
      <c r="C928" t="s">
        <v>29</v>
      </c>
      <c r="D928" t="s">
        <v>34</v>
      </c>
      <c r="E928">
        <v>77583</v>
      </c>
      <c r="F928">
        <v>0</v>
      </c>
      <c r="G928">
        <v>0</v>
      </c>
      <c r="H928" s="2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>
        <v>3139</v>
      </c>
      <c r="B929">
        <v>1982</v>
      </c>
      <c r="C929" t="s">
        <v>46</v>
      </c>
      <c r="D929" t="s">
        <v>30</v>
      </c>
      <c r="E929">
        <v>74116</v>
      </c>
      <c r="F929">
        <v>0</v>
      </c>
      <c r="G929">
        <v>0</v>
      </c>
      <c r="H929" t="s">
        <v>240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s="2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>
        <v>10673</v>
      </c>
      <c r="B931">
        <v>1976</v>
      </c>
      <c r="C931" t="s">
        <v>33</v>
      </c>
      <c r="D931" t="s">
        <v>34</v>
      </c>
      <c r="E931">
        <v>68397</v>
      </c>
      <c r="F931">
        <v>0</v>
      </c>
      <c r="G931">
        <v>1</v>
      </c>
      <c r="H931" t="s">
        <v>341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>
        <v>5303</v>
      </c>
      <c r="B932">
        <v>1974</v>
      </c>
      <c r="C932" t="s">
        <v>33</v>
      </c>
      <c r="D932" t="s">
        <v>31</v>
      </c>
      <c r="E932">
        <v>79632</v>
      </c>
      <c r="F932">
        <v>0</v>
      </c>
      <c r="G932">
        <v>0</v>
      </c>
      <c r="H932" s="2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5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s="2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>
        <v>7922</v>
      </c>
      <c r="B934">
        <v>1951</v>
      </c>
      <c r="C934" t="s">
        <v>33</v>
      </c>
      <c r="D934" t="s">
        <v>30</v>
      </c>
      <c r="E934">
        <v>64950</v>
      </c>
      <c r="F934">
        <v>0</v>
      </c>
      <c r="G934">
        <v>1</v>
      </c>
      <c r="H934" s="2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5">
      <c r="A935">
        <v>5692</v>
      </c>
      <c r="B935">
        <v>1989</v>
      </c>
      <c r="C935" t="s">
        <v>41</v>
      </c>
      <c r="D935" t="s">
        <v>34</v>
      </c>
      <c r="E935">
        <v>25443</v>
      </c>
      <c r="F935">
        <v>1</v>
      </c>
      <c r="G935">
        <v>0</v>
      </c>
      <c r="H935" t="s">
        <v>195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t="s">
        <v>53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>
        <v>6383</v>
      </c>
      <c r="B937">
        <v>1971</v>
      </c>
      <c r="C937" t="s">
        <v>33</v>
      </c>
      <c r="D937" t="s">
        <v>31</v>
      </c>
      <c r="E937">
        <v>32892</v>
      </c>
      <c r="F937">
        <v>1</v>
      </c>
      <c r="G937">
        <v>0</v>
      </c>
      <c r="H937" t="s">
        <v>231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>
        <v>1628</v>
      </c>
      <c r="B938">
        <v>1971</v>
      </c>
      <c r="C938" t="s">
        <v>29</v>
      </c>
      <c r="D938" t="s">
        <v>31</v>
      </c>
      <c r="E938">
        <v>71796</v>
      </c>
      <c r="F938">
        <v>0</v>
      </c>
      <c r="G938">
        <v>0</v>
      </c>
      <c r="H938" t="s">
        <v>298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>
        <v>1204</v>
      </c>
      <c r="B939">
        <v>1970</v>
      </c>
      <c r="C939" t="s">
        <v>33</v>
      </c>
      <c r="D939" t="s">
        <v>34</v>
      </c>
      <c r="E939">
        <v>67536</v>
      </c>
      <c r="F939">
        <v>0</v>
      </c>
      <c r="G939">
        <v>1</v>
      </c>
      <c r="H939" t="s">
        <v>163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t="s">
        <v>280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>
        <v>760</v>
      </c>
      <c r="B941">
        <v>1975</v>
      </c>
      <c r="C941" t="s">
        <v>33</v>
      </c>
      <c r="D941" t="s">
        <v>37</v>
      </c>
      <c r="E941">
        <v>60554</v>
      </c>
      <c r="F941">
        <v>1</v>
      </c>
      <c r="G941">
        <v>0</v>
      </c>
      <c r="H941" s="2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>
        <v>8957</v>
      </c>
      <c r="B942">
        <v>1952</v>
      </c>
      <c r="C942" t="s">
        <v>46</v>
      </c>
      <c r="D942" t="s">
        <v>30</v>
      </c>
      <c r="E942">
        <v>64831</v>
      </c>
      <c r="F942">
        <v>1</v>
      </c>
      <c r="G942">
        <v>1</v>
      </c>
      <c r="H942" s="2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>
        <v>4128</v>
      </c>
      <c r="B943">
        <v>1962</v>
      </c>
      <c r="C943" t="s">
        <v>33</v>
      </c>
      <c r="D943" t="s">
        <v>31</v>
      </c>
      <c r="E943">
        <v>56067</v>
      </c>
      <c r="F943">
        <v>0</v>
      </c>
      <c r="G943">
        <v>1</v>
      </c>
      <c r="H943" t="s">
        <v>345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>
        <v>6810</v>
      </c>
      <c r="B944">
        <v>1983</v>
      </c>
      <c r="C944" t="s">
        <v>29</v>
      </c>
      <c r="D944" t="s">
        <v>37</v>
      </c>
      <c r="E944">
        <v>82025</v>
      </c>
      <c r="F944">
        <v>0</v>
      </c>
      <c r="G944">
        <v>0</v>
      </c>
      <c r="H944" t="s">
        <v>346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>
        <v>5386</v>
      </c>
      <c r="B945">
        <v>1953</v>
      </c>
      <c r="C945" t="s">
        <v>29</v>
      </c>
      <c r="D945" t="s">
        <v>31</v>
      </c>
      <c r="E945">
        <v>94384</v>
      </c>
      <c r="F945">
        <v>0</v>
      </c>
      <c r="G945">
        <v>0</v>
      </c>
      <c r="H945" s="2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25">
      <c r="A946">
        <v>8700</v>
      </c>
      <c r="B946">
        <v>1986</v>
      </c>
      <c r="C946" t="s">
        <v>41</v>
      </c>
      <c r="D946" t="s">
        <v>30</v>
      </c>
      <c r="E946">
        <v>14906</v>
      </c>
      <c r="F946">
        <v>0</v>
      </c>
      <c r="G946">
        <v>0</v>
      </c>
      <c r="H946" t="s">
        <v>195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>
        <v>3202</v>
      </c>
      <c r="B947">
        <v>1987</v>
      </c>
      <c r="C947" t="s">
        <v>33</v>
      </c>
      <c r="D947" t="s">
        <v>34</v>
      </c>
      <c r="E947">
        <v>51563</v>
      </c>
      <c r="F947">
        <v>0</v>
      </c>
      <c r="G947">
        <v>0</v>
      </c>
      <c r="H947" s="2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>
        <v>1328</v>
      </c>
      <c r="B948">
        <v>1982</v>
      </c>
      <c r="C948" t="s">
        <v>46</v>
      </c>
      <c r="D948" t="s">
        <v>34</v>
      </c>
      <c r="E948">
        <v>57937</v>
      </c>
      <c r="F948">
        <v>0</v>
      </c>
      <c r="G948">
        <v>1</v>
      </c>
      <c r="H948" t="s">
        <v>145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>
        <v>8405</v>
      </c>
      <c r="B949">
        <v>1979</v>
      </c>
      <c r="C949" t="s">
        <v>29</v>
      </c>
      <c r="D949" t="s">
        <v>37</v>
      </c>
      <c r="E949">
        <v>68274</v>
      </c>
      <c r="F949">
        <v>1</v>
      </c>
      <c r="G949">
        <v>1</v>
      </c>
      <c r="H949" t="s">
        <v>97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>
        <v>6515</v>
      </c>
      <c r="B950">
        <v>1977</v>
      </c>
      <c r="C950" t="s">
        <v>29</v>
      </c>
      <c r="D950" t="s">
        <v>31</v>
      </c>
      <c r="E950">
        <v>39771</v>
      </c>
      <c r="F950">
        <v>1</v>
      </c>
      <c r="G950">
        <v>0</v>
      </c>
      <c r="H950" s="2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>
        <v>2882</v>
      </c>
      <c r="B951">
        <v>1975</v>
      </c>
      <c r="C951" t="s">
        <v>46</v>
      </c>
      <c r="D951" t="s">
        <v>37</v>
      </c>
      <c r="E951">
        <v>67893</v>
      </c>
      <c r="F951">
        <v>0</v>
      </c>
      <c r="G951">
        <v>1</v>
      </c>
      <c r="H951" s="2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5">
      <c r="A952">
        <v>7574</v>
      </c>
      <c r="B952">
        <v>1979</v>
      </c>
      <c r="C952" t="s">
        <v>33</v>
      </c>
      <c r="D952" t="s">
        <v>31</v>
      </c>
      <c r="E952">
        <v>27922</v>
      </c>
      <c r="F952">
        <v>1</v>
      </c>
      <c r="G952">
        <v>0</v>
      </c>
      <c r="H952" s="2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>
        <v>6387</v>
      </c>
      <c r="B953">
        <v>1976</v>
      </c>
      <c r="C953" t="s">
        <v>33</v>
      </c>
      <c r="D953" t="s">
        <v>31</v>
      </c>
      <c r="E953">
        <v>52190</v>
      </c>
      <c r="F953">
        <v>1</v>
      </c>
      <c r="G953">
        <v>1</v>
      </c>
      <c r="H953" s="2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>
        <v>5320</v>
      </c>
      <c r="B954">
        <v>1973</v>
      </c>
      <c r="C954" t="s">
        <v>36</v>
      </c>
      <c r="D954" t="s">
        <v>37</v>
      </c>
      <c r="E954">
        <v>44051</v>
      </c>
      <c r="F954">
        <v>1</v>
      </c>
      <c r="G954">
        <v>1</v>
      </c>
      <c r="H954" t="s">
        <v>172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25">
      <c r="A955">
        <v>5048</v>
      </c>
      <c r="B955">
        <v>1971</v>
      </c>
      <c r="C955" t="s">
        <v>33</v>
      </c>
      <c r="D955" t="s">
        <v>30</v>
      </c>
      <c r="E955">
        <v>42767</v>
      </c>
      <c r="F955">
        <v>2</v>
      </c>
      <c r="G955">
        <v>0</v>
      </c>
      <c r="H955" s="2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>
        <v>8146</v>
      </c>
      <c r="B956">
        <v>1976</v>
      </c>
      <c r="C956" t="s">
        <v>36</v>
      </c>
      <c r="D956" t="s">
        <v>31</v>
      </c>
      <c r="E956">
        <v>46106</v>
      </c>
      <c r="F956">
        <v>1</v>
      </c>
      <c r="G956">
        <v>1</v>
      </c>
      <c r="H956" s="2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>
        <v>10031</v>
      </c>
      <c r="B957">
        <v>1976</v>
      </c>
      <c r="C957" t="s">
        <v>33</v>
      </c>
      <c r="D957" t="s">
        <v>34</v>
      </c>
      <c r="E957">
        <v>16927</v>
      </c>
      <c r="F957">
        <v>1</v>
      </c>
      <c r="G957">
        <v>1</v>
      </c>
      <c r="H957" s="2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>
        <v>5748</v>
      </c>
      <c r="B958">
        <v>1965</v>
      </c>
      <c r="C958" t="s">
        <v>29</v>
      </c>
      <c r="D958" t="s">
        <v>34</v>
      </c>
      <c r="E958">
        <v>59754</v>
      </c>
      <c r="F958">
        <v>0</v>
      </c>
      <c r="G958">
        <v>1</v>
      </c>
      <c r="H958" s="2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25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t="s">
        <v>155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>
        <v>1523</v>
      </c>
      <c r="B960">
        <v>1973</v>
      </c>
      <c r="C960" t="s">
        <v>29</v>
      </c>
      <c r="D960" t="s">
        <v>34</v>
      </c>
      <c r="E960">
        <v>59041</v>
      </c>
      <c r="F960">
        <v>1</v>
      </c>
      <c r="G960">
        <v>1</v>
      </c>
      <c r="H960" s="2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>
        <v>9665</v>
      </c>
      <c r="B961">
        <v>1957</v>
      </c>
      <c r="C961" t="s">
        <v>33</v>
      </c>
      <c r="D961" t="s">
        <v>37</v>
      </c>
      <c r="E961">
        <v>54237</v>
      </c>
      <c r="F961">
        <v>0</v>
      </c>
      <c r="G961">
        <v>1</v>
      </c>
      <c r="H961" t="s">
        <v>182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>
        <v>4640</v>
      </c>
      <c r="B962">
        <v>1967</v>
      </c>
      <c r="C962" t="s">
        <v>29</v>
      </c>
      <c r="D962" t="s">
        <v>37</v>
      </c>
      <c r="E962">
        <v>70647</v>
      </c>
      <c r="F962">
        <v>0</v>
      </c>
      <c r="G962">
        <v>1</v>
      </c>
      <c r="H962" t="s">
        <v>283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>
        <v>3635</v>
      </c>
      <c r="B963">
        <v>1962</v>
      </c>
      <c r="C963" t="s">
        <v>33</v>
      </c>
      <c r="D963" t="s">
        <v>30</v>
      </c>
      <c r="E963">
        <v>52597</v>
      </c>
      <c r="F963">
        <v>0</v>
      </c>
      <c r="G963">
        <v>1</v>
      </c>
      <c r="H963" s="2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>
        <v>3547</v>
      </c>
      <c r="B964">
        <v>1969</v>
      </c>
      <c r="C964" t="s">
        <v>36</v>
      </c>
      <c r="D964" t="s">
        <v>31</v>
      </c>
      <c r="E964">
        <v>41021</v>
      </c>
      <c r="F964">
        <v>1</v>
      </c>
      <c r="G964">
        <v>0</v>
      </c>
      <c r="H964" t="s">
        <v>206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5">
      <c r="A965">
        <v>2456</v>
      </c>
      <c r="B965">
        <v>1975</v>
      </c>
      <c r="C965" t="s">
        <v>33</v>
      </c>
      <c r="D965" t="s">
        <v>34</v>
      </c>
      <c r="E965">
        <v>40233</v>
      </c>
      <c r="F965">
        <v>0</v>
      </c>
      <c r="G965">
        <v>1</v>
      </c>
      <c r="H965" t="s">
        <v>134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>
        <v>5633</v>
      </c>
      <c r="B966">
        <v>1980</v>
      </c>
      <c r="C966" t="s">
        <v>29</v>
      </c>
      <c r="D966" t="s">
        <v>34</v>
      </c>
      <c r="E966">
        <v>50183</v>
      </c>
      <c r="F966">
        <v>1</v>
      </c>
      <c r="G966">
        <v>1</v>
      </c>
      <c r="H966" t="s">
        <v>90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>
        <v>7801</v>
      </c>
      <c r="B967">
        <v>1959</v>
      </c>
      <c r="C967" t="s">
        <v>29</v>
      </c>
      <c r="D967" t="s">
        <v>31</v>
      </c>
      <c r="E967">
        <v>54753</v>
      </c>
      <c r="F967">
        <v>0</v>
      </c>
      <c r="G967">
        <v>1</v>
      </c>
      <c r="H967" s="2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>
        <v>10489</v>
      </c>
      <c r="B968">
        <v>1973</v>
      </c>
      <c r="C968" t="s">
        <v>29</v>
      </c>
      <c r="D968" t="s">
        <v>34</v>
      </c>
      <c r="E968">
        <v>92955</v>
      </c>
      <c r="F968">
        <v>0</v>
      </c>
      <c r="G968">
        <v>0</v>
      </c>
      <c r="H968" t="s">
        <v>277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25">
      <c r="A969">
        <v>7011</v>
      </c>
      <c r="B969">
        <v>1973</v>
      </c>
      <c r="C969" t="s">
        <v>29</v>
      </c>
      <c r="D969" t="s">
        <v>34</v>
      </c>
      <c r="E969">
        <v>33471</v>
      </c>
      <c r="F969">
        <v>1</v>
      </c>
      <c r="G969">
        <v>0</v>
      </c>
      <c r="H969" s="2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>
        <v>2620</v>
      </c>
      <c r="B970">
        <v>1974</v>
      </c>
      <c r="C970" t="s">
        <v>33</v>
      </c>
      <c r="D970" t="s">
        <v>34</v>
      </c>
      <c r="E970">
        <v>34596</v>
      </c>
      <c r="F970">
        <v>1</v>
      </c>
      <c r="G970">
        <v>0</v>
      </c>
      <c r="H970" t="s">
        <v>221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25">
      <c r="A971">
        <v>3933</v>
      </c>
      <c r="B971">
        <v>1980</v>
      </c>
      <c r="C971" t="s">
        <v>29</v>
      </c>
      <c r="D971" t="s">
        <v>31</v>
      </c>
      <c r="E971">
        <v>44010</v>
      </c>
      <c r="F971">
        <v>1</v>
      </c>
      <c r="G971">
        <v>0</v>
      </c>
      <c r="H971" t="s">
        <v>160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>
        <v>10981</v>
      </c>
      <c r="B972">
        <v>1988</v>
      </c>
      <c r="C972" t="s">
        <v>29</v>
      </c>
      <c r="D972" t="s">
        <v>34</v>
      </c>
      <c r="E972">
        <v>84219</v>
      </c>
      <c r="F972">
        <v>0</v>
      </c>
      <c r="G972">
        <v>0</v>
      </c>
      <c r="H972" s="2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>
        <v>1734</v>
      </c>
      <c r="B973">
        <v>1968</v>
      </c>
      <c r="C973" t="s">
        <v>33</v>
      </c>
      <c r="D973" t="s">
        <v>31</v>
      </c>
      <c r="E973">
        <v>40706</v>
      </c>
      <c r="F973">
        <v>2</v>
      </c>
      <c r="G973">
        <v>1</v>
      </c>
      <c r="H973" t="s">
        <v>131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>
        <v>10995</v>
      </c>
      <c r="B974">
        <v>1988</v>
      </c>
      <c r="C974" t="s">
        <v>46</v>
      </c>
      <c r="D974" t="s">
        <v>34</v>
      </c>
      <c r="E974">
        <v>15716</v>
      </c>
      <c r="F974">
        <v>1</v>
      </c>
      <c r="G974">
        <v>0</v>
      </c>
      <c r="H974" s="2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25">
      <c r="A975">
        <v>6357</v>
      </c>
      <c r="B975">
        <v>1959</v>
      </c>
      <c r="C975" t="s">
        <v>46</v>
      </c>
      <c r="D975" t="s">
        <v>37</v>
      </c>
      <c r="E975">
        <v>59052</v>
      </c>
      <c r="F975">
        <v>0</v>
      </c>
      <c r="G975">
        <v>1</v>
      </c>
      <c r="H975" t="s">
        <v>341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5">
      <c r="A976">
        <v>9209</v>
      </c>
      <c r="B976">
        <v>1971</v>
      </c>
      <c r="C976" t="s">
        <v>36</v>
      </c>
      <c r="D976" t="s">
        <v>31</v>
      </c>
      <c r="E976">
        <v>80573</v>
      </c>
      <c r="F976">
        <v>0</v>
      </c>
      <c r="G976">
        <v>0</v>
      </c>
      <c r="H976" t="s">
        <v>347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>
        <v>10286</v>
      </c>
      <c r="B977">
        <v>1962</v>
      </c>
      <c r="C977" t="s">
        <v>29</v>
      </c>
      <c r="D977" t="s">
        <v>34</v>
      </c>
      <c r="E977">
        <v>83715</v>
      </c>
      <c r="F977">
        <v>0</v>
      </c>
      <c r="G977">
        <v>0</v>
      </c>
      <c r="H977" s="2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>
        <v>2611</v>
      </c>
      <c r="B978">
        <v>1959</v>
      </c>
      <c r="C978" t="s">
        <v>36</v>
      </c>
      <c r="D978" t="s">
        <v>31</v>
      </c>
      <c r="E978">
        <v>82576</v>
      </c>
      <c r="F978">
        <v>0</v>
      </c>
      <c r="G978">
        <v>0</v>
      </c>
      <c r="H978" s="2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>
        <v>1600</v>
      </c>
      <c r="B979">
        <v>1965</v>
      </c>
      <c r="C979" t="s">
        <v>36</v>
      </c>
      <c r="D979" t="s">
        <v>34</v>
      </c>
      <c r="E979">
        <v>56962</v>
      </c>
      <c r="F979">
        <v>2</v>
      </c>
      <c r="G979">
        <v>1</v>
      </c>
      <c r="H979" s="2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>
        <v>3308</v>
      </c>
      <c r="B980">
        <v>1952</v>
      </c>
      <c r="C980" t="s">
        <v>29</v>
      </c>
      <c r="D980" t="s">
        <v>34</v>
      </c>
      <c r="E980">
        <v>35704</v>
      </c>
      <c r="F980">
        <v>1</v>
      </c>
      <c r="G980">
        <v>1</v>
      </c>
      <c r="H980" s="2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>
        <v>5407</v>
      </c>
      <c r="B981">
        <v>1954</v>
      </c>
      <c r="C981" t="s">
        <v>29</v>
      </c>
      <c r="D981" t="s">
        <v>31</v>
      </c>
      <c r="E981">
        <v>53103</v>
      </c>
      <c r="F981">
        <v>0</v>
      </c>
      <c r="G981">
        <v>1</v>
      </c>
      <c r="H981" s="2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5">
      <c r="A982">
        <v>2166</v>
      </c>
      <c r="B982">
        <v>1960</v>
      </c>
      <c r="C982" t="s">
        <v>46</v>
      </c>
      <c r="D982" t="s">
        <v>57</v>
      </c>
      <c r="E982">
        <v>46779</v>
      </c>
      <c r="F982">
        <v>1</v>
      </c>
      <c r="G982">
        <v>1</v>
      </c>
      <c r="H982" s="2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>
        <v>3955</v>
      </c>
      <c r="B983">
        <v>1965</v>
      </c>
      <c r="C983" t="s">
        <v>29</v>
      </c>
      <c r="D983" t="s">
        <v>37</v>
      </c>
      <c r="E983">
        <v>4861</v>
      </c>
      <c r="F983">
        <v>0</v>
      </c>
      <c r="G983">
        <v>0</v>
      </c>
      <c r="H983" t="s">
        <v>348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>
        <v>6634</v>
      </c>
      <c r="B984">
        <v>1979</v>
      </c>
      <c r="C984" t="s">
        <v>36</v>
      </c>
      <c r="D984" t="s">
        <v>37</v>
      </c>
      <c r="E984">
        <v>33462</v>
      </c>
      <c r="F984">
        <v>1</v>
      </c>
      <c r="G984">
        <v>0</v>
      </c>
      <c r="H984" s="2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>
        <v>3056</v>
      </c>
      <c r="B985">
        <v>1978</v>
      </c>
      <c r="C985" t="s">
        <v>29</v>
      </c>
      <c r="D985" t="s">
        <v>37</v>
      </c>
      <c r="E985">
        <v>63693</v>
      </c>
      <c r="F985">
        <v>0</v>
      </c>
      <c r="G985">
        <v>1</v>
      </c>
      <c r="H985" t="s">
        <v>134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>
        <v>5718</v>
      </c>
      <c r="B986">
        <v>1950</v>
      </c>
      <c r="C986" t="s">
        <v>29</v>
      </c>
      <c r="D986" t="s">
        <v>34</v>
      </c>
      <c r="E986">
        <v>80763</v>
      </c>
      <c r="F986">
        <v>0</v>
      </c>
      <c r="G986">
        <v>0</v>
      </c>
      <c r="H986" t="s">
        <v>191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25">
      <c r="A987">
        <v>6872</v>
      </c>
      <c r="B987">
        <v>1974</v>
      </c>
      <c r="C987" t="s">
        <v>33</v>
      </c>
      <c r="D987" t="s">
        <v>34</v>
      </c>
      <c r="E987">
        <v>65352</v>
      </c>
      <c r="F987">
        <v>0</v>
      </c>
      <c r="G987">
        <v>1</v>
      </c>
      <c r="H987" t="s">
        <v>32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>
        <v>8164</v>
      </c>
      <c r="B988">
        <v>1978</v>
      </c>
      <c r="C988" t="s">
        <v>33</v>
      </c>
      <c r="D988" t="s">
        <v>34</v>
      </c>
      <c r="E988">
        <v>82170</v>
      </c>
      <c r="F988">
        <v>0</v>
      </c>
      <c r="G988">
        <v>0</v>
      </c>
      <c r="H988" t="s">
        <v>223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>
        <v>4580</v>
      </c>
      <c r="B989">
        <v>1969</v>
      </c>
      <c r="C989" t="s">
        <v>29</v>
      </c>
      <c r="D989" t="s">
        <v>34</v>
      </c>
      <c r="E989">
        <v>75759</v>
      </c>
      <c r="F989">
        <v>0</v>
      </c>
      <c r="G989">
        <v>0</v>
      </c>
      <c r="H989" t="s">
        <v>349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25">
      <c r="A990">
        <v>9305</v>
      </c>
      <c r="B990">
        <v>1976</v>
      </c>
      <c r="C990" t="s">
        <v>46</v>
      </c>
      <c r="D990" t="s">
        <v>30</v>
      </c>
      <c r="E990">
        <v>79689</v>
      </c>
      <c r="F990">
        <v>0</v>
      </c>
      <c r="G990">
        <v>0</v>
      </c>
      <c r="H990" s="2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>
        <v>453</v>
      </c>
      <c r="B991">
        <v>1956</v>
      </c>
      <c r="C991" t="s">
        <v>33</v>
      </c>
      <c r="D991" t="s">
        <v>57</v>
      </c>
      <c r="E991">
        <v>35340</v>
      </c>
      <c r="F991">
        <v>1</v>
      </c>
      <c r="G991">
        <v>1</v>
      </c>
      <c r="H991" t="s">
        <v>133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>
        <v>8545</v>
      </c>
      <c r="B992">
        <v>1954</v>
      </c>
      <c r="C992" t="s">
        <v>29</v>
      </c>
      <c r="D992" t="s">
        <v>37</v>
      </c>
      <c r="E992">
        <v>85683</v>
      </c>
      <c r="F992">
        <v>0</v>
      </c>
      <c r="G992">
        <v>0</v>
      </c>
      <c r="H992" t="s">
        <v>327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25">
      <c r="A993">
        <v>9850</v>
      </c>
      <c r="B993">
        <v>1972</v>
      </c>
      <c r="C993" t="s">
        <v>46</v>
      </c>
      <c r="D993" t="s">
        <v>34</v>
      </c>
      <c r="E993">
        <v>24884</v>
      </c>
      <c r="F993">
        <v>1</v>
      </c>
      <c r="G993">
        <v>0</v>
      </c>
      <c r="H993" t="s">
        <v>328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>
        <v>7378</v>
      </c>
      <c r="B994">
        <v>1981</v>
      </c>
      <c r="C994" t="s">
        <v>36</v>
      </c>
      <c r="D994" t="s">
        <v>31</v>
      </c>
      <c r="E994">
        <v>42021</v>
      </c>
      <c r="F994">
        <v>1</v>
      </c>
      <c r="G994">
        <v>0</v>
      </c>
      <c r="H994" t="s">
        <v>44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t="s">
        <v>350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>
        <v>1640</v>
      </c>
      <c r="B996">
        <v>1954</v>
      </c>
      <c r="C996" t="s">
        <v>29</v>
      </c>
      <c r="D996" t="s">
        <v>37</v>
      </c>
      <c r="E996">
        <v>64587</v>
      </c>
      <c r="F996">
        <v>1</v>
      </c>
      <c r="G996">
        <v>1</v>
      </c>
      <c r="H996" t="s">
        <v>348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t="s">
        <v>303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>
        <v>8492</v>
      </c>
      <c r="B998">
        <v>1978</v>
      </c>
      <c r="C998" t="s">
        <v>29</v>
      </c>
      <c r="D998" t="s">
        <v>31</v>
      </c>
      <c r="E998">
        <v>75437</v>
      </c>
      <c r="F998">
        <v>0</v>
      </c>
      <c r="G998">
        <v>0</v>
      </c>
      <c r="H998" s="2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5">
      <c r="A999">
        <v>11188</v>
      </c>
      <c r="B999">
        <v>1957</v>
      </c>
      <c r="C999" t="s">
        <v>29</v>
      </c>
      <c r="D999" t="s">
        <v>31</v>
      </c>
      <c r="E999">
        <v>26091</v>
      </c>
      <c r="F999">
        <v>1</v>
      </c>
      <c r="G999">
        <v>1</v>
      </c>
      <c r="H999" t="s">
        <v>75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>
        <v>1212</v>
      </c>
      <c r="B1000">
        <v>1973</v>
      </c>
      <c r="C1000" t="s">
        <v>29</v>
      </c>
      <c r="D1000" t="s">
        <v>34</v>
      </c>
      <c r="E1000">
        <v>52845</v>
      </c>
      <c r="F1000">
        <v>1</v>
      </c>
      <c r="G1000">
        <v>0</v>
      </c>
      <c r="H1000" t="s">
        <v>351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>
        <v>9097</v>
      </c>
      <c r="B1001">
        <v>1956</v>
      </c>
      <c r="C1001" t="s">
        <v>29</v>
      </c>
      <c r="D1001" t="s">
        <v>37</v>
      </c>
      <c r="E1001">
        <v>46086</v>
      </c>
      <c r="F1001">
        <v>0</v>
      </c>
      <c r="G1001">
        <v>1</v>
      </c>
      <c r="H1001" s="2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>
        <v>10473</v>
      </c>
      <c r="B1002">
        <v>1956</v>
      </c>
      <c r="C1002" t="s">
        <v>33</v>
      </c>
      <c r="D1002" t="s">
        <v>57</v>
      </c>
      <c r="E1002">
        <v>78028</v>
      </c>
      <c r="F1002">
        <v>0</v>
      </c>
      <c r="G1002">
        <v>1</v>
      </c>
      <c r="H1002" s="2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25">
      <c r="A1003">
        <v>7962</v>
      </c>
      <c r="B1003">
        <v>1987</v>
      </c>
      <c r="C1003" t="s">
        <v>33</v>
      </c>
      <c r="D1003" t="s">
        <v>30</v>
      </c>
      <c r="E1003">
        <v>95169</v>
      </c>
      <c r="F1003">
        <v>0</v>
      </c>
      <c r="G1003">
        <v>0</v>
      </c>
      <c r="H1003" s="2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25">
      <c r="A1004">
        <v>9984</v>
      </c>
      <c r="B1004">
        <v>1981</v>
      </c>
      <c r="C1004" t="s">
        <v>46</v>
      </c>
      <c r="D1004" t="s">
        <v>34</v>
      </c>
      <c r="E1004">
        <v>56337</v>
      </c>
      <c r="F1004">
        <v>1</v>
      </c>
      <c r="G1004">
        <v>1</v>
      </c>
      <c r="H1004" t="s">
        <v>237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25">
      <c r="A1005">
        <v>5527</v>
      </c>
      <c r="B1005">
        <v>1987</v>
      </c>
      <c r="C1005" t="s">
        <v>29</v>
      </c>
      <c r="D1005" t="s">
        <v>31</v>
      </c>
      <c r="E1005">
        <v>22434</v>
      </c>
      <c r="F1005">
        <v>1</v>
      </c>
      <c r="G1005">
        <v>0</v>
      </c>
      <c r="H1005" t="s">
        <v>188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>
        <v>6374</v>
      </c>
      <c r="B1006">
        <v>1954</v>
      </c>
      <c r="C1006" t="s">
        <v>33</v>
      </c>
      <c r="D1006" t="s">
        <v>34</v>
      </c>
      <c r="E1006">
        <v>36930</v>
      </c>
      <c r="F1006">
        <v>0</v>
      </c>
      <c r="G1006">
        <v>1</v>
      </c>
      <c r="H1006" t="s">
        <v>88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s="2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25">
      <c r="A1008">
        <v>8952</v>
      </c>
      <c r="B1008">
        <v>1953</v>
      </c>
      <c r="C1008" t="s">
        <v>36</v>
      </c>
      <c r="D1008" t="s">
        <v>34</v>
      </c>
      <c r="E1008">
        <v>65569</v>
      </c>
      <c r="F1008">
        <v>0</v>
      </c>
      <c r="G1008">
        <v>1</v>
      </c>
      <c r="H1008" s="2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5">
      <c r="A1009">
        <v>241</v>
      </c>
      <c r="B1009">
        <v>1952</v>
      </c>
      <c r="C1009" t="s">
        <v>29</v>
      </c>
      <c r="D1009" t="s">
        <v>31</v>
      </c>
      <c r="E1009">
        <v>83844</v>
      </c>
      <c r="F1009">
        <v>0</v>
      </c>
      <c r="G1009">
        <v>0</v>
      </c>
      <c r="H1009" s="2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>
        <v>8975</v>
      </c>
      <c r="B1010">
        <v>1968</v>
      </c>
      <c r="C1010" t="s">
        <v>29</v>
      </c>
      <c r="D1010" t="s">
        <v>34</v>
      </c>
      <c r="E1010">
        <v>19514</v>
      </c>
      <c r="F1010">
        <v>1</v>
      </c>
      <c r="G1010">
        <v>1</v>
      </c>
      <c r="H1010" t="s">
        <v>244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>
        <v>6119</v>
      </c>
      <c r="B1011">
        <v>1963</v>
      </c>
      <c r="C1011" t="s">
        <v>33</v>
      </c>
      <c r="D1011" t="s">
        <v>30</v>
      </c>
      <c r="E1011">
        <v>36736</v>
      </c>
      <c r="F1011">
        <v>1</v>
      </c>
      <c r="G1011">
        <v>1</v>
      </c>
      <c r="H1011" s="2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5">
      <c r="A1012">
        <v>5236</v>
      </c>
      <c r="B1012">
        <v>1979</v>
      </c>
      <c r="C1012" t="s">
        <v>29</v>
      </c>
      <c r="D1012" t="s">
        <v>31</v>
      </c>
      <c r="E1012">
        <v>77568</v>
      </c>
      <c r="F1012">
        <v>0</v>
      </c>
      <c r="G1012">
        <v>1</v>
      </c>
      <c r="H1012" t="s">
        <v>352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>
        <v>5723</v>
      </c>
      <c r="B1013">
        <v>1976</v>
      </c>
      <c r="C1013" t="s">
        <v>33</v>
      </c>
      <c r="D1013" t="s">
        <v>31</v>
      </c>
      <c r="E1013">
        <v>49187</v>
      </c>
      <c r="F1013">
        <v>0</v>
      </c>
      <c r="G1013">
        <v>1</v>
      </c>
      <c r="H1013" s="2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5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s="2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>
        <v>1970</v>
      </c>
      <c r="B1015">
        <v>1968</v>
      </c>
      <c r="C1015" t="s">
        <v>36</v>
      </c>
      <c r="D1015" t="s">
        <v>31</v>
      </c>
      <c r="E1015">
        <v>34053</v>
      </c>
      <c r="F1015">
        <v>0</v>
      </c>
      <c r="G1015">
        <v>1</v>
      </c>
      <c r="H1015" s="2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>
        <v>5313</v>
      </c>
      <c r="B1016">
        <v>1971</v>
      </c>
      <c r="C1016" t="s">
        <v>36</v>
      </c>
      <c r="D1016" t="s">
        <v>34</v>
      </c>
      <c r="E1016">
        <v>38196</v>
      </c>
      <c r="F1016">
        <v>1</v>
      </c>
      <c r="G1016">
        <v>1</v>
      </c>
      <c r="H1016" t="s">
        <v>269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>
        <v>10634</v>
      </c>
      <c r="B1017">
        <v>1951</v>
      </c>
      <c r="C1017" t="s">
        <v>36</v>
      </c>
      <c r="D1017" t="s">
        <v>34</v>
      </c>
      <c r="E1017">
        <v>59412</v>
      </c>
      <c r="F1017">
        <v>0</v>
      </c>
      <c r="G1017">
        <v>0</v>
      </c>
      <c r="H1017" t="s">
        <v>353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5">
      <c r="A1018">
        <v>7010</v>
      </c>
      <c r="B1018">
        <v>1965</v>
      </c>
      <c r="C1018" t="s">
        <v>46</v>
      </c>
      <c r="D1018" t="s">
        <v>34</v>
      </c>
      <c r="E1018">
        <v>70924</v>
      </c>
      <c r="F1018">
        <v>0</v>
      </c>
      <c r="G1018">
        <v>0</v>
      </c>
      <c r="H1018" s="2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>
        <v>8562</v>
      </c>
      <c r="B1019">
        <v>1969</v>
      </c>
      <c r="C1019" t="s">
        <v>29</v>
      </c>
      <c r="D1019" t="s">
        <v>31</v>
      </c>
      <c r="E1019">
        <v>54165</v>
      </c>
      <c r="F1019">
        <v>0</v>
      </c>
      <c r="G1019">
        <v>0</v>
      </c>
      <c r="H1019" t="s">
        <v>346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>
        <v>3158</v>
      </c>
      <c r="B1020">
        <v>1973</v>
      </c>
      <c r="C1020" t="s">
        <v>29</v>
      </c>
      <c r="D1020" t="s">
        <v>34</v>
      </c>
      <c r="E1020">
        <v>32300</v>
      </c>
      <c r="F1020">
        <v>1</v>
      </c>
      <c r="G1020">
        <v>0</v>
      </c>
      <c r="H1020" s="2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t="s">
        <v>50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>
        <v>5287</v>
      </c>
      <c r="B1022">
        <v>1973</v>
      </c>
      <c r="C1022" t="s">
        <v>29</v>
      </c>
      <c r="D1022" t="s">
        <v>34</v>
      </c>
      <c r="E1022">
        <v>34961</v>
      </c>
      <c r="F1022">
        <v>1</v>
      </c>
      <c r="G1022">
        <v>0</v>
      </c>
      <c r="H1022" t="s">
        <v>334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>
        <v>2445</v>
      </c>
      <c r="B1023">
        <v>1974</v>
      </c>
      <c r="C1023" t="s">
        <v>33</v>
      </c>
      <c r="D1023" t="s">
        <v>31</v>
      </c>
      <c r="E1023">
        <v>28440</v>
      </c>
      <c r="F1023">
        <v>1</v>
      </c>
      <c r="G1023">
        <v>0</v>
      </c>
      <c r="H1023" s="2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>
        <v>6059</v>
      </c>
      <c r="B1024">
        <v>1953</v>
      </c>
      <c r="C1024" t="s">
        <v>33</v>
      </c>
      <c r="D1024" t="s">
        <v>31</v>
      </c>
      <c r="E1024">
        <v>64504</v>
      </c>
      <c r="F1024">
        <v>1</v>
      </c>
      <c r="G1024">
        <v>2</v>
      </c>
      <c r="H1024" s="2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25">
      <c r="A1025">
        <v>4550</v>
      </c>
      <c r="B1025">
        <v>1966</v>
      </c>
      <c r="C1025" t="s">
        <v>36</v>
      </c>
      <c r="D1025" t="s">
        <v>31</v>
      </c>
      <c r="E1025">
        <v>33564</v>
      </c>
      <c r="F1025">
        <v>0</v>
      </c>
      <c r="G1025">
        <v>1</v>
      </c>
      <c r="H1025" t="s">
        <v>121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>
        <v>4240</v>
      </c>
      <c r="B1026">
        <v>1978</v>
      </c>
      <c r="C1026" t="s">
        <v>29</v>
      </c>
      <c r="D1026" t="s">
        <v>34</v>
      </c>
      <c r="E1026">
        <v>17345</v>
      </c>
      <c r="F1026">
        <v>1</v>
      </c>
      <c r="G1026">
        <v>0</v>
      </c>
      <c r="H1026" s="2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>
        <v>8911</v>
      </c>
      <c r="B1027">
        <v>1967</v>
      </c>
      <c r="C1027" t="s">
        <v>33</v>
      </c>
      <c r="D1027" t="s">
        <v>34</v>
      </c>
      <c r="E1027">
        <v>56320</v>
      </c>
      <c r="F1027">
        <v>0</v>
      </c>
      <c r="G1027">
        <v>1</v>
      </c>
      <c r="H1027" s="2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t="s">
        <v>32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25">
      <c r="A1029">
        <v>3628</v>
      </c>
      <c r="B1029">
        <v>1987</v>
      </c>
      <c r="C1029" t="s">
        <v>41</v>
      </c>
      <c r="D1029" t="s">
        <v>30</v>
      </c>
      <c r="E1029">
        <v>15038</v>
      </c>
      <c r="F1029">
        <v>1</v>
      </c>
      <c r="G1029">
        <v>0</v>
      </c>
      <c r="H1029" t="s">
        <v>172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>
        <v>10175</v>
      </c>
      <c r="B1030">
        <v>1958</v>
      </c>
      <c r="C1030" t="s">
        <v>33</v>
      </c>
      <c r="D1030" t="s">
        <v>37</v>
      </c>
      <c r="E1030">
        <v>32173</v>
      </c>
      <c r="F1030">
        <v>0</v>
      </c>
      <c r="G1030">
        <v>1</v>
      </c>
      <c r="H1030" s="2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>
        <v>8985</v>
      </c>
      <c r="B1031">
        <v>1964</v>
      </c>
      <c r="C1031" t="s">
        <v>46</v>
      </c>
      <c r="D1031" t="s">
        <v>31</v>
      </c>
      <c r="E1031">
        <v>68316</v>
      </c>
      <c r="F1031">
        <v>0</v>
      </c>
      <c r="G1031">
        <v>1</v>
      </c>
      <c r="H1031" s="2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>
        <v>5204</v>
      </c>
      <c r="B1032">
        <v>1971</v>
      </c>
      <c r="C1032" t="s">
        <v>29</v>
      </c>
      <c r="D1032" t="s">
        <v>31</v>
      </c>
      <c r="E1032">
        <v>74538</v>
      </c>
      <c r="F1032">
        <v>0</v>
      </c>
      <c r="G1032">
        <v>0</v>
      </c>
      <c r="H1032" t="s">
        <v>339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25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t="s">
        <v>131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5">
      <c r="A1034">
        <v>9888</v>
      </c>
      <c r="B1034">
        <v>1969</v>
      </c>
      <c r="C1034" t="s">
        <v>29</v>
      </c>
      <c r="D1034" t="s">
        <v>31</v>
      </c>
      <c r="E1034">
        <v>68695</v>
      </c>
      <c r="F1034">
        <v>0</v>
      </c>
      <c r="G1034">
        <v>0</v>
      </c>
      <c r="H1034" t="s">
        <v>90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5">
      <c r="A1035">
        <v>5263</v>
      </c>
      <c r="B1035">
        <v>1977</v>
      </c>
      <c r="C1035" t="s">
        <v>46</v>
      </c>
      <c r="D1035" t="s">
        <v>34</v>
      </c>
      <c r="E1035">
        <v>31056</v>
      </c>
      <c r="F1035">
        <v>1</v>
      </c>
      <c r="G1035">
        <v>0</v>
      </c>
      <c r="H1035" t="s">
        <v>354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5">
      <c r="A1036">
        <v>1020</v>
      </c>
      <c r="B1036">
        <v>1973</v>
      </c>
      <c r="C1036" t="s">
        <v>29</v>
      </c>
      <c r="D1036" t="s">
        <v>34</v>
      </c>
      <c r="E1036">
        <v>79593</v>
      </c>
      <c r="F1036">
        <v>0</v>
      </c>
      <c r="G1036">
        <v>0</v>
      </c>
      <c r="H1036" s="2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t="s">
        <v>73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5">
      <c r="A1038">
        <v>10613</v>
      </c>
      <c r="B1038">
        <v>1958</v>
      </c>
      <c r="C1038" t="s">
        <v>33</v>
      </c>
      <c r="D1038" t="s">
        <v>31</v>
      </c>
      <c r="E1038">
        <v>37334</v>
      </c>
      <c r="F1038">
        <v>1</v>
      </c>
      <c r="G1038">
        <v>1</v>
      </c>
      <c r="H1038" t="s">
        <v>355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>
        <v>67</v>
      </c>
      <c r="B1039">
        <v>1972</v>
      </c>
      <c r="C1039" t="s">
        <v>36</v>
      </c>
      <c r="D1039" t="s">
        <v>30</v>
      </c>
      <c r="E1039">
        <v>46423</v>
      </c>
      <c r="F1039">
        <v>1</v>
      </c>
      <c r="G1039">
        <v>1</v>
      </c>
      <c r="H1039" t="s">
        <v>257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>
        <v>6019</v>
      </c>
      <c r="B1040">
        <v>1971</v>
      </c>
      <c r="C1040" t="s">
        <v>33</v>
      </c>
      <c r="D1040" t="s">
        <v>34</v>
      </c>
      <c r="E1040">
        <v>37126</v>
      </c>
      <c r="F1040">
        <v>1</v>
      </c>
      <c r="G1040">
        <v>0</v>
      </c>
      <c r="H1040" t="s">
        <v>86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25">
      <c r="A1041">
        <v>5863</v>
      </c>
      <c r="B1041">
        <v>1953</v>
      </c>
      <c r="C1041" t="s">
        <v>29</v>
      </c>
      <c r="D1041" t="s">
        <v>34</v>
      </c>
      <c r="E1041">
        <v>47703</v>
      </c>
      <c r="F1041">
        <v>0</v>
      </c>
      <c r="G1041">
        <v>1</v>
      </c>
      <c r="H1041" t="s">
        <v>302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>
        <v>3717</v>
      </c>
      <c r="B1042">
        <v>1959</v>
      </c>
      <c r="C1042" t="s">
        <v>29</v>
      </c>
      <c r="D1042" t="s">
        <v>34</v>
      </c>
      <c r="E1042">
        <v>61180</v>
      </c>
      <c r="F1042">
        <v>0</v>
      </c>
      <c r="G1042">
        <v>1</v>
      </c>
      <c r="H1042" t="s">
        <v>356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5">
      <c r="A1043">
        <v>6730</v>
      </c>
      <c r="B1043">
        <v>1954</v>
      </c>
      <c r="C1043" t="s">
        <v>29</v>
      </c>
      <c r="D1043" t="s">
        <v>34</v>
      </c>
      <c r="E1043">
        <v>38998</v>
      </c>
      <c r="F1043">
        <v>1</v>
      </c>
      <c r="G1043">
        <v>1</v>
      </c>
      <c r="H1043" s="2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25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t="s">
        <v>181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>
        <v>4998</v>
      </c>
      <c r="B1045">
        <v>1962</v>
      </c>
      <c r="C1045" t="s">
        <v>29</v>
      </c>
      <c r="D1045" t="s">
        <v>31</v>
      </c>
      <c r="E1045">
        <v>76081</v>
      </c>
      <c r="F1045">
        <v>0</v>
      </c>
      <c r="G1045">
        <v>0</v>
      </c>
      <c r="H1045" t="s">
        <v>120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>
        <v>6287</v>
      </c>
      <c r="B1046">
        <v>1986</v>
      </c>
      <c r="C1046" t="s">
        <v>29</v>
      </c>
      <c r="D1046" t="s">
        <v>31</v>
      </c>
      <c r="E1046">
        <v>34728</v>
      </c>
      <c r="F1046">
        <v>1</v>
      </c>
      <c r="G1046">
        <v>0</v>
      </c>
      <c r="H1046" t="s">
        <v>357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25">
      <c r="A1047">
        <v>5985</v>
      </c>
      <c r="B1047">
        <v>1965</v>
      </c>
      <c r="C1047" t="s">
        <v>36</v>
      </c>
      <c r="D1047" t="s">
        <v>30</v>
      </c>
      <c r="E1047">
        <v>33168</v>
      </c>
      <c r="F1047">
        <v>0</v>
      </c>
      <c r="G1047">
        <v>1</v>
      </c>
      <c r="H1047" t="s">
        <v>160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>
        <v>4754</v>
      </c>
      <c r="B1048">
        <v>1966</v>
      </c>
      <c r="C1048" t="s">
        <v>36</v>
      </c>
      <c r="D1048" t="s">
        <v>34</v>
      </c>
      <c r="E1048">
        <v>33585</v>
      </c>
      <c r="F1048">
        <v>0</v>
      </c>
      <c r="G1048">
        <v>1</v>
      </c>
      <c r="H1048" t="s">
        <v>293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>
        <v>4002</v>
      </c>
      <c r="B1049">
        <v>1960</v>
      </c>
      <c r="C1049" t="s">
        <v>33</v>
      </c>
      <c r="D1049" t="s">
        <v>34</v>
      </c>
      <c r="E1049">
        <v>77037</v>
      </c>
      <c r="F1049">
        <v>0</v>
      </c>
      <c r="G1049">
        <v>1</v>
      </c>
      <c r="H1049" t="s">
        <v>358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>
        <v>8870</v>
      </c>
      <c r="B1050">
        <v>1984</v>
      </c>
      <c r="C1050" t="s">
        <v>29</v>
      </c>
      <c r="D1050" t="s">
        <v>31</v>
      </c>
      <c r="E1050">
        <v>35196</v>
      </c>
      <c r="F1050">
        <v>1</v>
      </c>
      <c r="G1050">
        <v>0</v>
      </c>
      <c r="H1050" t="s">
        <v>38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25">
      <c r="A1051">
        <v>966</v>
      </c>
      <c r="B1051">
        <v>1966</v>
      </c>
      <c r="C1051" t="s">
        <v>29</v>
      </c>
      <c r="D1051" t="s">
        <v>34</v>
      </c>
      <c r="E1051">
        <v>44529</v>
      </c>
      <c r="F1051">
        <v>0</v>
      </c>
      <c r="G1051">
        <v>1</v>
      </c>
      <c r="H1051" s="2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>
        <v>4767</v>
      </c>
      <c r="B1052">
        <v>1965</v>
      </c>
      <c r="C1052" t="s">
        <v>46</v>
      </c>
      <c r="D1052" t="s">
        <v>34</v>
      </c>
      <c r="E1052">
        <v>70924</v>
      </c>
      <c r="F1052">
        <v>0</v>
      </c>
      <c r="G1052">
        <v>0</v>
      </c>
      <c r="H1052" s="2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>
        <v>9725</v>
      </c>
      <c r="B1053">
        <v>1966</v>
      </c>
      <c r="C1053" t="s">
        <v>33</v>
      </c>
      <c r="D1053" t="s">
        <v>31</v>
      </c>
      <c r="E1053">
        <v>28764</v>
      </c>
      <c r="F1053">
        <v>1</v>
      </c>
      <c r="G1053">
        <v>1</v>
      </c>
      <c r="H1053" s="2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>
        <v>4475</v>
      </c>
      <c r="B1054">
        <v>1949</v>
      </c>
      <c r="C1054" t="s">
        <v>33</v>
      </c>
      <c r="D1054" t="s">
        <v>34</v>
      </c>
      <c r="E1054">
        <v>69098</v>
      </c>
      <c r="F1054">
        <v>0</v>
      </c>
      <c r="G1054">
        <v>0</v>
      </c>
      <c r="H1054" t="s">
        <v>229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>
        <v>5740</v>
      </c>
      <c r="B1055">
        <v>1970</v>
      </c>
      <c r="C1055" t="s">
        <v>46</v>
      </c>
      <c r="D1055" t="s">
        <v>37</v>
      </c>
      <c r="E1055">
        <v>25959</v>
      </c>
      <c r="F1055">
        <v>1</v>
      </c>
      <c r="G1055">
        <v>1</v>
      </c>
      <c r="H1055" t="s">
        <v>326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25">
      <c r="A1056">
        <v>5731</v>
      </c>
      <c r="B1056">
        <v>1983</v>
      </c>
      <c r="C1056" t="s">
        <v>36</v>
      </c>
      <c r="D1056" t="s">
        <v>34</v>
      </c>
      <c r="E1056">
        <v>27100</v>
      </c>
      <c r="F1056">
        <v>1</v>
      </c>
      <c r="G1056">
        <v>0</v>
      </c>
      <c r="H1056" s="2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s="2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>
        <v>3846</v>
      </c>
      <c r="B1058">
        <v>1974</v>
      </c>
      <c r="C1058" t="s">
        <v>29</v>
      </c>
      <c r="D1058" t="s">
        <v>34</v>
      </c>
      <c r="E1058">
        <v>42557</v>
      </c>
      <c r="F1058">
        <v>0</v>
      </c>
      <c r="G1058">
        <v>1</v>
      </c>
      <c r="H1058" t="s">
        <v>73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>
        <v>8104</v>
      </c>
      <c r="B1059">
        <v>1951</v>
      </c>
      <c r="C1059" t="s">
        <v>33</v>
      </c>
      <c r="D1059" t="s">
        <v>34</v>
      </c>
      <c r="E1059">
        <v>53312</v>
      </c>
      <c r="F1059">
        <v>0</v>
      </c>
      <c r="G1059">
        <v>0</v>
      </c>
      <c r="H1059" s="2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5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t="s">
        <v>359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5">
      <c r="A1061">
        <v>11013</v>
      </c>
      <c r="B1061">
        <v>1987</v>
      </c>
      <c r="C1061" t="s">
        <v>29</v>
      </c>
      <c r="D1061" t="s">
        <v>31</v>
      </c>
      <c r="E1061">
        <v>67605</v>
      </c>
      <c r="F1061">
        <v>0</v>
      </c>
      <c r="G1061">
        <v>0</v>
      </c>
      <c r="H1061" t="s">
        <v>137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5">
      <c r="A1062">
        <v>4491</v>
      </c>
      <c r="B1062">
        <v>1949</v>
      </c>
      <c r="C1062" t="s">
        <v>36</v>
      </c>
      <c r="D1062" t="s">
        <v>34</v>
      </c>
      <c r="E1062">
        <v>62845</v>
      </c>
      <c r="F1062">
        <v>1</v>
      </c>
      <c r="G1062">
        <v>1</v>
      </c>
      <c r="H1062" s="2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>
        <v>3759</v>
      </c>
      <c r="B1063">
        <v>1958</v>
      </c>
      <c r="C1063" t="s">
        <v>29</v>
      </c>
      <c r="D1063" t="s">
        <v>31</v>
      </c>
      <c r="E1063">
        <v>65196</v>
      </c>
      <c r="F1063">
        <v>0</v>
      </c>
      <c r="G1063">
        <v>2</v>
      </c>
      <c r="H1063" t="s">
        <v>297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>
        <v>1162</v>
      </c>
      <c r="B1064">
        <v>1987</v>
      </c>
      <c r="C1064" t="s">
        <v>33</v>
      </c>
      <c r="D1064" t="s">
        <v>30</v>
      </c>
      <c r="E1064">
        <v>42000</v>
      </c>
      <c r="F1064">
        <v>0</v>
      </c>
      <c r="G1064">
        <v>0</v>
      </c>
      <c r="H1064" s="2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25">
      <c r="A1065">
        <v>2055</v>
      </c>
      <c r="B1065">
        <v>1973</v>
      </c>
      <c r="C1065" t="s">
        <v>33</v>
      </c>
      <c r="D1065" t="s">
        <v>37</v>
      </c>
      <c r="E1065">
        <v>35860</v>
      </c>
      <c r="F1065">
        <v>1</v>
      </c>
      <c r="G1065">
        <v>1</v>
      </c>
      <c r="H1065" t="s">
        <v>100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5">
      <c r="A1066">
        <v>10766</v>
      </c>
      <c r="B1066">
        <v>1964</v>
      </c>
      <c r="C1066" t="s">
        <v>33</v>
      </c>
      <c r="D1066" t="s">
        <v>34</v>
      </c>
      <c r="E1066">
        <v>65526</v>
      </c>
      <c r="F1066">
        <v>0</v>
      </c>
      <c r="G1066">
        <v>1</v>
      </c>
      <c r="H1066" s="2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>
        <v>4415</v>
      </c>
      <c r="B1067">
        <v>1961</v>
      </c>
      <c r="C1067" t="s">
        <v>29</v>
      </c>
      <c r="D1067" t="s">
        <v>34</v>
      </c>
      <c r="E1067">
        <v>16860</v>
      </c>
      <c r="F1067">
        <v>1</v>
      </c>
      <c r="G1067">
        <v>1</v>
      </c>
      <c r="H1067" s="2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s="2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25">
      <c r="A1069">
        <v>2223</v>
      </c>
      <c r="B1069">
        <v>1965</v>
      </c>
      <c r="C1069" t="s">
        <v>46</v>
      </c>
      <c r="D1069" t="s">
        <v>37</v>
      </c>
      <c r="E1069">
        <v>64176</v>
      </c>
      <c r="F1069">
        <v>0</v>
      </c>
      <c r="G1069">
        <v>1</v>
      </c>
      <c r="H1069" s="2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>
        <v>4817</v>
      </c>
      <c r="B1070">
        <v>1956</v>
      </c>
      <c r="C1070" t="s">
        <v>29</v>
      </c>
      <c r="D1070" t="s">
        <v>37</v>
      </c>
      <c r="E1070">
        <v>22304</v>
      </c>
      <c r="F1070">
        <v>0</v>
      </c>
      <c r="G1070">
        <v>0</v>
      </c>
      <c r="H1070" s="2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>
        <v>2875</v>
      </c>
      <c r="B1071">
        <v>1978</v>
      </c>
      <c r="C1071" t="s">
        <v>29</v>
      </c>
      <c r="D1071" t="s">
        <v>34</v>
      </c>
      <c r="E1071">
        <v>67023</v>
      </c>
      <c r="F1071">
        <v>0</v>
      </c>
      <c r="G1071">
        <v>0</v>
      </c>
      <c r="H1071" s="2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25">
      <c r="A1072">
        <v>10536</v>
      </c>
      <c r="B1072">
        <v>1971</v>
      </c>
      <c r="C1072" t="s">
        <v>33</v>
      </c>
      <c r="D1072" t="s">
        <v>31</v>
      </c>
      <c r="E1072">
        <v>32892</v>
      </c>
      <c r="F1072">
        <v>1</v>
      </c>
      <c r="G1072">
        <v>0</v>
      </c>
      <c r="H1072" t="s">
        <v>231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5">
      <c r="A1073">
        <v>11112</v>
      </c>
      <c r="B1073">
        <v>1966</v>
      </c>
      <c r="C1073" t="s">
        <v>29</v>
      </c>
      <c r="D1073" t="s">
        <v>31</v>
      </c>
      <c r="E1073">
        <v>70713</v>
      </c>
      <c r="F1073">
        <v>0</v>
      </c>
      <c r="G1073">
        <v>1</v>
      </c>
      <c r="H1073" s="2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>
        <v>3807</v>
      </c>
      <c r="B1074">
        <v>1955</v>
      </c>
      <c r="C1074" t="s">
        <v>29</v>
      </c>
      <c r="D1074" t="s">
        <v>31</v>
      </c>
      <c r="E1074">
        <v>59925</v>
      </c>
      <c r="F1074">
        <v>0</v>
      </c>
      <c r="G1074">
        <v>1</v>
      </c>
      <c r="H1074" t="s">
        <v>360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>
        <v>9197</v>
      </c>
      <c r="B1075">
        <v>1953</v>
      </c>
      <c r="C1075" t="s">
        <v>29</v>
      </c>
      <c r="D1075" t="s">
        <v>34</v>
      </c>
      <c r="E1075">
        <v>39722</v>
      </c>
      <c r="F1075">
        <v>0</v>
      </c>
      <c r="G1075">
        <v>1</v>
      </c>
      <c r="H1075" t="s">
        <v>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>
        <v>10832</v>
      </c>
      <c r="B1076">
        <v>1958</v>
      </c>
      <c r="C1076" t="s">
        <v>29</v>
      </c>
      <c r="D1076" t="s">
        <v>31</v>
      </c>
      <c r="E1076">
        <v>46610</v>
      </c>
      <c r="F1076">
        <v>0</v>
      </c>
      <c r="G1076">
        <v>0</v>
      </c>
      <c r="H1076" t="s">
        <v>278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>
        <v>6421</v>
      </c>
      <c r="B1077">
        <v>1961</v>
      </c>
      <c r="C1077" t="s">
        <v>29</v>
      </c>
      <c r="D1077" t="s">
        <v>31</v>
      </c>
      <c r="E1077">
        <v>88347</v>
      </c>
      <c r="F1077">
        <v>0</v>
      </c>
      <c r="G1077">
        <v>0</v>
      </c>
      <c r="H1077" s="2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>
        <v>4207</v>
      </c>
      <c r="B1078">
        <v>1981</v>
      </c>
      <c r="C1078" t="s">
        <v>33</v>
      </c>
      <c r="D1078" t="s">
        <v>34</v>
      </c>
      <c r="E1078">
        <v>87171</v>
      </c>
      <c r="F1078">
        <v>0</v>
      </c>
      <c r="G1078">
        <v>0</v>
      </c>
      <c r="H1078" s="2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>
        <v>577</v>
      </c>
      <c r="B1079">
        <v>1976</v>
      </c>
      <c r="C1079" t="s">
        <v>46</v>
      </c>
      <c r="D1079" t="s">
        <v>31</v>
      </c>
      <c r="E1079">
        <v>26907</v>
      </c>
      <c r="F1079">
        <v>1</v>
      </c>
      <c r="G1079">
        <v>1</v>
      </c>
      <c r="H1079" t="s">
        <v>113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>
        <v>10855</v>
      </c>
      <c r="B1080">
        <v>1968</v>
      </c>
      <c r="C1080" t="s">
        <v>36</v>
      </c>
      <c r="D1080" t="s">
        <v>30</v>
      </c>
      <c r="E1080">
        <v>50014</v>
      </c>
      <c r="F1080">
        <v>1</v>
      </c>
      <c r="G1080">
        <v>0</v>
      </c>
      <c r="H1080" t="s">
        <v>123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>
        <v>3081</v>
      </c>
      <c r="B1081">
        <v>1978</v>
      </c>
      <c r="C1081" t="s">
        <v>33</v>
      </c>
      <c r="D1081" t="s">
        <v>34</v>
      </c>
      <c r="E1081">
        <v>41014</v>
      </c>
      <c r="F1081">
        <v>1</v>
      </c>
      <c r="G1081">
        <v>0</v>
      </c>
      <c r="H1081" t="s">
        <v>95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t="s">
        <v>179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>
        <v>247</v>
      </c>
      <c r="B1083">
        <v>1971</v>
      </c>
      <c r="C1083" t="s">
        <v>29</v>
      </c>
      <c r="D1083" t="s">
        <v>34</v>
      </c>
      <c r="E1083">
        <v>36715</v>
      </c>
      <c r="F1083">
        <v>1</v>
      </c>
      <c r="G1083">
        <v>0</v>
      </c>
      <c r="H1083" t="s">
        <v>202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5">
      <c r="A1084">
        <v>8707</v>
      </c>
      <c r="B1084">
        <v>1956</v>
      </c>
      <c r="C1084" t="s">
        <v>29</v>
      </c>
      <c r="D1084" t="s">
        <v>34</v>
      </c>
      <c r="E1084">
        <v>79456</v>
      </c>
      <c r="F1084">
        <v>0</v>
      </c>
      <c r="G1084">
        <v>0</v>
      </c>
      <c r="H1084" t="s">
        <v>108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25">
      <c r="A1085">
        <v>9523</v>
      </c>
      <c r="B1085">
        <v>1982</v>
      </c>
      <c r="C1085" t="s">
        <v>29</v>
      </c>
      <c r="D1085" t="s">
        <v>31</v>
      </c>
      <c r="E1085">
        <v>40479</v>
      </c>
      <c r="F1085">
        <v>1</v>
      </c>
      <c r="G1085">
        <v>0</v>
      </c>
      <c r="H1085" t="s">
        <v>361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>
        <v>6072</v>
      </c>
      <c r="B1086">
        <v>1970</v>
      </c>
      <c r="C1086" t="s">
        <v>36</v>
      </c>
      <c r="D1086" t="s">
        <v>30</v>
      </c>
      <c r="E1086">
        <v>75345</v>
      </c>
      <c r="F1086">
        <v>0</v>
      </c>
      <c r="G1086">
        <v>0</v>
      </c>
      <c r="H1086" s="2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25">
      <c r="A1087">
        <v>6295</v>
      </c>
      <c r="B1087">
        <v>1977</v>
      </c>
      <c r="C1087" t="s">
        <v>29</v>
      </c>
      <c r="D1087" t="s">
        <v>34</v>
      </c>
      <c r="E1087">
        <v>54233</v>
      </c>
      <c r="F1087">
        <v>0</v>
      </c>
      <c r="G1087">
        <v>1</v>
      </c>
      <c r="H1087" s="2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s="2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>
        <v>1509</v>
      </c>
      <c r="B1089">
        <v>1958</v>
      </c>
      <c r="C1089" t="s">
        <v>33</v>
      </c>
      <c r="D1089" t="s">
        <v>31</v>
      </c>
      <c r="E1089">
        <v>84460</v>
      </c>
      <c r="F1089">
        <v>0</v>
      </c>
      <c r="G1089">
        <v>0</v>
      </c>
      <c r="H1089" s="2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25">
      <c r="A1090">
        <v>5577</v>
      </c>
      <c r="B1090">
        <v>1983</v>
      </c>
      <c r="C1090" t="s">
        <v>29</v>
      </c>
      <c r="D1090" t="s">
        <v>31</v>
      </c>
      <c r="E1090">
        <v>43776</v>
      </c>
      <c r="F1090">
        <v>1</v>
      </c>
      <c r="G1090">
        <v>0</v>
      </c>
      <c r="H1090" s="2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>
        <v>7348</v>
      </c>
      <c r="B1091">
        <v>1958</v>
      </c>
      <c r="C1091" t="s">
        <v>33</v>
      </c>
      <c r="D1091" t="s">
        <v>30</v>
      </c>
      <c r="E1091">
        <v>71691</v>
      </c>
      <c r="F1091">
        <v>0</v>
      </c>
      <c r="G1091">
        <v>0</v>
      </c>
      <c r="H1091" t="s">
        <v>179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25">
      <c r="A1092">
        <v>1127</v>
      </c>
      <c r="B1092">
        <v>1973</v>
      </c>
      <c r="C1092" t="s">
        <v>33</v>
      </c>
      <c r="D1092" t="s">
        <v>34</v>
      </c>
      <c r="E1092">
        <v>85844</v>
      </c>
      <c r="F1092">
        <v>0</v>
      </c>
      <c r="G1092">
        <v>0</v>
      </c>
      <c r="H1092" t="s">
        <v>319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>
        <v>1833</v>
      </c>
      <c r="B1093">
        <v>1974</v>
      </c>
      <c r="C1093" t="s">
        <v>33</v>
      </c>
      <c r="D1093" t="s">
        <v>30</v>
      </c>
      <c r="E1093">
        <v>39190</v>
      </c>
      <c r="F1093">
        <v>1</v>
      </c>
      <c r="G1093">
        <v>0</v>
      </c>
      <c r="H1093" t="s">
        <v>362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>
        <v>4944</v>
      </c>
      <c r="B1094">
        <v>1959</v>
      </c>
      <c r="C1094" t="s">
        <v>29</v>
      </c>
      <c r="D1094" t="s">
        <v>31</v>
      </c>
      <c r="E1094">
        <v>71367</v>
      </c>
      <c r="F1094">
        <v>0</v>
      </c>
      <c r="G1094">
        <v>0</v>
      </c>
      <c r="H1094" t="s">
        <v>187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>
        <v>9080</v>
      </c>
      <c r="B1095">
        <v>1972</v>
      </c>
      <c r="C1095" t="s">
        <v>33</v>
      </c>
      <c r="D1095" t="s">
        <v>30</v>
      </c>
      <c r="E1095">
        <v>38578</v>
      </c>
      <c r="F1095">
        <v>1</v>
      </c>
      <c r="G1095">
        <v>1</v>
      </c>
      <c r="H1095" t="s">
        <v>204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25">
      <c r="A1096">
        <v>6466</v>
      </c>
      <c r="B1096">
        <v>1965</v>
      </c>
      <c r="C1096" t="s">
        <v>33</v>
      </c>
      <c r="D1096" t="s">
        <v>34</v>
      </c>
      <c r="E1096">
        <v>57236</v>
      </c>
      <c r="F1096">
        <v>1</v>
      </c>
      <c r="G1096">
        <v>1</v>
      </c>
      <c r="H1096" s="2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s="2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>
        <v>4790</v>
      </c>
      <c r="B1098">
        <v>1958</v>
      </c>
      <c r="C1098" t="s">
        <v>29</v>
      </c>
      <c r="D1098" t="s">
        <v>37</v>
      </c>
      <c r="E1098">
        <v>79803</v>
      </c>
      <c r="F1098">
        <v>0</v>
      </c>
      <c r="G1098">
        <v>1</v>
      </c>
      <c r="H1098" s="2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>
        <v>10245</v>
      </c>
      <c r="B1099">
        <v>1986</v>
      </c>
      <c r="C1099" t="s">
        <v>46</v>
      </c>
      <c r="D1099" t="s">
        <v>30</v>
      </c>
      <c r="E1099">
        <v>80910</v>
      </c>
      <c r="F1099">
        <v>0</v>
      </c>
      <c r="G1099">
        <v>0</v>
      </c>
      <c r="H1099" t="s">
        <v>175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>
        <v>1109</v>
      </c>
      <c r="B1100">
        <v>1982</v>
      </c>
      <c r="C1100" t="s">
        <v>36</v>
      </c>
      <c r="D1100" t="s">
        <v>31</v>
      </c>
      <c r="E1100">
        <v>27590</v>
      </c>
      <c r="F1100">
        <v>1</v>
      </c>
      <c r="G1100">
        <v>0</v>
      </c>
      <c r="H1100" t="s">
        <v>235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>
        <v>6001</v>
      </c>
      <c r="B1101">
        <v>1979</v>
      </c>
      <c r="C1101" t="s">
        <v>29</v>
      </c>
      <c r="D1101" t="s">
        <v>34</v>
      </c>
      <c r="E1101">
        <v>56775</v>
      </c>
      <c r="F1101">
        <v>0</v>
      </c>
      <c r="G1101">
        <v>1</v>
      </c>
      <c r="H1101" s="2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>
        <v>5538</v>
      </c>
      <c r="B1102">
        <v>1975</v>
      </c>
      <c r="C1102" t="s">
        <v>29</v>
      </c>
      <c r="D1102" t="s">
        <v>37</v>
      </c>
      <c r="E1102">
        <v>83829</v>
      </c>
      <c r="F1102">
        <v>0</v>
      </c>
      <c r="G1102">
        <v>0</v>
      </c>
      <c r="H1102" s="2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25">
      <c r="A1103">
        <v>10552</v>
      </c>
      <c r="B1103">
        <v>1979</v>
      </c>
      <c r="C1103" t="s">
        <v>46</v>
      </c>
      <c r="D1103" t="s">
        <v>34</v>
      </c>
      <c r="E1103">
        <v>54210</v>
      </c>
      <c r="F1103">
        <v>0</v>
      </c>
      <c r="G1103">
        <v>1</v>
      </c>
      <c r="H1103" t="s">
        <v>156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>
        <v>1545</v>
      </c>
      <c r="B1104">
        <v>1986</v>
      </c>
      <c r="C1104" t="s">
        <v>29</v>
      </c>
      <c r="D1104" t="s">
        <v>34</v>
      </c>
      <c r="E1104">
        <v>38508</v>
      </c>
      <c r="F1104">
        <v>1</v>
      </c>
      <c r="G1104">
        <v>0</v>
      </c>
      <c r="H1104" s="2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5">
      <c r="A1105">
        <v>7409</v>
      </c>
      <c r="B1105">
        <v>1970</v>
      </c>
      <c r="C1105" t="s">
        <v>29</v>
      </c>
      <c r="D1105" t="s">
        <v>31</v>
      </c>
      <c r="E1105">
        <v>53187</v>
      </c>
      <c r="F1105">
        <v>1</v>
      </c>
      <c r="G1105">
        <v>0</v>
      </c>
      <c r="H1105" t="s">
        <v>363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>
        <v>4444</v>
      </c>
      <c r="B1106">
        <v>1972</v>
      </c>
      <c r="C1106" t="s">
        <v>29</v>
      </c>
      <c r="D1106" t="s">
        <v>34</v>
      </c>
      <c r="E1106">
        <v>30023</v>
      </c>
      <c r="F1106">
        <v>1</v>
      </c>
      <c r="G1106">
        <v>0</v>
      </c>
      <c r="H1106" t="s">
        <v>364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25">
      <c r="A1107">
        <v>146</v>
      </c>
      <c r="B1107">
        <v>1960</v>
      </c>
      <c r="C1107" t="s">
        <v>33</v>
      </c>
      <c r="D1107" t="s">
        <v>30</v>
      </c>
      <c r="E1107">
        <v>76045</v>
      </c>
      <c r="F1107">
        <v>0</v>
      </c>
      <c r="G1107">
        <v>0</v>
      </c>
      <c r="H1107" t="s">
        <v>40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>
        <v>6271</v>
      </c>
      <c r="B1108">
        <v>1952</v>
      </c>
      <c r="C1108" t="s">
        <v>33</v>
      </c>
      <c r="D1108" t="s">
        <v>34</v>
      </c>
      <c r="E1108">
        <v>50870</v>
      </c>
      <c r="F1108">
        <v>0</v>
      </c>
      <c r="G1108">
        <v>1</v>
      </c>
      <c r="H1108" t="s">
        <v>334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5">
      <c r="A1109">
        <v>10065</v>
      </c>
      <c r="B1109">
        <v>1970</v>
      </c>
      <c r="C1109" t="s">
        <v>46</v>
      </c>
      <c r="D1109" t="s">
        <v>34</v>
      </c>
      <c r="E1109">
        <v>15315</v>
      </c>
      <c r="F1109">
        <v>0</v>
      </c>
      <c r="G1109">
        <v>0</v>
      </c>
      <c r="H1109" s="2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>
        <v>4741</v>
      </c>
      <c r="B1110">
        <v>1974</v>
      </c>
      <c r="C1110" t="s">
        <v>46</v>
      </c>
      <c r="D1110" t="s">
        <v>34</v>
      </c>
      <c r="E1110">
        <v>65463</v>
      </c>
      <c r="F1110">
        <v>1</v>
      </c>
      <c r="G1110">
        <v>0</v>
      </c>
      <c r="H1110" t="s">
        <v>118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>
        <v>246</v>
      </c>
      <c r="B1111">
        <v>1965</v>
      </c>
      <c r="C1111" t="s">
        <v>29</v>
      </c>
      <c r="D1111" t="s">
        <v>34</v>
      </c>
      <c r="E1111">
        <v>66480</v>
      </c>
      <c r="F1111">
        <v>1</v>
      </c>
      <c r="G1111">
        <v>1</v>
      </c>
      <c r="H1111" t="s">
        <v>325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>
        <v>375</v>
      </c>
      <c r="B1112">
        <v>1954</v>
      </c>
      <c r="C1112" t="s">
        <v>29</v>
      </c>
      <c r="D1112" t="s">
        <v>37</v>
      </c>
      <c r="E1112">
        <v>76773</v>
      </c>
      <c r="F1112">
        <v>0</v>
      </c>
      <c r="G1112">
        <v>0</v>
      </c>
      <c r="H1112" t="s">
        <v>365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>
        <v>1524</v>
      </c>
      <c r="B1113">
        <v>1983</v>
      </c>
      <c r="C1113" t="s">
        <v>46</v>
      </c>
      <c r="D1113" t="s">
        <v>30</v>
      </c>
      <c r="E1113">
        <v>81698</v>
      </c>
      <c r="F1113">
        <v>0</v>
      </c>
      <c r="G1113">
        <v>0</v>
      </c>
      <c r="H1113" s="2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25">
      <c r="A1114">
        <v>10022</v>
      </c>
      <c r="B1114">
        <v>1973</v>
      </c>
      <c r="C1114" t="s">
        <v>33</v>
      </c>
      <c r="D1114" t="s">
        <v>30</v>
      </c>
      <c r="E1114">
        <v>54466</v>
      </c>
      <c r="F1114">
        <v>1</v>
      </c>
      <c r="G1114">
        <v>1</v>
      </c>
      <c r="H1114" s="2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>
        <v>7451</v>
      </c>
      <c r="B1115">
        <v>1960</v>
      </c>
      <c r="C1115" t="s">
        <v>36</v>
      </c>
      <c r="D1115" t="s">
        <v>30</v>
      </c>
      <c r="E1115">
        <v>98777</v>
      </c>
      <c r="F1115">
        <v>0</v>
      </c>
      <c r="G1115">
        <v>0</v>
      </c>
      <c r="H1115" t="s">
        <v>289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>
        <v>11010</v>
      </c>
      <c r="B1116">
        <v>1984</v>
      </c>
      <c r="C1116" t="s">
        <v>33</v>
      </c>
      <c r="D1116" t="s">
        <v>30</v>
      </c>
      <c r="E1116">
        <v>16269</v>
      </c>
      <c r="F1116">
        <v>1</v>
      </c>
      <c r="G1116">
        <v>0</v>
      </c>
      <c r="H1116" t="s">
        <v>316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>
        <v>4356</v>
      </c>
      <c r="B1117">
        <v>1971</v>
      </c>
      <c r="C1117" t="s">
        <v>29</v>
      </c>
      <c r="D1117" t="s">
        <v>31</v>
      </c>
      <c r="E1117">
        <v>71819</v>
      </c>
      <c r="F1117">
        <v>0</v>
      </c>
      <c r="G1117">
        <v>1</v>
      </c>
      <c r="H1117" t="s">
        <v>104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>
        <v>3885</v>
      </c>
      <c r="B1118">
        <v>1983</v>
      </c>
      <c r="C1118" t="s">
        <v>33</v>
      </c>
      <c r="D1118" t="s">
        <v>34</v>
      </c>
      <c r="E1118">
        <v>33569</v>
      </c>
      <c r="F1118">
        <v>1</v>
      </c>
      <c r="G1118">
        <v>0</v>
      </c>
      <c r="H1118" t="s">
        <v>208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5">
      <c r="A1119">
        <v>1175</v>
      </c>
      <c r="B1119">
        <v>1983</v>
      </c>
      <c r="C1119" t="s">
        <v>36</v>
      </c>
      <c r="D1119" t="s">
        <v>34</v>
      </c>
      <c r="E1119">
        <v>36262</v>
      </c>
      <c r="F1119">
        <v>0</v>
      </c>
      <c r="G1119">
        <v>0</v>
      </c>
      <c r="H1119" t="s">
        <v>366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25">
      <c r="A1120">
        <v>880</v>
      </c>
      <c r="B1120">
        <v>1966</v>
      </c>
      <c r="C1120" t="s">
        <v>41</v>
      </c>
      <c r="D1120" t="s">
        <v>31</v>
      </c>
      <c r="E1120">
        <v>22634</v>
      </c>
      <c r="F1120">
        <v>0</v>
      </c>
      <c r="G1120">
        <v>0</v>
      </c>
      <c r="H1120" t="s">
        <v>367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>
        <v>2320</v>
      </c>
      <c r="B1121">
        <v>1978</v>
      </c>
      <c r="C1121" t="s">
        <v>46</v>
      </c>
      <c r="D1121" t="s">
        <v>34</v>
      </c>
      <c r="E1121">
        <v>47025</v>
      </c>
      <c r="F1121">
        <v>0</v>
      </c>
      <c r="G1121">
        <v>1</v>
      </c>
      <c r="H1121" s="2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s="2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>
        <v>4713</v>
      </c>
      <c r="B1123">
        <v>1979</v>
      </c>
      <c r="C1123" t="s">
        <v>33</v>
      </c>
      <c r="D1123" t="s">
        <v>34</v>
      </c>
      <c r="E1123">
        <v>31605</v>
      </c>
      <c r="F1123">
        <v>1</v>
      </c>
      <c r="G1123">
        <v>0</v>
      </c>
      <c r="H1123" t="s">
        <v>83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>
        <v>675</v>
      </c>
      <c r="B1124">
        <v>1973</v>
      </c>
      <c r="C1124" t="s">
        <v>36</v>
      </c>
      <c r="D1124" t="s">
        <v>37</v>
      </c>
      <c r="E1124">
        <v>52034</v>
      </c>
      <c r="F1124">
        <v>1</v>
      </c>
      <c r="G1124">
        <v>1</v>
      </c>
      <c r="H1124" t="s">
        <v>88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t="s">
        <v>368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>
        <v>2308</v>
      </c>
      <c r="B1126">
        <v>1954</v>
      </c>
      <c r="C1126" t="s">
        <v>29</v>
      </c>
      <c r="D1126" t="s">
        <v>34</v>
      </c>
      <c r="E1126">
        <v>46734</v>
      </c>
      <c r="F1126">
        <v>0</v>
      </c>
      <c r="G1126">
        <v>1</v>
      </c>
      <c r="H1126" t="s">
        <v>369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>
        <v>5995</v>
      </c>
      <c r="B1127">
        <v>1962</v>
      </c>
      <c r="C1127" t="s">
        <v>29</v>
      </c>
      <c r="D1127" t="s">
        <v>37</v>
      </c>
      <c r="E1127">
        <v>39552</v>
      </c>
      <c r="F1127">
        <v>1</v>
      </c>
      <c r="G1127">
        <v>1</v>
      </c>
      <c r="H1127" t="s">
        <v>284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25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s="2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>
        <v>1010</v>
      </c>
      <c r="B1129">
        <v>1977</v>
      </c>
      <c r="C1129" t="s">
        <v>29</v>
      </c>
      <c r="D1129" t="s">
        <v>31</v>
      </c>
      <c r="E1129">
        <v>46931</v>
      </c>
      <c r="F1129">
        <v>2</v>
      </c>
      <c r="G1129">
        <v>1</v>
      </c>
      <c r="H1129" t="s">
        <v>110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>
        <v>8977</v>
      </c>
      <c r="B1130">
        <v>1985</v>
      </c>
      <c r="C1130" t="s">
        <v>41</v>
      </c>
      <c r="D1130" t="s">
        <v>30</v>
      </c>
      <c r="E1130">
        <v>16581</v>
      </c>
      <c r="F1130">
        <v>0</v>
      </c>
      <c r="G1130">
        <v>0</v>
      </c>
      <c r="H1130" s="2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>
        <v>4756</v>
      </c>
      <c r="B1131">
        <v>1952</v>
      </c>
      <c r="C1131" t="s">
        <v>46</v>
      </c>
      <c r="D1131" t="s">
        <v>37</v>
      </c>
      <c r="E1131">
        <v>63998</v>
      </c>
      <c r="F1131">
        <v>0</v>
      </c>
      <c r="G1131">
        <v>0</v>
      </c>
      <c r="H1131" t="s">
        <v>227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5">
      <c r="A1132">
        <v>3412</v>
      </c>
      <c r="B1132">
        <v>1951</v>
      </c>
      <c r="C1132" t="s">
        <v>36</v>
      </c>
      <c r="D1132" t="s">
        <v>34</v>
      </c>
      <c r="E1132">
        <v>67381</v>
      </c>
      <c r="F1132">
        <v>0</v>
      </c>
      <c r="G1132">
        <v>1</v>
      </c>
      <c r="H1132" t="s">
        <v>320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s="2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>
        <v>5961</v>
      </c>
      <c r="B1134">
        <v>1978</v>
      </c>
      <c r="C1134" t="s">
        <v>29</v>
      </c>
      <c r="D1134" t="s">
        <v>34</v>
      </c>
      <c r="E1134">
        <v>42693</v>
      </c>
      <c r="F1134">
        <v>1</v>
      </c>
      <c r="G1134">
        <v>0</v>
      </c>
      <c r="H1134" s="2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>
        <v>2975</v>
      </c>
      <c r="B1135">
        <v>1976</v>
      </c>
      <c r="C1135" t="s">
        <v>29</v>
      </c>
      <c r="D1135" t="s">
        <v>31</v>
      </c>
      <c r="E1135">
        <v>85606</v>
      </c>
      <c r="F1135">
        <v>0</v>
      </c>
      <c r="G1135">
        <v>1</v>
      </c>
      <c r="H1135" s="2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t="s">
        <v>321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25">
      <c r="A1137">
        <v>7613</v>
      </c>
      <c r="B1137">
        <v>1974</v>
      </c>
      <c r="C1137" t="s">
        <v>46</v>
      </c>
      <c r="D1137" t="s">
        <v>31</v>
      </c>
      <c r="E1137">
        <v>49669</v>
      </c>
      <c r="F1137">
        <v>1</v>
      </c>
      <c r="G1137">
        <v>0</v>
      </c>
      <c r="H1137" t="s">
        <v>82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>
        <v>10542</v>
      </c>
      <c r="B1138">
        <v>1968</v>
      </c>
      <c r="C1138" t="s">
        <v>33</v>
      </c>
      <c r="D1138" t="s">
        <v>34</v>
      </c>
      <c r="E1138">
        <v>36778</v>
      </c>
      <c r="F1138">
        <v>1</v>
      </c>
      <c r="G1138">
        <v>1</v>
      </c>
      <c r="H1138" s="2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>
        <v>8015</v>
      </c>
      <c r="B1139">
        <v>1962</v>
      </c>
      <c r="C1139" t="s">
        <v>33</v>
      </c>
      <c r="D1139" t="s">
        <v>37</v>
      </c>
      <c r="E1139">
        <v>85696</v>
      </c>
      <c r="F1139">
        <v>0</v>
      </c>
      <c r="G1139">
        <v>0</v>
      </c>
      <c r="H1139" s="2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25">
      <c r="A1140">
        <v>10617</v>
      </c>
      <c r="B1140">
        <v>1989</v>
      </c>
      <c r="C1140" t="s">
        <v>36</v>
      </c>
      <c r="D1140" t="s">
        <v>37</v>
      </c>
      <c r="E1140">
        <v>10979</v>
      </c>
      <c r="F1140">
        <v>0</v>
      </c>
      <c r="G1140">
        <v>0</v>
      </c>
      <c r="H1140" t="s">
        <v>53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5">
      <c r="A1141">
        <v>11166</v>
      </c>
      <c r="B1141">
        <v>1961</v>
      </c>
      <c r="C1141" t="s">
        <v>29</v>
      </c>
      <c r="D1141" t="s">
        <v>34</v>
      </c>
      <c r="E1141">
        <v>49678</v>
      </c>
      <c r="F1141">
        <v>0</v>
      </c>
      <c r="G1141">
        <v>1</v>
      </c>
      <c r="H1141" s="2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>
        <v>849</v>
      </c>
      <c r="B1142">
        <v>1953</v>
      </c>
      <c r="C1142" t="s">
        <v>36</v>
      </c>
      <c r="D1142" t="s">
        <v>31</v>
      </c>
      <c r="E1142">
        <v>56129</v>
      </c>
      <c r="F1142">
        <v>0</v>
      </c>
      <c r="G1142">
        <v>1</v>
      </c>
      <c r="H1142" t="s">
        <v>84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>
        <v>523</v>
      </c>
      <c r="B1143">
        <v>1989</v>
      </c>
      <c r="C1143" t="s">
        <v>29</v>
      </c>
      <c r="D1143" t="s">
        <v>34</v>
      </c>
      <c r="E1143">
        <v>37155</v>
      </c>
      <c r="F1143">
        <v>1</v>
      </c>
      <c r="G1143">
        <v>0</v>
      </c>
      <c r="H1143" t="s">
        <v>267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>
        <v>4066</v>
      </c>
      <c r="B1144">
        <v>1978</v>
      </c>
      <c r="C1144" t="s">
        <v>46</v>
      </c>
      <c r="D1144" t="s">
        <v>37</v>
      </c>
      <c r="E1144">
        <v>21282</v>
      </c>
      <c r="F1144">
        <v>1</v>
      </c>
      <c r="G1144">
        <v>0</v>
      </c>
      <c r="H1144" s="2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>
        <v>8414</v>
      </c>
      <c r="B1145">
        <v>1962</v>
      </c>
      <c r="C1145" t="s">
        <v>33</v>
      </c>
      <c r="D1145" t="s">
        <v>30</v>
      </c>
      <c r="E1145">
        <v>33419</v>
      </c>
      <c r="F1145">
        <v>0</v>
      </c>
      <c r="G1145">
        <v>1</v>
      </c>
      <c r="H1145" t="s">
        <v>361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>
        <v>819</v>
      </c>
      <c r="B1146">
        <v>1945</v>
      </c>
      <c r="C1146" t="s">
        <v>29</v>
      </c>
      <c r="D1146" t="s">
        <v>57</v>
      </c>
      <c r="E1146">
        <v>63285</v>
      </c>
      <c r="F1146">
        <v>0</v>
      </c>
      <c r="G1146">
        <v>0</v>
      </c>
      <c r="H1146" s="2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>
        <v>4961</v>
      </c>
      <c r="B1147">
        <v>1974</v>
      </c>
      <c r="C1147" t="s">
        <v>36</v>
      </c>
      <c r="D1147" t="s">
        <v>31</v>
      </c>
      <c r="E1147">
        <v>21255</v>
      </c>
      <c r="F1147">
        <v>1</v>
      </c>
      <c r="G1147">
        <v>0</v>
      </c>
      <c r="H1147" t="s">
        <v>78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>
        <v>749</v>
      </c>
      <c r="B1148">
        <v>1981</v>
      </c>
      <c r="C1148" t="s">
        <v>29</v>
      </c>
      <c r="D1148" t="s">
        <v>31</v>
      </c>
      <c r="E1148">
        <v>42162</v>
      </c>
      <c r="F1148">
        <v>1</v>
      </c>
      <c r="G1148">
        <v>0</v>
      </c>
      <c r="H1148" t="s">
        <v>285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25">
      <c r="A1149">
        <v>5430</v>
      </c>
      <c r="B1149">
        <v>1956</v>
      </c>
      <c r="C1149" t="s">
        <v>29</v>
      </c>
      <c r="D1149" t="s">
        <v>31</v>
      </c>
      <c r="E1149">
        <v>54450</v>
      </c>
      <c r="F1149">
        <v>1</v>
      </c>
      <c r="G1149">
        <v>1</v>
      </c>
      <c r="H1149" t="s">
        <v>68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>
        <v>7755</v>
      </c>
      <c r="B1150">
        <v>1954</v>
      </c>
      <c r="C1150" t="s">
        <v>33</v>
      </c>
      <c r="D1150" t="s">
        <v>34</v>
      </c>
      <c r="E1150">
        <v>57744</v>
      </c>
      <c r="F1150">
        <v>0</v>
      </c>
      <c r="G1150">
        <v>1</v>
      </c>
      <c r="H1150" s="2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t="s">
        <v>160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25">
      <c r="A1152">
        <v>1453</v>
      </c>
      <c r="B1152">
        <v>1943</v>
      </c>
      <c r="C1152" t="s">
        <v>33</v>
      </c>
      <c r="D1152" t="s">
        <v>57</v>
      </c>
      <c r="E1152">
        <v>57513</v>
      </c>
      <c r="F1152">
        <v>0</v>
      </c>
      <c r="G1152">
        <v>0</v>
      </c>
      <c r="H1152" s="2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25">
      <c r="A1153">
        <v>8310</v>
      </c>
      <c r="B1153">
        <v>1964</v>
      </c>
      <c r="C1153" t="s">
        <v>29</v>
      </c>
      <c r="D1153" t="s">
        <v>31</v>
      </c>
      <c r="E1153">
        <v>68142</v>
      </c>
      <c r="F1153">
        <v>0</v>
      </c>
      <c r="G1153">
        <v>1</v>
      </c>
      <c r="H1153" t="s">
        <v>73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>
        <v>10710</v>
      </c>
      <c r="B1154">
        <v>1979</v>
      </c>
      <c r="C1154" t="s">
        <v>29</v>
      </c>
      <c r="D1154" t="s">
        <v>34</v>
      </c>
      <c r="E1154">
        <v>7500</v>
      </c>
      <c r="F1154">
        <v>0</v>
      </c>
      <c r="G1154">
        <v>1</v>
      </c>
      <c r="H1154" t="s">
        <v>73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>
        <v>5031</v>
      </c>
      <c r="B1155">
        <v>1974</v>
      </c>
      <c r="C1155" t="s">
        <v>29</v>
      </c>
      <c r="D1155" t="s">
        <v>31</v>
      </c>
      <c r="E1155">
        <v>83145</v>
      </c>
      <c r="F1155">
        <v>0</v>
      </c>
      <c r="G1155">
        <v>0</v>
      </c>
      <c r="H1155" t="s">
        <v>159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25">
      <c r="A1156">
        <v>2613</v>
      </c>
      <c r="B1156">
        <v>1960</v>
      </c>
      <c r="C1156" t="s">
        <v>36</v>
      </c>
      <c r="D1156" t="s">
        <v>34</v>
      </c>
      <c r="E1156">
        <v>54197</v>
      </c>
      <c r="F1156">
        <v>0</v>
      </c>
      <c r="G1156">
        <v>1</v>
      </c>
      <c r="H1156" s="2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5">
      <c r="A1157">
        <v>213</v>
      </c>
      <c r="B1157">
        <v>1963</v>
      </c>
      <c r="C1157" t="s">
        <v>33</v>
      </c>
      <c r="D1157" t="s">
        <v>30</v>
      </c>
      <c r="E1157">
        <v>23091</v>
      </c>
      <c r="F1157">
        <v>1</v>
      </c>
      <c r="G1157">
        <v>1</v>
      </c>
      <c r="H1157" t="s">
        <v>77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>
        <v>967</v>
      </c>
      <c r="B1158">
        <v>1976</v>
      </c>
      <c r="C1158" t="s">
        <v>29</v>
      </c>
      <c r="D1158" t="s">
        <v>34</v>
      </c>
      <c r="E1158">
        <v>46049</v>
      </c>
      <c r="F1158">
        <v>1</v>
      </c>
      <c r="G1158">
        <v>1</v>
      </c>
      <c r="H1158" t="s">
        <v>370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5">
      <c r="A1159">
        <v>1077</v>
      </c>
      <c r="B1159">
        <v>1974</v>
      </c>
      <c r="C1159" t="s">
        <v>29</v>
      </c>
      <c r="D1159" t="s">
        <v>31</v>
      </c>
      <c r="E1159">
        <v>56715</v>
      </c>
      <c r="F1159">
        <v>0</v>
      </c>
      <c r="G1159">
        <v>0</v>
      </c>
      <c r="H1159" s="2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>
        <v>7959</v>
      </c>
      <c r="B1160">
        <v>1961</v>
      </c>
      <c r="C1160" t="s">
        <v>29</v>
      </c>
      <c r="D1160" t="s">
        <v>34</v>
      </c>
      <c r="E1160">
        <v>79410</v>
      </c>
      <c r="F1160">
        <v>0</v>
      </c>
      <c r="G1160">
        <v>0</v>
      </c>
      <c r="H1160" t="s">
        <v>319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>
        <v>640</v>
      </c>
      <c r="B1161">
        <v>1951</v>
      </c>
      <c r="C1161" t="s">
        <v>29</v>
      </c>
      <c r="D1161" t="s">
        <v>34</v>
      </c>
      <c r="E1161">
        <v>57304</v>
      </c>
      <c r="F1161">
        <v>0</v>
      </c>
      <c r="G1161">
        <v>1</v>
      </c>
      <c r="H1161" s="2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>
        <v>4252</v>
      </c>
      <c r="B1162">
        <v>1965</v>
      </c>
      <c r="C1162" t="s">
        <v>29</v>
      </c>
      <c r="D1162" t="s">
        <v>34</v>
      </c>
      <c r="E1162">
        <v>44375</v>
      </c>
      <c r="F1162">
        <v>0</v>
      </c>
      <c r="G1162">
        <v>1</v>
      </c>
      <c r="H1162" t="s">
        <v>81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5">
      <c r="A1163">
        <v>8432</v>
      </c>
      <c r="B1163">
        <v>1956</v>
      </c>
      <c r="C1163" t="s">
        <v>29</v>
      </c>
      <c r="D1163" t="s">
        <v>31</v>
      </c>
      <c r="E1163">
        <v>54450</v>
      </c>
      <c r="F1163">
        <v>1</v>
      </c>
      <c r="G1163">
        <v>1</v>
      </c>
      <c r="H1163" t="s">
        <v>68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>
        <v>6218</v>
      </c>
      <c r="B1164">
        <v>1965</v>
      </c>
      <c r="C1164" t="s">
        <v>29</v>
      </c>
      <c r="D1164" t="s">
        <v>34</v>
      </c>
      <c r="E1164">
        <v>59594</v>
      </c>
      <c r="F1164">
        <v>0</v>
      </c>
      <c r="G1164">
        <v>1</v>
      </c>
      <c r="H1164" t="s">
        <v>371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>
        <v>6905</v>
      </c>
      <c r="B1165">
        <v>1994</v>
      </c>
      <c r="C1165" t="s">
        <v>29</v>
      </c>
      <c r="D1165" t="s">
        <v>31</v>
      </c>
      <c r="E1165">
        <v>80685</v>
      </c>
      <c r="F1165">
        <v>0</v>
      </c>
      <c r="G1165">
        <v>0</v>
      </c>
      <c r="H1165" t="s">
        <v>108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>
        <v>5922</v>
      </c>
      <c r="B1166">
        <v>1974</v>
      </c>
      <c r="C1166" t="s">
        <v>33</v>
      </c>
      <c r="D1166" t="s">
        <v>34</v>
      </c>
      <c r="E1166">
        <v>40344</v>
      </c>
      <c r="F1166">
        <v>0</v>
      </c>
      <c r="G1166">
        <v>1</v>
      </c>
      <c r="H1166" t="s">
        <v>358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>
        <v>3598</v>
      </c>
      <c r="B1167">
        <v>1972</v>
      </c>
      <c r="C1167" t="s">
        <v>29</v>
      </c>
      <c r="D1167" t="s">
        <v>34</v>
      </c>
      <c r="E1167">
        <v>62710</v>
      </c>
      <c r="F1167">
        <v>0</v>
      </c>
      <c r="G1167">
        <v>1</v>
      </c>
      <c r="H1167" t="s">
        <v>372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>
        <v>6116</v>
      </c>
      <c r="B1168">
        <v>1968</v>
      </c>
      <c r="C1168" t="s">
        <v>46</v>
      </c>
      <c r="D1168" t="s">
        <v>34</v>
      </c>
      <c r="E1168">
        <v>48985</v>
      </c>
      <c r="F1168">
        <v>0</v>
      </c>
      <c r="G1168">
        <v>1</v>
      </c>
      <c r="H1168" s="2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>
        <v>6263</v>
      </c>
      <c r="B1169">
        <v>1968</v>
      </c>
      <c r="C1169" t="s">
        <v>29</v>
      </c>
      <c r="D1169" t="s">
        <v>31</v>
      </c>
      <c r="E1169">
        <v>35322</v>
      </c>
      <c r="F1169">
        <v>1</v>
      </c>
      <c r="G1169">
        <v>2</v>
      </c>
      <c r="H1169" t="s">
        <v>108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>
        <v>10486</v>
      </c>
      <c r="B1170">
        <v>1948</v>
      </c>
      <c r="C1170" t="s">
        <v>29</v>
      </c>
      <c r="D1170" t="s">
        <v>34</v>
      </c>
      <c r="E1170">
        <v>77142</v>
      </c>
      <c r="F1170">
        <v>0</v>
      </c>
      <c r="G1170">
        <v>0</v>
      </c>
      <c r="H1170" t="s">
        <v>302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5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t="s">
        <v>123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>
        <v>193</v>
      </c>
      <c r="B1172">
        <v>1996</v>
      </c>
      <c r="C1172" t="s">
        <v>41</v>
      </c>
      <c r="D1172" t="s">
        <v>34</v>
      </c>
      <c r="E1172">
        <v>14421</v>
      </c>
      <c r="F1172">
        <v>0</v>
      </c>
      <c r="G1172">
        <v>0</v>
      </c>
      <c r="H1172" t="s">
        <v>289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>
        <v>3363</v>
      </c>
      <c r="B1173">
        <v>1974</v>
      </c>
      <c r="C1173" t="s">
        <v>46</v>
      </c>
      <c r="D1173" t="s">
        <v>34</v>
      </c>
      <c r="E1173">
        <v>20130</v>
      </c>
      <c r="F1173">
        <v>0</v>
      </c>
      <c r="G1173">
        <v>0</v>
      </c>
      <c r="H1173" t="s">
        <v>179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5">
      <c r="A1174">
        <v>8278</v>
      </c>
      <c r="B1174">
        <v>1990</v>
      </c>
      <c r="C1174" t="s">
        <v>33</v>
      </c>
      <c r="D1174" t="s">
        <v>34</v>
      </c>
      <c r="E1174">
        <v>74214</v>
      </c>
      <c r="F1174">
        <v>0</v>
      </c>
      <c r="G1174">
        <v>0</v>
      </c>
      <c r="H1174" t="s">
        <v>373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>
        <v>10660</v>
      </c>
      <c r="B1175">
        <v>1957</v>
      </c>
      <c r="C1175" t="s">
        <v>36</v>
      </c>
      <c r="D1175" t="s">
        <v>34</v>
      </c>
      <c r="E1175">
        <v>66726</v>
      </c>
      <c r="F1175">
        <v>1</v>
      </c>
      <c r="G1175">
        <v>1</v>
      </c>
      <c r="H1175" s="2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>
        <v>8686</v>
      </c>
      <c r="B1176">
        <v>1979</v>
      </c>
      <c r="C1176" t="s">
        <v>41</v>
      </c>
      <c r="D1176" t="s">
        <v>31</v>
      </c>
      <c r="E1176">
        <v>23724</v>
      </c>
      <c r="F1176">
        <v>1</v>
      </c>
      <c r="G1176">
        <v>0</v>
      </c>
      <c r="H1176" s="2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>
        <v>1604</v>
      </c>
      <c r="B1177">
        <v>1960</v>
      </c>
      <c r="C1177" t="s">
        <v>36</v>
      </c>
      <c r="D1177" t="s">
        <v>34</v>
      </c>
      <c r="E1177">
        <v>47353</v>
      </c>
      <c r="F1177">
        <v>0</v>
      </c>
      <c r="G1177">
        <v>1</v>
      </c>
      <c r="H1177" t="s">
        <v>114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5">
      <c r="A1178">
        <v>5907</v>
      </c>
      <c r="B1178">
        <v>1952</v>
      </c>
      <c r="C1178" t="s">
        <v>36</v>
      </c>
      <c r="D1178" t="s">
        <v>34</v>
      </c>
      <c r="E1178">
        <v>33444</v>
      </c>
      <c r="F1178">
        <v>1</v>
      </c>
      <c r="G1178">
        <v>1</v>
      </c>
      <c r="H1178" s="2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5">
      <c r="A1179">
        <v>10669</v>
      </c>
      <c r="B1179">
        <v>1981</v>
      </c>
      <c r="C1179" t="s">
        <v>29</v>
      </c>
      <c r="D1179" t="s">
        <v>34</v>
      </c>
      <c r="E1179">
        <v>54386</v>
      </c>
      <c r="F1179">
        <v>0</v>
      </c>
      <c r="G1179">
        <v>1</v>
      </c>
      <c r="H1179" t="s">
        <v>88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>
        <v>2918</v>
      </c>
      <c r="B1180">
        <v>1981</v>
      </c>
      <c r="C1180" t="s">
        <v>29</v>
      </c>
      <c r="D1180" t="s">
        <v>37</v>
      </c>
      <c r="E1180">
        <v>28510</v>
      </c>
      <c r="F1180">
        <v>1</v>
      </c>
      <c r="G1180">
        <v>1</v>
      </c>
      <c r="H1180" t="s">
        <v>221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>
        <v>5735</v>
      </c>
      <c r="B1181">
        <v>1991</v>
      </c>
      <c r="C1181" t="s">
        <v>36</v>
      </c>
      <c r="D1181" t="s">
        <v>30</v>
      </c>
      <c r="E1181">
        <v>90638</v>
      </c>
      <c r="F1181">
        <v>0</v>
      </c>
      <c r="G1181">
        <v>0</v>
      </c>
      <c r="H1181" t="s">
        <v>374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25">
      <c r="A1182">
        <v>359</v>
      </c>
      <c r="B1182">
        <v>1950</v>
      </c>
      <c r="C1182" t="s">
        <v>29</v>
      </c>
      <c r="D1182" t="s">
        <v>31</v>
      </c>
      <c r="E1182">
        <v>48070</v>
      </c>
      <c r="F1182">
        <v>0</v>
      </c>
      <c r="G1182">
        <v>1</v>
      </c>
      <c r="H1182" t="s">
        <v>178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25">
      <c r="A1183">
        <v>8387</v>
      </c>
      <c r="B1183">
        <v>1957</v>
      </c>
      <c r="C1183" t="s">
        <v>29</v>
      </c>
      <c r="D1183" t="s">
        <v>34</v>
      </c>
      <c r="E1183">
        <v>43140</v>
      </c>
      <c r="F1183">
        <v>0</v>
      </c>
      <c r="G1183">
        <v>1</v>
      </c>
      <c r="H1183" s="2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>
        <v>1829</v>
      </c>
      <c r="B1184">
        <v>1961</v>
      </c>
      <c r="C1184" t="s">
        <v>33</v>
      </c>
      <c r="D1184" t="s">
        <v>37</v>
      </c>
      <c r="E1184">
        <v>54959</v>
      </c>
      <c r="F1184">
        <v>0</v>
      </c>
      <c r="G1184">
        <v>1</v>
      </c>
      <c r="H1184" t="s">
        <v>323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25">
      <c r="A1185">
        <v>3839</v>
      </c>
      <c r="B1185">
        <v>1958</v>
      </c>
      <c r="C1185" t="s">
        <v>41</v>
      </c>
      <c r="D1185" t="s">
        <v>30</v>
      </c>
      <c r="E1185">
        <v>15056</v>
      </c>
      <c r="F1185">
        <v>1</v>
      </c>
      <c r="G1185">
        <v>1</v>
      </c>
      <c r="H1185" s="2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s="2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25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s="2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>
        <v>10466</v>
      </c>
      <c r="B1188">
        <v>1965</v>
      </c>
      <c r="C1188" t="s">
        <v>29</v>
      </c>
      <c r="D1188" t="s">
        <v>34</v>
      </c>
      <c r="E1188">
        <v>44393</v>
      </c>
      <c r="F1188">
        <v>1</v>
      </c>
      <c r="G1188">
        <v>1</v>
      </c>
      <c r="H1188" t="s">
        <v>226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5">
      <c r="A1189">
        <v>9855</v>
      </c>
      <c r="B1189">
        <v>1952</v>
      </c>
      <c r="C1189" t="s">
        <v>33</v>
      </c>
      <c r="D1189" t="s">
        <v>30</v>
      </c>
      <c r="E1189">
        <v>62000</v>
      </c>
      <c r="F1189">
        <v>0</v>
      </c>
      <c r="G1189">
        <v>1</v>
      </c>
      <c r="H1189" t="s">
        <v>301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>
        <v>4088</v>
      </c>
      <c r="B1190">
        <v>1962</v>
      </c>
      <c r="C1190" t="s">
        <v>33</v>
      </c>
      <c r="D1190" t="s">
        <v>31</v>
      </c>
      <c r="E1190">
        <v>31497</v>
      </c>
      <c r="F1190">
        <v>0</v>
      </c>
      <c r="G1190">
        <v>1</v>
      </c>
      <c r="H1190" s="2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>
        <v>5231</v>
      </c>
      <c r="B1191">
        <v>1974</v>
      </c>
      <c r="C1191" t="s">
        <v>46</v>
      </c>
      <c r="D1191" t="s">
        <v>34</v>
      </c>
      <c r="E1191">
        <v>45894</v>
      </c>
      <c r="F1191">
        <v>0</v>
      </c>
      <c r="G1191">
        <v>2</v>
      </c>
      <c r="H1191" t="s">
        <v>375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>
        <v>590</v>
      </c>
      <c r="B1192">
        <v>1970</v>
      </c>
      <c r="C1192" t="s">
        <v>36</v>
      </c>
      <c r="D1192" t="s">
        <v>37</v>
      </c>
      <c r="E1192">
        <v>78579</v>
      </c>
      <c r="F1192">
        <v>0</v>
      </c>
      <c r="G1192">
        <v>0</v>
      </c>
      <c r="H1192" t="s">
        <v>195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5">
      <c r="A1193">
        <v>8732</v>
      </c>
      <c r="B1193">
        <v>1969</v>
      </c>
      <c r="C1193" t="s">
        <v>36</v>
      </c>
      <c r="D1193" t="s">
        <v>57</v>
      </c>
      <c r="E1193">
        <v>67369</v>
      </c>
      <c r="F1193">
        <v>0</v>
      </c>
      <c r="G1193">
        <v>1</v>
      </c>
      <c r="H1193" t="s">
        <v>202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25">
      <c r="A1194">
        <v>2315</v>
      </c>
      <c r="B1194">
        <v>1960</v>
      </c>
      <c r="C1194" t="s">
        <v>29</v>
      </c>
      <c r="D1194" t="s">
        <v>37</v>
      </c>
      <c r="E1194">
        <v>58401</v>
      </c>
      <c r="F1194">
        <v>0</v>
      </c>
      <c r="G1194">
        <v>1</v>
      </c>
      <c r="H1194" t="s">
        <v>376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5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t="s">
        <v>289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>
        <v>2245</v>
      </c>
      <c r="B1196">
        <v>1969</v>
      </c>
      <c r="C1196" t="s">
        <v>36</v>
      </c>
      <c r="D1196" t="s">
        <v>34</v>
      </c>
      <c r="E1196">
        <v>43641</v>
      </c>
      <c r="F1196">
        <v>1</v>
      </c>
      <c r="G1196">
        <v>1</v>
      </c>
      <c r="H1196" t="s">
        <v>95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5">
      <c r="A1197">
        <v>6283</v>
      </c>
      <c r="B1197">
        <v>1968</v>
      </c>
      <c r="C1197" t="s">
        <v>36</v>
      </c>
      <c r="D1197" t="s">
        <v>37</v>
      </c>
      <c r="E1197">
        <v>63841</v>
      </c>
      <c r="F1197">
        <v>0</v>
      </c>
      <c r="G1197">
        <v>1</v>
      </c>
      <c r="H1197" t="s">
        <v>96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>
        <v>2246</v>
      </c>
      <c r="B1198">
        <v>1965</v>
      </c>
      <c r="C1198" t="s">
        <v>46</v>
      </c>
      <c r="D1198" t="s">
        <v>34</v>
      </c>
      <c r="E1198">
        <v>46891</v>
      </c>
      <c r="F1198">
        <v>0</v>
      </c>
      <c r="G1198">
        <v>1</v>
      </c>
      <c r="H1198" s="2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>
        <v>6606</v>
      </c>
      <c r="B1199">
        <v>1969</v>
      </c>
      <c r="C1199" t="s">
        <v>36</v>
      </c>
      <c r="D1199" t="s">
        <v>34</v>
      </c>
      <c r="E1199">
        <v>70091</v>
      </c>
      <c r="F1199">
        <v>1</v>
      </c>
      <c r="G1199">
        <v>0</v>
      </c>
      <c r="H1199" t="s">
        <v>137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>
        <v>5545</v>
      </c>
      <c r="B1200">
        <v>1972</v>
      </c>
      <c r="C1200" t="s">
        <v>33</v>
      </c>
      <c r="D1200" t="s">
        <v>34</v>
      </c>
      <c r="E1200">
        <v>78075</v>
      </c>
      <c r="F1200">
        <v>0</v>
      </c>
      <c r="G1200">
        <v>0</v>
      </c>
      <c r="H1200" s="2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>
        <v>7342</v>
      </c>
      <c r="B1201">
        <v>1961</v>
      </c>
      <c r="C1201" t="s">
        <v>46</v>
      </c>
      <c r="D1201" t="s">
        <v>57</v>
      </c>
      <c r="E1201">
        <v>59184</v>
      </c>
      <c r="F1201">
        <v>0</v>
      </c>
      <c r="G1201">
        <v>1</v>
      </c>
      <c r="H1201" s="2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5">
      <c r="A1202">
        <v>837</v>
      </c>
      <c r="B1202">
        <v>1977</v>
      </c>
      <c r="C1202" t="s">
        <v>29</v>
      </c>
      <c r="D1202" t="s">
        <v>34</v>
      </c>
      <c r="E1202">
        <v>54809</v>
      </c>
      <c r="F1202">
        <v>1</v>
      </c>
      <c r="G1202">
        <v>1</v>
      </c>
      <c r="H1202" s="2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>
        <v>9500</v>
      </c>
      <c r="B1203">
        <v>1959</v>
      </c>
      <c r="C1203" t="s">
        <v>29</v>
      </c>
      <c r="D1203" t="s">
        <v>34</v>
      </c>
      <c r="E1203">
        <v>58113</v>
      </c>
      <c r="F1203">
        <v>0</v>
      </c>
      <c r="G1203">
        <v>1</v>
      </c>
      <c r="H1203" t="s">
        <v>340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25">
      <c r="A1204">
        <v>3602</v>
      </c>
      <c r="B1204">
        <v>1958</v>
      </c>
      <c r="C1204" t="s">
        <v>36</v>
      </c>
      <c r="D1204" t="s">
        <v>34</v>
      </c>
      <c r="E1204">
        <v>51412</v>
      </c>
      <c r="F1204">
        <v>0</v>
      </c>
      <c r="G1204">
        <v>1</v>
      </c>
      <c r="H1204" t="s">
        <v>56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>
        <v>234</v>
      </c>
      <c r="B1205">
        <v>1979</v>
      </c>
      <c r="C1205" t="s">
        <v>29</v>
      </c>
      <c r="D1205" t="s">
        <v>37</v>
      </c>
      <c r="E1205">
        <v>15287</v>
      </c>
      <c r="F1205">
        <v>1</v>
      </c>
      <c r="G1205">
        <v>0</v>
      </c>
      <c r="H1205" s="2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25">
      <c r="A1206">
        <v>2995</v>
      </c>
      <c r="B1206">
        <v>1957</v>
      </c>
      <c r="C1206" t="s">
        <v>36</v>
      </c>
      <c r="D1206" t="s">
        <v>31</v>
      </c>
      <c r="E1206">
        <v>66636</v>
      </c>
      <c r="F1206">
        <v>0</v>
      </c>
      <c r="G1206">
        <v>0</v>
      </c>
      <c r="H1206" t="s">
        <v>361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>
        <v>1118</v>
      </c>
      <c r="B1207">
        <v>1956</v>
      </c>
      <c r="C1207" t="s">
        <v>36</v>
      </c>
      <c r="D1207" t="s">
        <v>34</v>
      </c>
      <c r="E1207">
        <v>50965</v>
      </c>
      <c r="F1207">
        <v>0</v>
      </c>
      <c r="G1207">
        <v>1</v>
      </c>
      <c r="H1207" t="s">
        <v>50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>
        <v>7789</v>
      </c>
      <c r="B1208">
        <v>1965</v>
      </c>
      <c r="C1208" t="s">
        <v>33</v>
      </c>
      <c r="D1208" t="s">
        <v>34</v>
      </c>
      <c r="E1208">
        <v>84618</v>
      </c>
      <c r="F1208">
        <v>0</v>
      </c>
      <c r="G1208">
        <v>0</v>
      </c>
      <c r="H1208" t="s">
        <v>52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>
        <v>3068</v>
      </c>
      <c r="B1209">
        <v>1990</v>
      </c>
      <c r="C1209" t="s">
        <v>29</v>
      </c>
      <c r="D1209" t="s">
        <v>34</v>
      </c>
      <c r="E1209">
        <v>18351</v>
      </c>
      <c r="F1209">
        <v>0</v>
      </c>
      <c r="G1209">
        <v>0</v>
      </c>
      <c r="H1209" t="s">
        <v>321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>
        <v>8955</v>
      </c>
      <c r="B1210">
        <v>1957</v>
      </c>
      <c r="C1210" t="s">
        <v>33</v>
      </c>
      <c r="D1210" t="s">
        <v>31</v>
      </c>
      <c r="E1210">
        <v>40451</v>
      </c>
      <c r="F1210">
        <v>0</v>
      </c>
      <c r="G1210">
        <v>2</v>
      </c>
      <c r="H1210" t="s">
        <v>145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>
        <v>945</v>
      </c>
      <c r="B1211">
        <v>1965</v>
      </c>
      <c r="C1211" t="s">
        <v>29</v>
      </c>
      <c r="D1211" t="s">
        <v>31</v>
      </c>
      <c r="E1211">
        <v>36317</v>
      </c>
      <c r="F1211">
        <v>0</v>
      </c>
      <c r="G1211">
        <v>1</v>
      </c>
      <c r="H1211" t="s">
        <v>163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>
        <v>5644</v>
      </c>
      <c r="B1212">
        <v>1957</v>
      </c>
      <c r="C1212" t="s">
        <v>29</v>
      </c>
      <c r="D1212" t="s">
        <v>31</v>
      </c>
      <c r="E1212">
        <v>42213</v>
      </c>
      <c r="F1212">
        <v>0</v>
      </c>
      <c r="G1212">
        <v>1</v>
      </c>
      <c r="H1212" s="2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>
        <v>7192</v>
      </c>
      <c r="B1213">
        <v>1955</v>
      </c>
      <c r="C1213" t="s">
        <v>29</v>
      </c>
      <c r="D1213" t="s">
        <v>31</v>
      </c>
      <c r="E1213">
        <v>65748</v>
      </c>
      <c r="F1213">
        <v>0</v>
      </c>
      <c r="G1213">
        <v>1</v>
      </c>
      <c r="H1213" t="s">
        <v>268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25">
      <c r="A1214">
        <v>2324</v>
      </c>
      <c r="B1214">
        <v>1972</v>
      </c>
      <c r="C1214" t="s">
        <v>29</v>
      </c>
      <c r="D1214" t="s">
        <v>31</v>
      </c>
      <c r="E1214">
        <v>77044</v>
      </c>
      <c r="F1214">
        <v>0</v>
      </c>
      <c r="G1214">
        <v>1</v>
      </c>
      <c r="H1214" t="s">
        <v>158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>
        <v>697</v>
      </c>
      <c r="B1215">
        <v>1969</v>
      </c>
      <c r="C1215" t="s">
        <v>29</v>
      </c>
      <c r="D1215" t="s">
        <v>31</v>
      </c>
      <c r="E1215">
        <v>74918</v>
      </c>
      <c r="F1215">
        <v>0</v>
      </c>
      <c r="G1215">
        <v>0</v>
      </c>
      <c r="H1215" s="2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>
        <v>3439</v>
      </c>
      <c r="B1216">
        <v>1972</v>
      </c>
      <c r="C1216" t="s">
        <v>29</v>
      </c>
      <c r="D1216" t="s">
        <v>34</v>
      </c>
      <c r="E1216">
        <v>56721</v>
      </c>
      <c r="F1216">
        <v>1</v>
      </c>
      <c r="G1216">
        <v>1</v>
      </c>
      <c r="H1216" t="s">
        <v>175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t="s">
        <v>377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25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t="s">
        <v>135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>
        <v>8876</v>
      </c>
      <c r="B1219">
        <v>1963</v>
      </c>
      <c r="C1219" t="s">
        <v>33</v>
      </c>
      <c r="D1219" t="s">
        <v>31</v>
      </c>
      <c r="E1219">
        <v>33629</v>
      </c>
      <c r="F1219">
        <v>1</v>
      </c>
      <c r="G1219">
        <v>1</v>
      </c>
      <c r="H1219" s="2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>
        <v>4500</v>
      </c>
      <c r="B1220">
        <v>1991</v>
      </c>
      <c r="C1220" t="s">
        <v>33</v>
      </c>
      <c r="D1220" t="s">
        <v>31</v>
      </c>
      <c r="E1220">
        <v>68682</v>
      </c>
      <c r="F1220">
        <v>0</v>
      </c>
      <c r="G1220">
        <v>0</v>
      </c>
      <c r="H1220" s="2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t="s">
        <v>323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>
        <v>10395</v>
      </c>
      <c r="B1222">
        <v>1986</v>
      </c>
      <c r="C1222" t="s">
        <v>41</v>
      </c>
      <c r="D1222" t="s">
        <v>30</v>
      </c>
      <c r="E1222">
        <v>8940</v>
      </c>
      <c r="F1222">
        <v>1</v>
      </c>
      <c r="G1222">
        <v>0</v>
      </c>
      <c r="H1222" t="s">
        <v>108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>
        <v>1176</v>
      </c>
      <c r="B1223">
        <v>1973</v>
      </c>
      <c r="C1223" t="s">
        <v>29</v>
      </c>
      <c r="D1223" t="s">
        <v>34</v>
      </c>
      <c r="E1223">
        <v>26228</v>
      </c>
      <c r="F1223">
        <v>1</v>
      </c>
      <c r="G1223">
        <v>0</v>
      </c>
      <c r="H1223" t="s">
        <v>233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>
        <v>1627</v>
      </c>
      <c r="B1224">
        <v>1957</v>
      </c>
      <c r="C1224" t="s">
        <v>46</v>
      </c>
      <c r="D1224" t="s">
        <v>37</v>
      </c>
      <c r="E1224">
        <v>77297</v>
      </c>
      <c r="F1224">
        <v>0</v>
      </c>
      <c r="G1224">
        <v>0</v>
      </c>
      <c r="H1224" t="s">
        <v>276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>
        <v>938</v>
      </c>
      <c r="B1225">
        <v>1981</v>
      </c>
      <c r="C1225" t="s">
        <v>29</v>
      </c>
      <c r="D1225" t="s">
        <v>34</v>
      </c>
      <c r="E1225">
        <v>40211</v>
      </c>
      <c r="F1225">
        <v>1</v>
      </c>
      <c r="G1225">
        <v>1</v>
      </c>
      <c r="H1225" t="s">
        <v>357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>
        <v>2740</v>
      </c>
      <c r="B1226">
        <v>1958</v>
      </c>
      <c r="C1226" t="s">
        <v>33</v>
      </c>
      <c r="D1226" t="s">
        <v>57</v>
      </c>
      <c r="E1226">
        <v>33438</v>
      </c>
      <c r="F1226">
        <v>1</v>
      </c>
      <c r="G1226">
        <v>1</v>
      </c>
      <c r="H1226" t="s">
        <v>233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>
        <v>257</v>
      </c>
      <c r="B1227">
        <v>1959</v>
      </c>
      <c r="C1227" t="s">
        <v>33</v>
      </c>
      <c r="D1227" t="s">
        <v>34</v>
      </c>
      <c r="E1227">
        <v>75032</v>
      </c>
      <c r="F1227">
        <v>0</v>
      </c>
      <c r="G1227">
        <v>1</v>
      </c>
      <c r="H1227" t="s">
        <v>378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>
        <v>4058</v>
      </c>
      <c r="B1228">
        <v>1955</v>
      </c>
      <c r="C1228" t="s">
        <v>33</v>
      </c>
      <c r="D1228" t="s">
        <v>30</v>
      </c>
      <c r="E1228">
        <v>61284</v>
      </c>
      <c r="F1228">
        <v>0</v>
      </c>
      <c r="G1228">
        <v>0</v>
      </c>
      <c r="H1228" s="2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>
        <v>7736</v>
      </c>
      <c r="B1229">
        <v>1986</v>
      </c>
      <c r="C1229" t="s">
        <v>29</v>
      </c>
      <c r="D1229" t="s">
        <v>34</v>
      </c>
      <c r="E1229">
        <v>22518</v>
      </c>
      <c r="F1229">
        <v>1</v>
      </c>
      <c r="G1229">
        <v>0</v>
      </c>
      <c r="H1229" t="s">
        <v>162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5">
      <c r="A1230">
        <v>8210</v>
      </c>
      <c r="B1230">
        <v>1975</v>
      </c>
      <c r="C1230" t="s">
        <v>36</v>
      </c>
      <c r="D1230" t="s">
        <v>34</v>
      </c>
      <c r="E1230">
        <v>54730</v>
      </c>
      <c r="F1230">
        <v>0</v>
      </c>
      <c r="G1230">
        <v>1</v>
      </c>
      <c r="H1230" t="s">
        <v>191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>
        <v>833</v>
      </c>
      <c r="B1231">
        <v>1955</v>
      </c>
      <c r="C1231" t="s">
        <v>36</v>
      </c>
      <c r="D1231" t="s">
        <v>34</v>
      </c>
      <c r="E1231">
        <v>38452</v>
      </c>
      <c r="F1231">
        <v>1</v>
      </c>
      <c r="G1231">
        <v>1</v>
      </c>
      <c r="H1231" t="s">
        <v>86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5">
      <c r="A1232">
        <v>6230</v>
      </c>
      <c r="B1232">
        <v>1971</v>
      </c>
      <c r="C1232" t="s">
        <v>29</v>
      </c>
      <c r="D1232" t="s">
        <v>37</v>
      </c>
      <c r="E1232">
        <v>44421</v>
      </c>
      <c r="F1232">
        <v>1</v>
      </c>
      <c r="G1232">
        <v>1</v>
      </c>
      <c r="H1232" t="s">
        <v>256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>
        <v>7325</v>
      </c>
      <c r="B1233">
        <v>1986</v>
      </c>
      <c r="C1233" t="s">
        <v>33</v>
      </c>
      <c r="D1233" t="s">
        <v>31</v>
      </c>
      <c r="E1233">
        <v>38197</v>
      </c>
      <c r="F1233">
        <v>1</v>
      </c>
      <c r="G1233">
        <v>0</v>
      </c>
      <c r="H1233" t="s">
        <v>339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5">
      <c r="A1234">
        <v>1307</v>
      </c>
      <c r="B1234">
        <v>1978</v>
      </c>
      <c r="C1234" t="s">
        <v>29</v>
      </c>
      <c r="D1234" t="s">
        <v>37</v>
      </c>
      <c r="E1234">
        <v>41986</v>
      </c>
      <c r="F1234">
        <v>0</v>
      </c>
      <c r="G1234">
        <v>1</v>
      </c>
      <c r="H1234" s="2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5">
      <c r="A1235">
        <v>1502</v>
      </c>
      <c r="B1235">
        <v>1983</v>
      </c>
      <c r="C1235" t="s">
        <v>29</v>
      </c>
      <c r="D1235" t="s">
        <v>31</v>
      </c>
      <c r="E1235">
        <v>28427</v>
      </c>
      <c r="F1235">
        <v>1</v>
      </c>
      <c r="G1235">
        <v>0</v>
      </c>
      <c r="H1235" t="s">
        <v>379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>
        <v>6211</v>
      </c>
      <c r="B1236">
        <v>1976</v>
      </c>
      <c r="C1236" t="s">
        <v>33</v>
      </c>
      <c r="D1236" t="s">
        <v>31</v>
      </c>
      <c r="E1236">
        <v>37395</v>
      </c>
      <c r="F1236">
        <v>1</v>
      </c>
      <c r="G1236">
        <v>0</v>
      </c>
      <c r="H1236" s="2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>
        <v>843</v>
      </c>
      <c r="B1237">
        <v>1971</v>
      </c>
      <c r="C1237" t="s">
        <v>29</v>
      </c>
      <c r="D1237" t="s">
        <v>34</v>
      </c>
      <c r="E1237">
        <v>64722</v>
      </c>
      <c r="F1237">
        <v>1</v>
      </c>
      <c r="G1237">
        <v>0</v>
      </c>
      <c r="H1237" t="s">
        <v>333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>
        <v>4174</v>
      </c>
      <c r="B1238">
        <v>1956</v>
      </c>
      <c r="C1238" t="s">
        <v>36</v>
      </c>
      <c r="D1238" t="s">
        <v>31</v>
      </c>
      <c r="E1238">
        <v>55249</v>
      </c>
      <c r="F1238">
        <v>0</v>
      </c>
      <c r="G1238">
        <v>1</v>
      </c>
      <c r="H1238" t="s">
        <v>171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>
        <v>9757</v>
      </c>
      <c r="B1239">
        <v>1972</v>
      </c>
      <c r="C1239" t="s">
        <v>29</v>
      </c>
      <c r="D1239" t="s">
        <v>31</v>
      </c>
      <c r="E1239">
        <v>84906</v>
      </c>
      <c r="F1239">
        <v>0</v>
      </c>
      <c r="G1239">
        <v>0</v>
      </c>
      <c r="H1239" s="2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25">
      <c r="A1240">
        <v>6918</v>
      </c>
      <c r="B1240">
        <v>1989</v>
      </c>
      <c r="C1240" t="s">
        <v>29</v>
      </c>
      <c r="D1240" t="s">
        <v>34</v>
      </c>
      <c r="E1240">
        <v>28691</v>
      </c>
      <c r="F1240">
        <v>1</v>
      </c>
      <c r="G1240">
        <v>0</v>
      </c>
      <c r="H1240" s="2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t="s">
        <v>196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5">
      <c r="A1242">
        <v>11086</v>
      </c>
      <c r="B1242">
        <v>1984</v>
      </c>
      <c r="C1242" t="s">
        <v>41</v>
      </c>
      <c r="D1242" t="s">
        <v>30</v>
      </c>
      <c r="E1242">
        <v>25707</v>
      </c>
      <c r="F1242">
        <v>1</v>
      </c>
      <c r="G1242">
        <v>0</v>
      </c>
      <c r="H1242" t="s">
        <v>183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>
        <v>1921</v>
      </c>
      <c r="B1243">
        <v>1967</v>
      </c>
      <c r="C1243" t="s">
        <v>33</v>
      </c>
      <c r="D1243" t="s">
        <v>34</v>
      </c>
      <c r="E1243">
        <v>59062</v>
      </c>
      <c r="F1243">
        <v>2</v>
      </c>
      <c r="G1243">
        <v>1</v>
      </c>
      <c r="H1243" s="2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t="s">
        <v>82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>
        <v>7718</v>
      </c>
      <c r="B1245">
        <v>1947</v>
      </c>
      <c r="C1245" t="s">
        <v>36</v>
      </c>
      <c r="D1245" t="s">
        <v>31</v>
      </c>
      <c r="E1245">
        <v>66000</v>
      </c>
      <c r="F1245">
        <v>0</v>
      </c>
      <c r="G1245">
        <v>0</v>
      </c>
      <c r="H1245" t="s">
        <v>376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>
        <v>1291</v>
      </c>
      <c r="B1246">
        <v>1978</v>
      </c>
      <c r="C1246" t="s">
        <v>33</v>
      </c>
      <c r="D1246" t="s">
        <v>31</v>
      </c>
      <c r="E1246">
        <v>27683</v>
      </c>
      <c r="F1246">
        <v>1</v>
      </c>
      <c r="G1246">
        <v>0</v>
      </c>
      <c r="H1246" s="2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>
        <v>6862</v>
      </c>
      <c r="B1247">
        <v>1971</v>
      </c>
      <c r="C1247" t="s">
        <v>29</v>
      </c>
      <c r="D1247" t="s">
        <v>37</v>
      </c>
      <c r="E1247">
        <v>1730</v>
      </c>
      <c r="F1247">
        <v>0</v>
      </c>
      <c r="G1247">
        <v>0</v>
      </c>
      <c r="H1247" t="s">
        <v>238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>
        <v>4136</v>
      </c>
      <c r="B1248">
        <v>1992</v>
      </c>
      <c r="C1248" t="s">
        <v>41</v>
      </c>
      <c r="D1248" t="s">
        <v>30</v>
      </c>
      <c r="E1248">
        <v>7500</v>
      </c>
      <c r="F1248">
        <v>1</v>
      </c>
      <c r="G1248">
        <v>0</v>
      </c>
      <c r="H1248" s="2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>
        <v>803</v>
      </c>
      <c r="B1249">
        <v>1968</v>
      </c>
      <c r="C1249" t="s">
        <v>29</v>
      </c>
      <c r="D1249" t="s">
        <v>31</v>
      </c>
      <c r="E1249">
        <v>40521</v>
      </c>
      <c r="F1249">
        <v>1</v>
      </c>
      <c r="G1249">
        <v>1</v>
      </c>
      <c r="H1249" s="2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5">
      <c r="A1250">
        <v>4298</v>
      </c>
      <c r="B1250">
        <v>1973</v>
      </c>
      <c r="C1250" t="s">
        <v>33</v>
      </c>
      <c r="D1250" t="s">
        <v>31</v>
      </c>
      <c r="E1250">
        <v>20427</v>
      </c>
      <c r="F1250">
        <v>1</v>
      </c>
      <c r="G1250">
        <v>0</v>
      </c>
      <c r="H1250" t="s">
        <v>364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>
        <v>10833</v>
      </c>
      <c r="B1251">
        <v>1975</v>
      </c>
      <c r="C1251" t="s">
        <v>29</v>
      </c>
      <c r="D1251" t="s">
        <v>34</v>
      </c>
      <c r="E1251">
        <v>65106</v>
      </c>
      <c r="F1251">
        <v>0</v>
      </c>
      <c r="G1251">
        <v>1</v>
      </c>
      <c r="H1251" t="s">
        <v>82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>
        <v>9606</v>
      </c>
      <c r="B1252">
        <v>1965</v>
      </c>
      <c r="C1252" t="s">
        <v>33</v>
      </c>
      <c r="D1252" t="s">
        <v>34</v>
      </c>
      <c r="E1252">
        <v>69969</v>
      </c>
      <c r="F1252">
        <v>0</v>
      </c>
      <c r="G1252">
        <v>0</v>
      </c>
      <c r="H1252" t="s">
        <v>380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25">
      <c r="A1253">
        <v>8534</v>
      </c>
      <c r="B1253">
        <v>1952</v>
      </c>
      <c r="C1253" t="s">
        <v>29</v>
      </c>
      <c r="D1253" t="s">
        <v>34</v>
      </c>
      <c r="E1253">
        <v>67433</v>
      </c>
      <c r="F1253">
        <v>0</v>
      </c>
      <c r="G1253">
        <v>2</v>
      </c>
      <c r="H1253" t="s">
        <v>76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>
        <v>5153</v>
      </c>
      <c r="B1254">
        <v>1967</v>
      </c>
      <c r="C1254" t="s">
        <v>33</v>
      </c>
      <c r="D1254" t="s">
        <v>34</v>
      </c>
      <c r="E1254">
        <v>77766</v>
      </c>
      <c r="F1254">
        <v>0</v>
      </c>
      <c r="G1254">
        <v>1</v>
      </c>
      <c r="H1254" t="s">
        <v>220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25">
      <c r="A1255">
        <v>961</v>
      </c>
      <c r="B1255">
        <v>1972</v>
      </c>
      <c r="C1255" t="s">
        <v>29</v>
      </c>
      <c r="D1255" t="s">
        <v>34</v>
      </c>
      <c r="E1255">
        <v>74716</v>
      </c>
      <c r="F1255">
        <v>0</v>
      </c>
      <c r="G1255">
        <v>1</v>
      </c>
      <c r="H1255" s="2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>
        <v>5011</v>
      </c>
      <c r="B1256">
        <v>1963</v>
      </c>
      <c r="C1256" t="s">
        <v>29</v>
      </c>
      <c r="D1256" t="s">
        <v>37</v>
      </c>
      <c r="E1256">
        <v>68118</v>
      </c>
      <c r="F1256">
        <v>0</v>
      </c>
      <c r="G1256">
        <v>1</v>
      </c>
      <c r="H1256" t="s">
        <v>296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>
        <v>6653</v>
      </c>
      <c r="B1257">
        <v>1970</v>
      </c>
      <c r="C1257" t="s">
        <v>33</v>
      </c>
      <c r="D1257" t="s">
        <v>34</v>
      </c>
      <c r="E1257">
        <v>55158</v>
      </c>
      <c r="F1257">
        <v>1</v>
      </c>
      <c r="G1257">
        <v>1</v>
      </c>
      <c r="H1257" t="s">
        <v>381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5">
      <c r="A1258">
        <v>9094</v>
      </c>
      <c r="B1258">
        <v>1955</v>
      </c>
      <c r="C1258" t="s">
        <v>46</v>
      </c>
      <c r="D1258" t="s">
        <v>34</v>
      </c>
      <c r="E1258">
        <v>62972</v>
      </c>
      <c r="F1258">
        <v>0</v>
      </c>
      <c r="G1258">
        <v>1</v>
      </c>
      <c r="H1258" s="2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25">
      <c r="A1259">
        <v>810</v>
      </c>
      <c r="B1259">
        <v>1975</v>
      </c>
      <c r="C1259" t="s">
        <v>29</v>
      </c>
      <c r="D1259" t="s">
        <v>34</v>
      </c>
      <c r="E1259">
        <v>74190</v>
      </c>
      <c r="F1259">
        <v>0</v>
      </c>
      <c r="G1259">
        <v>1</v>
      </c>
      <c r="H1259" s="2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>
        <v>5493</v>
      </c>
      <c r="B1260">
        <v>1976</v>
      </c>
      <c r="C1260" t="s">
        <v>29</v>
      </c>
      <c r="D1260" t="s">
        <v>34</v>
      </c>
      <c r="E1260">
        <v>39356</v>
      </c>
      <c r="F1260">
        <v>1</v>
      </c>
      <c r="G1260">
        <v>1</v>
      </c>
      <c r="H1260" t="s">
        <v>66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5">
      <c r="A1261">
        <v>2147</v>
      </c>
      <c r="B1261">
        <v>1969</v>
      </c>
      <c r="C1261" t="s">
        <v>29</v>
      </c>
      <c r="D1261" t="s">
        <v>31</v>
      </c>
      <c r="E1261">
        <v>76653</v>
      </c>
      <c r="F1261">
        <v>0</v>
      </c>
      <c r="G1261">
        <v>0</v>
      </c>
      <c r="H1261" t="s">
        <v>254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>
        <v>5107</v>
      </c>
      <c r="B1262">
        <v>1973</v>
      </c>
      <c r="C1262" t="s">
        <v>33</v>
      </c>
      <c r="D1262" t="s">
        <v>37</v>
      </c>
      <c r="E1262">
        <v>35860</v>
      </c>
      <c r="F1262">
        <v>1</v>
      </c>
      <c r="G1262">
        <v>1</v>
      </c>
      <c r="H1262" t="s">
        <v>100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>
        <v>3979</v>
      </c>
      <c r="B1263">
        <v>1983</v>
      </c>
      <c r="C1263" t="s">
        <v>33</v>
      </c>
      <c r="D1263" t="s">
        <v>37</v>
      </c>
      <c r="E1263">
        <v>90687</v>
      </c>
      <c r="F1263">
        <v>0</v>
      </c>
      <c r="G1263">
        <v>0</v>
      </c>
      <c r="H1263" t="s">
        <v>163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25">
      <c r="A1264">
        <v>6049</v>
      </c>
      <c r="B1264">
        <v>1982</v>
      </c>
      <c r="C1264" t="s">
        <v>36</v>
      </c>
      <c r="D1264" t="s">
        <v>31</v>
      </c>
      <c r="E1264">
        <v>73450</v>
      </c>
      <c r="F1264">
        <v>0</v>
      </c>
      <c r="G1264">
        <v>0</v>
      </c>
      <c r="H1264" s="2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>
        <v>8147</v>
      </c>
      <c r="B1265">
        <v>1960</v>
      </c>
      <c r="C1265" t="s">
        <v>29</v>
      </c>
      <c r="D1265" t="s">
        <v>34</v>
      </c>
      <c r="E1265">
        <v>31454</v>
      </c>
      <c r="F1265">
        <v>1</v>
      </c>
      <c r="G1265">
        <v>1</v>
      </c>
      <c r="H1265" s="2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s="2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>
        <v>3910</v>
      </c>
      <c r="B1267">
        <v>1975</v>
      </c>
      <c r="C1267" t="s">
        <v>29</v>
      </c>
      <c r="D1267" t="s">
        <v>37</v>
      </c>
      <c r="E1267">
        <v>83829</v>
      </c>
      <c r="F1267">
        <v>0</v>
      </c>
      <c r="G1267">
        <v>0</v>
      </c>
      <c r="H1267" s="2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25">
      <c r="A1268">
        <v>5207</v>
      </c>
      <c r="B1268">
        <v>1963</v>
      </c>
      <c r="C1268" t="s">
        <v>33</v>
      </c>
      <c r="D1268" t="s">
        <v>34</v>
      </c>
      <c r="E1268">
        <v>53378</v>
      </c>
      <c r="F1268">
        <v>1</v>
      </c>
      <c r="G1268">
        <v>1</v>
      </c>
      <c r="H1268" t="s">
        <v>245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25">
      <c r="A1269">
        <v>11114</v>
      </c>
      <c r="B1269">
        <v>1970</v>
      </c>
      <c r="C1269" t="s">
        <v>29</v>
      </c>
      <c r="D1269" t="s">
        <v>31</v>
      </c>
      <c r="E1269">
        <v>19656</v>
      </c>
      <c r="F1269">
        <v>1</v>
      </c>
      <c r="G1269">
        <v>0</v>
      </c>
      <c r="H1269" s="2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>
        <v>5429</v>
      </c>
      <c r="B1270">
        <v>1948</v>
      </c>
      <c r="C1270" t="s">
        <v>33</v>
      </c>
      <c r="D1270" t="s">
        <v>34</v>
      </c>
      <c r="E1270">
        <v>45579</v>
      </c>
      <c r="F1270">
        <v>0</v>
      </c>
      <c r="G1270">
        <v>1</v>
      </c>
      <c r="H1270" t="s">
        <v>113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>
        <v>9400</v>
      </c>
      <c r="B1271">
        <v>1958</v>
      </c>
      <c r="C1271" t="s">
        <v>46</v>
      </c>
      <c r="D1271" t="s">
        <v>30</v>
      </c>
      <c r="E1271">
        <v>85485</v>
      </c>
      <c r="F1271">
        <v>0</v>
      </c>
      <c r="G1271">
        <v>0</v>
      </c>
      <c r="H1271" t="s">
        <v>109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>
        <v>1740</v>
      </c>
      <c r="B1272">
        <v>1944</v>
      </c>
      <c r="C1272" t="s">
        <v>29</v>
      </c>
      <c r="D1272" t="s">
        <v>34</v>
      </c>
      <c r="E1272">
        <v>55956</v>
      </c>
      <c r="F1272">
        <v>0</v>
      </c>
      <c r="G1272">
        <v>0</v>
      </c>
      <c r="H1272" s="2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>
        <v>7488</v>
      </c>
      <c r="B1273">
        <v>1963</v>
      </c>
      <c r="C1273" t="s">
        <v>36</v>
      </c>
      <c r="D1273" t="s">
        <v>30</v>
      </c>
      <c r="E1273">
        <v>64191</v>
      </c>
      <c r="F1273">
        <v>0</v>
      </c>
      <c r="G1273">
        <v>1</v>
      </c>
      <c r="H1273" t="s">
        <v>354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t="s">
        <v>373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5">
      <c r="A1275">
        <v>635</v>
      </c>
      <c r="B1275">
        <v>1966</v>
      </c>
      <c r="C1275" t="s">
        <v>36</v>
      </c>
      <c r="D1275" t="s">
        <v>34</v>
      </c>
      <c r="E1275">
        <v>57183</v>
      </c>
      <c r="F1275">
        <v>1</v>
      </c>
      <c r="G1275">
        <v>1</v>
      </c>
      <c r="H1275" t="s">
        <v>105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5">
      <c r="A1276">
        <v>7527</v>
      </c>
      <c r="B1276">
        <v>1968</v>
      </c>
      <c r="C1276" t="s">
        <v>36</v>
      </c>
      <c r="D1276" t="s">
        <v>37</v>
      </c>
      <c r="E1276">
        <v>23748</v>
      </c>
      <c r="F1276">
        <v>1</v>
      </c>
      <c r="G1276">
        <v>0</v>
      </c>
      <c r="H1276" t="s">
        <v>382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>
        <v>10319</v>
      </c>
      <c r="B1277">
        <v>1971</v>
      </c>
      <c r="C1277" t="s">
        <v>29</v>
      </c>
      <c r="D1277" t="s">
        <v>34</v>
      </c>
      <c r="E1277">
        <v>66303</v>
      </c>
      <c r="F1277">
        <v>0</v>
      </c>
      <c r="G1277">
        <v>1</v>
      </c>
      <c r="H1277" t="s">
        <v>383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>
        <v>2296</v>
      </c>
      <c r="B1278">
        <v>1975</v>
      </c>
      <c r="C1278" t="s">
        <v>36</v>
      </c>
      <c r="D1278" t="s">
        <v>34</v>
      </c>
      <c r="E1278">
        <v>37368</v>
      </c>
      <c r="F1278">
        <v>1</v>
      </c>
      <c r="G1278">
        <v>0</v>
      </c>
      <c r="H1278" t="s">
        <v>294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5">
      <c r="A1279">
        <v>10637</v>
      </c>
      <c r="B1279">
        <v>1964</v>
      </c>
      <c r="C1279" t="s">
        <v>29</v>
      </c>
      <c r="D1279" t="s">
        <v>34</v>
      </c>
      <c r="E1279">
        <v>40800</v>
      </c>
      <c r="F1279">
        <v>1</v>
      </c>
      <c r="G1279">
        <v>2</v>
      </c>
      <c r="H1279" s="2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25">
      <c r="A1280">
        <v>2931</v>
      </c>
      <c r="B1280">
        <v>1978</v>
      </c>
      <c r="C1280" t="s">
        <v>29</v>
      </c>
      <c r="D1280" t="s">
        <v>37</v>
      </c>
      <c r="E1280">
        <v>71847</v>
      </c>
      <c r="F1280">
        <v>0</v>
      </c>
      <c r="G1280">
        <v>0</v>
      </c>
      <c r="H1280" t="s">
        <v>283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>
        <v>907</v>
      </c>
      <c r="B1281">
        <v>1975</v>
      </c>
      <c r="C1281" t="s">
        <v>29</v>
      </c>
      <c r="D1281" t="s">
        <v>34</v>
      </c>
      <c r="E1281">
        <v>46149</v>
      </c>
      <c r="F1281">
        <v>0</v>
      </c>
      <c r="G1281">
        <v>1</v>
      </c>
      <c r="H1281" t="s">
        <v>196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>
        <v>3698</v>
      </c>
      <c r="B1282">
        <v>1983</v>
      </c>
      <c r="C1282" t="s">
        <v>29</v>
      </c>
      <c r="D1282" t="s">
        <v>31</v>
      </c>
      <c r="E1282">
        <v>78687</v>
      </c>
      <c r="F1282">
        <v>0</v>
      </c>
      <c r="G1282">
        <v>0</v>
      </c>
      <c r="H1282" s="2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25">
      <c r="A1283">
        <v>9516</v>
      </c>
      <c r="B1283">
        <v>1971</v>
      </c>
      <c r="C1283" t="s">
        <v>46</v>
      </c>
      <c r="D1283" t="s">
        <v>37</v>
      </c>
      <c r="E1283">
        <v>49118</v>
      </c>
      <c r="F1283">
        <v>0</v>
      </c>
      <c r="G1283">
        <v>0</v>
      </c>
      <c r="H1283" t="s">
        <v>205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25">
      <c r="A1284">
        <v>679</v>
      </c>
      <c r="B1284">
        <v>1957</v>
      </c>
      <c r="C1284" t="s">
        <v>33</v>
      </c>
      <c r="D1284" t="s">
        <v>34</v>
      </c>
      <c r="E1284">
        <v>37633</v>
      </c>
      <c r="F1284">
        <v>1</v>
      </c>
      <c r="G1284">
        <v>1</v>
      </c>
      <c r="H1284" t="s">
        <v>384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>
        <v>7384</v>
      </c>
      <c r="B1285">
        <v>1951</v>
      </c>
      <c r="C1285" t="s">
        <v>36</v>
      </c>
      <c r="D1285" t="s">
        <v>31</v>
      </c>
      <c r="E1285">
        <v>39767</v>
      </c>
      <c r="F1285">
        <v>0</v>
      </c>
      <c r="G1285">
        <v>0</v>
      </c>
      <c r="H1285" t="s">
        <v>370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>
        <v>5043</v>
      </c>
      <c r="B1286">
        <v>1951</v>
      </c>
      <c r="C1286" t="s">
        <v>41</v>
      </c>
      <c r="D1286" t="s">
        <v>34</v>
      </c>
      <c r="E1286">
        <v>26997</v>
      </c>
      <c r="F1286">
        <v>0</v>
      </c>
      <c r="G1286">
        <v>0</v>
      </c>
      <c r="H1286" s="2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5">
      <c r="A1287">
        <v>5267</v>
      </c>
      <c r="B1287">
        <v>1970</v>
      </c>
      <c r="C1287" t="s">
        <v>29</v>
      </c>
      <c r="D1287" t="s">
        <v>37</v>
      </c>
      <c r="E1287">
        <v>33986</v>
      </c>
      <c r="F1287">
        <v>1</v>
      </c>
      <c r="G1287">
        <v>0</v>
      </c>
      <c r="H1287" t="s">
        <v>166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>
        <v>339</v>
      </c>
      <c r="B1288">
        <v>1972</v>
      </c>
      <c r="C1288" t="s">
        <v>33</v>
      </c>
      <c r="D1288" t="s">
        <v>34</v>
      </c>
      <c r="E1288">
        <v>57091</v>
      </c>
      <c r="F1288">
        <v>0</v>
      </c>
      <c r="G1288">
        <v>1</v>
      </c>
      <c r="H1288" t="s">
        <v>165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5">
      <c r="A1289">
        <v>2516</v>
      </c>
      <c r="B1289">
        <v>1969</v>
      </c>
      <c r="C1289" t="s">
        <v>46</v>
      </c>
      <c r="D1289" t="s">
        <v>34</v>
      </c>
      <c r="E1289">
        <v>46831</v>
      </c>
      <c r="F1289">
        <v>1</v>
      </c>
      <c r="G1289">
        <v>1</v>
      </c>
      <c r="H1289" s="2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>
        <v>9010</v>
      </c>
      <c r="B1290">
        <v>1972</v>
      </c>
      <c r="C1290" t="s">
        <v>36</v>
      </c>
      <c r="D1290" t="s">
        <v>34</v>
      </c>
      <c r="E1290">
        <v>83151</v>
      </c>
      <c r="F1290">
        <v>0</v>
      </c>
      <c r="G1290">
        <v>0</v>
      </c>
      <c r="H1290" s="2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>
        <v>378</v>
      </c>
      <c r="B1291">
        <v>1971</v>
      </c>
      <c r="C1291" t="s">
        <v>29</v>
      </c>
      <c r="D1291" t="s">
        <v>34</v>
      </c>
      <c r="E1291">
        <v>52531</v>
      </c>
      <c r="F1291">
        <v>0</v>
      </c>
      <c r="G1291">
        <v>0</v>
      </c>
      <c r="H1291" t="s">
        <v>206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>
        <v>4808</v>
      </c>
      <c r="B1292">
        <v>1956</v>
      </c>
      <c r="C1292" t="s">
        <v>29</v>
      </c>
      <c r="D1292" t="s">
        <v>34</v>
      </c>
      <c r="E1292">
        <v>15759</v>
      </c>
      <c r="F1292">
        <v>0</v>
      </c>
      <c r="G1292">
        <v>0</v>
      </c>
      <c r="H1292" s="2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t="s">
        <v>153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>
        <v>7628</v>
      </c>
      <c r="B1294">
        <v>1973</v>
      </c>
      <c r="C1294" t="s">
        <v>46</v>
      </c>
      <c r="D1294" t="s">
        <v>34</v>
      </c>
      <c r="E1294">
        <v>43050</v>
      </c>
      <c r="F1294">
        <v>1</v>
      </c>
      <c r="G1294">
        <v>0</v>
      </c>
      <c r="H1294" t="s">
        <v>138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>
        <v>7128</v>
      </c>
      <c r="B1295">
        <v>1977</v>
      </c>
      <c r="C1295" t="s">
        <v>33</v>
      </c>
      <c r="D1295" t="s">
        <v>30</v>
      </c>
      <c r="E1295">
        <v>42997</v>
      </c>
      <c r="F1295">
        <v>1</v>
      </c>
      <c r="G1295">
        <v>1</v>
      </c>
      <c r="H1295" s="2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>
        <v>2811</v>
      </c>
      <c r="B1296">
        <v>1963</v>
      </c>
      <c r="C1296" t="s">
        <v>33</v>
      </c>
      <c r="D1296" t="s">
        <v>30</v>
      </c>
      <c r="E1296">
        <v>48918</v>
      </c>
      <c r="F1296">
        <v>1</v>
      </c>
      <c r="G1296">
        <v>1</v>
      </c>
      <c r="H1296" s="2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>
        <v>3551</v>
      </c>
      <c r="B1297">
        <v>1954</v>
      </c>
      <c r="C1297" t="s">
        <v>36</v>
      </c>
      <c r="D1297" t="s">
        <v>31</v>
      </c>
      <c r="E1297">
        <v>60033</v>
      </c>
      <c r="F1297">
        <v>0</v>
      </c>
      <c r="G1297">
        <v>1</v>
      </c>
      <c r="H1297" t="s">
        <v>263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>
        <v>1663</v>
      </c>
      <c r="B1298">
        <v>1978</v>
      </c>
      <c r="C1298" t="s">
        <v>33</v>
      </c>
      <c r="D1298" t="s">
        <v>31</v>
      </c>
      <c r="E1298">
        <v>34043</v>
      </c>
      <c r="F1298">
        <v>1</v>
      </c>
      <c r="G1298">
        <v>0</v>
      </c>
      <c r="H1298" t="s">
        <v>349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>
        <v>5543</v>
      </c>
      <c r="B1299">
        <v>1966</v>
      </c>
      <c r="C1299" t="s">
        <v>29</v>
      </c>
      <c r="D1299" t="s">
        <v>31</v>
      </c>
      <c r="E1299">
        <v>57811</v>
      </c>
      <c r="F1299">
        <v>0</v>
      </c>
      <c r="G1299">
        <v>1</v>
      </c>
      <c r="H1299" t="s">
        <v>385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>
        <v>1577</v>
      </c>
      <c r="B1300">
        <v>1946</v>
      </c>
      <c r="C1300" t="s">
        <v>29</v>
      </c>
      <c r="D1300" t="s">
        <v>34</v>
      </c>
      <c r="E1300">
        <v>78569</v>
      </c>
      <c r="F1300">
        <v>0</v>
      </c>
      <c r="G1300">
        <v>0</v>
      </c>
      <c r="H1300" t="s">
        <v>386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25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t="s">
        <v>387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>
        <v>5336</v>
      </c>
      <c r="B1302">
        <v>1971</v>
      </c>
      <c r="C1302" t="s">
        <v>36</v>
      </c>
      <c r="D1302" t="s">
        <v>31</v>
      </c>
      <c r="E1302">
        <v>157733</v>
      </c>
      <c r="F1302">
        <v>1</v>
      </c>
      <c r="G1302">
        <v>0</v>
      </c>
      <c r="H1302" s="2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>
        <v>6024</v>
      </c>
      <c r="B1303">
        <v>1953</v>
      </c>
      <c r="C1303" t="s">
        <v>29</v>
      </c>
      <c r="D1303" t="s">
        <v>31</v>
      </c>
      <c r="E1303">
        <v>94384</v>
      </c>
      <c r="F1303">
        <v>0</v>
      </c>
      <c r="G1303">
        <v>0</v>
      </c>
      <c r="H1303" s="2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25">
      <c r="A1304">
        <v>1878</v>
      </c>
      <c r="B1304">
        <v>1985</v>
      </c>
      <c r="C1304" t="s">
        <v>46</v>
      </c>
      <c r="D1304" t="s">
        <v>34</v>
      </c>
      <c r="E1304">
        <v>23148</v>
      </c>
      <c r="F1304">
        <v>0</v>
      </c>
      <c r="G1304">
        <v>0</v>
      </c>
      <c r="H1304" t="s">
        <v>350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>
        <v>3099</v>
      </c>
      <c r="B1305">
        <v>1970</v>
      </c>
      <c r="C1305" t="s">
        <v>29</v>
      </c>
      <c r="D1305" t="s">
        <v>37</v>
      </c>
      <c r="E1305">
        <v>44267</v>
      </c>
      <c r="F1305">
        <v>1</v>
      </c>
      <c r="G1305">
        <v>1</v>
      </c>
      <c r="H1305" t="s">
        <v>365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>
        <v>6055</v>
      </c>
      <c r="B1306">
        <v>1979</v>
      </c>
      <c r="C1306" t="s">
        <v>29</v>
      </c>
      <c r="D1306" t="s">
        <v>34</v>
      </c>
      <c r="E1306">
        <v>71626</v>
      </c>
      <c r="F1306">
        <v>0</v>
      </c>
      <c r="G1306">
        <v>0</v>
      </c>
      <c r="H1306" s="2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>
        <v>5841</v>
      </c>
      <c r="B1307">
        <v>1966</v>
      </c>
      <c r="C1307" t="s">
        <v>29</v>
      </c>
      <c r="D1307" t="s">
        <v>31</v>
      </c>
      <c r="E1307">
        <v>60894</v>
      </c>
      <c r="F1307">
        <v>0</v>
      </c>
      <c r="G1307">
        <v>1</v>
      </c>
      <c r="H1307" t="s">
        <v>377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>
        <v>3972</v>
      </c>
      <c r="B1308">
        <v>1976</v>
      </c>
      <c r="C1308" t="s">
        <v>29</v>
      </c>
      <c r="D1308" t="s">
        <v>31</v>
      </c>
      <c r="E1308">
        <v>50200</v>
      </c>
      <c r="F1308">
        <v>1</v>
      </c>
      <c r="G1308">
        <v>1</v>
      </c>
      <c r="H1308" s="2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5">
      <c r="A1309">
        <v>4394</v>
      </c>
      <c r="B1309">
        <v>1965</v>
      </c>
      <c r="C1309" t="s">
        <v>33</v>
      </c>
      <c r="D1309" t="s">
        <v>34</v>
      </c>
      <c r="E1309">
        <v>81051</v>
      </c>
      <c r="F1309">
        <v>0</v>
      </c>
      <c r="G1309">
        <v>0</v>
      </c>
      <c r="H1309" t="s">
        <v>120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>
        <v>5758</v>
      </c>
      <c r="B1310">
        <v>1982</v>
      </c>
      <c r="C1310" t="s">
        <v>29</v>
      </c>
      <c r="D1310" t="s">
        <v>34</v>
      </c>
      <c r="E1310">
        <v>65169</v>
      </c>
      <c r="F1310">
        <v>0</v>
      </c>
      <c r="G1310">
        <v>0</v>
      </c>
      <c r="H1310" t="s">
        <v>336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25">
      <c r="A1311">
        <v>6658</v>
      </c>
      <c r="B1311">
        <v>1972</v>
      </c>
      <c r="C1311" t="s">
        <v>29</v>
      </c>
      <c r="D1311" t="s">
        <v>31</v>
      </c>
      <c r="E1311">
        <v>59868</v>
      </c>
      <c r="F1311">
        <v>0</v>
      </c>
      <c r="G1311">
        <v>1</v>
      </c>
      <c r="H1311" t="s">
        <v>388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>
        <v>4603</v>
      </c>
      <c r="B1312">
        <v>1960</v>
      </c>
      <c r="C1312" t="s">
        <v>33</v>
      </c>
      <c r="D1312" t="s">
        <v>34</v>
      </c>
      <c r="E1312">
        <v>65695</v>
      </c>
      <c r="F1312">
        <v>0</v>
      </c>
      <c r="G1312">
        <v>1</v>
      </c>
      <c r="H1312" t="s">
        <v>389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>
        <v>8427</v>
      </c>
      <c r="B1313">
        <v>1956</v>
      </c>
      <c r="C1313" t="s">
        <v>36</v>
      </c>
      <c r="D1313" t="s">
        <v>30</v>
      </c>
      <c r="E1313">
        <v>64857</v>
      </c>
      <c r="F1313">
        <v>0</v>
      </c>
      <c r="G1313">
        <v>0</v>
      </c>
      <c r="H1313" t="s">
        <v>165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>
        <v>10260</v>
      </c>
      <c r="B1314">
        <v>1965</v>
      </c>
      <c r="C1314" t="s">
        <v>36</v>
      </c>
      <c r="D1314" t="s">
        <v>31</v>
      </c>
      <c r="E1314">
        <v>45143</v>
      </c>
      <c r="F1314">
        <v>0</v>
      </c>
      <c r="G1314">
        <v>1</v>
      </c>
      <c r="H1314" t="s">
        <v>390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>
        <v>7143</v>
      </c>
      <c r="B1315">
        <v>1955</v>
      </c>
      <c r="C1315" t="s">
        <v>46</v>
      </c>
      <c r="D1315" t="s">
        <v>31</v>
      </c>
      <c r="E1315">
        <v>74805</v>
      </c>
      <c r="F1315">
        <v>0</v>
      </c>
      <c r="G1315">
        <v>1</v>
      </c>
      <c r="H1315" s="2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>
        <v>8789</v>
      </c>
      <c r="B1316">
        <v>1989</v>
      </c>
      <c r="C1316" t="s">
        <v>46</v>
      </c>
      <c r="D1316" t="s">
        <v>34</v>
      </c>
      <c r="E1316">
        <v>59060</v>
      </c>
      <c r="F1316">
        <v>1</v>
      </c>
      <c r="G1316">
        <v>0</v>
      </c>
      <c r="H1316" s="2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5">
      <c r="A1317">
        <v>6197</v>
      </c>
      <c r="B1317">
        <v>1962</v>
      </c>
      <c r="C1317" t="s">
        <v>33</v>
      </c>
      <c r="D1317" t="s">
        <v>30</v>
      </c>
      <c r="E1317">
        <v>27238</v>
      </c>
      <c r="F1317">
        <v>1</v>
      </c>
      <c r="G1317">
        <v>1</v>
      </c>
      <c r="H1317" t="s">
        <v>87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>
        <v>4554</v>
      </c>
      <c r="B1318">
        <v>1965</v>
      </c>
      <c r="C1318" t="s">
        <v>29</v>
      </c>
      <c r="D1318" t="s">
        <v>31</v>
      </c>
      <c r="E1318">
        <v>47009</v>
      </c>
      <c r="F1318">
        <v>0</v>
      </c>
      <c r="G1318">
        <v>1</v>
      </c>
      <c r="H1318" s="2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>
        <v>4937</v>
      </c>
      <c r="B1319">
        <v>1973</v>
      </c>
      <c r="C1319" t="s">
        <v>46</v>
      </c>
      <c r="D1319" t="s">
        <v>34</v>
      </c>
      <c r="E1319">
        <v>46094</v>
      </c>
      <c r="F1319">
        <v>1</v>
      </c>
      <c r="G1319">
        <v>1</v>
      </c>
      <c r="H1319" s="2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>
        <v>1920</v>
      </c>
      <c r="B1320">
        <v>1972</v>
      </c>
      <c r="C1320" t="s">
        <v>29</v>
      </c>
      <c r="D1320" t="s">
        <v>34</v>
      </c>
      <c r="E1320">
        <v>40321</v>
      </c>
      <c r="F1320">
        <v>1</v>
      </c>
      <c r="G1320">
        <v>1</v>
      </c>
      <c r="H1320" t="s">
        <v>185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>
        <v>8749</v>
      </c>
      <c r="B1321">
        <v>1984</v>
      </c>
      <c r="C1321" t="s">
        <v>29</v>
      </c>
      <c r="D1321" t="s">
        <v>31</v>
      </c>
      <c r="E1321">
        <v>37235</v>
      </c>
      <c r="F1321">
        <v>1</v>
      </c>
      <c r="G1321">
        <v>0</v>
      </c>
      <c r="H1321" s="2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>
        <v>1650</v>
      </c>
      <c r="B1322">
        <v>1960</v>
      </c>
      <c r="C1322" t="s">
        <v>36</v>
      </c>
      <c r="D1322" t="s">
        <v>34</v>
      </c>
      <c r="E1322">
        <v>81843</v>
      </c>
      <c r="F1322">
        <v>0</v>
      </c>
      <c r="G1322">
        <v>0</v>
      </c>
      <c r="H1322" t="s">
        <v>95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>
        <v>10377</v>
      </c>
      <c r="B1323">
        <v>1958</v>
      </c>
      <c r="C1323" t="s">
        <v>36</v>
      </c>
      <c r="D1323" t="s">
        <v>31</v>
      </c>
      <c r="E1323">
        <v>46692</v>
      </c>
      <c r="F1323">
        <v>0</v>
      </c>
      <c r="G1323">
        <v>1</v>
      </c>
      <c r="H1323" s="2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>
        <v>9206</v>
      </c>
      <c r="B1324">
        <v>1968</v>
      </c>
      <c r="C1324" t="s">
        <v>29</v>
      </c>
      <c r="D1324" t="s">
        <v>31</v>
      </c>
      <c r="E1324">
        <v>77382</v>
      </c>
      <c r="F1324">
        <v>0</v>
      </c>
      <c r="G1324">
        <v>1</v>
      </c>
      <c r="H1324" s="2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s="2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25">
      <c r="A1326">
        <v>6398</v>
      </c>
      <c r="B1326">
        <v>1974</v>
      </c>
      <c r="C1326" t="s">
        <v>41</v>
      </c>
      <c r="D1326" t="s">
        <v>34</v>
      </c>
      <c r="E1326">
        <v>18393</v>
      </c>
      <c r="F1326">
        <v>1</v>
      </c>
      <c r="G1326">
        <v>0</v>
      </c>
      <c r="H1326" t="s">
        <v>263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>
        <v>9212</v>
      </c>
      <c r="B1327">
        <v>1962</v>
      </c>
      <c r="C1327" t="s">
        <v>36</v>
      </c>
      <c r="D1327" t="s">
        <v>34</v>
      </c>
      <c r="E1327">
        <v>72828</v>
      </c>
      <c r="F1327">
        <v>0</v>
      </c>
      <c r="G1327">
        <v>1</v>
      </c>
      <c r="H1327" t="s">
        <v>326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>
        <v>7937</v>
      </c>
      <c r="B1328">
        <v>1982</v>
      </c>
      <c r="C1328" t="s">
        <v>29</v>
      </c>
      <c r="D1328" t="s">
        <v>34</v>
      </c>
      <c r="E1328">
        <v>24711</v>
      </c>
      <c r="F1328">
        <v>0</v>
      </c>
      <c r="G1328">
        <v>0</v>
      </c>
      <c r="H1328" t="s">
        <v>269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>
        <v>839</v>
      </c>
      <c r="B1329">
        <v>1975</v>
      </c>
      <c r="C1329" t="s">
        <v>33</v>
      </c>
      <c r="D1329" t="s">
        <v>34</v>
      </c>
      <c r="E1329">
        <v>45503</v>
      </c>
      <c r="F1329">
        <v>1</v>
      </c>
      <c r="G1329">
        <v>0</v>
      </c>
      <c r="H1329" t="s">
        <v>293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>
        <v>4246</v>
      </c>
      <c r="B1330">
        <v>1982</v>
      </c>
      <c r="C1330" t="s">
        <v>36</v>
      </c>
      <c r="D1330" t="s">
        <v>30</v>
      </c>
      <c r="E1330">
        <v>6560</v>
      </c>
      <c r="F1330">
        <v>0</v>
      </c>
      <c r="G1330">
        <v>0</v>
      </c>
      <c r="H1330" s="2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>
        <v>158</v>
      </c>
      <c r="B1331">
        <v>1945</v>
      </c>
      <c r="C1331" t="s">
        <v>33</v>
      </c>
      <c r="D1331" t="s">
        <v>31</v>
      </c>
      <c r="E1331">
        <v>71604</v>
      </c>
      <c r="F1331">
        <v>0</v>
      </c>
      <c r="G1331">
        <v>0</v>
      </c>
      <c r="H1331" t="s">
        <v>341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25">
      <c r="A1332">
        <v>4832</v>
      </c>
      <c r="B1332">
        <v>1979</v>
      </c>
      <c r="C1332" t="s">
        <v>29</v>
      </c>
      <c r="D1332" t="s">
        <v>34</v>
      </c>
      <c r="E1332">
        <v>27244</v>
      </c>
      <c r="F1332">
        <v>1</v>
      </c>
      <c r="G1332">
        <v>0</v>
      </c>
      <c r="H1332" s="2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>
        <v>5621</v>
      </c>
      <c r="B1333">
        <v>1969</v>
      </c>
      <c r="C1333" t="s">
        <v>29</v>
      </c>
      <c r="D1333" t="s">
        <v>34</v>
      </c>
      <c r="E1333">
        <v>48752</v>
      </c>
      <c r="F1333">
        <v>1</v>
      </c>
      <c r="G1333">
        <v>1</v>
      </c>
      <c r="H1333" s="2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25">
      <c r="A1334">
        <v>1945</v>
      </c>
      <c r="B1334">
        <v>1962</v>
      </c>
      <c r="C1334" t="s">
        <v>29</v>
      </c>
      <c r="D1334" t="s">
        <v>34</v>
      </c>
      <c r="E1334">
        <v>71434</v>
      </c>
      <c r="F1334">
        <v>0</v>
      </c>
      <c r="G1334">
        <v>1</v>
      </c>
      <c r="H1334" t="s">
        <v>257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t="s">
        <v>185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>
        <v>2535</v>
      </c>
      <c r="B1336">
        <v>1978</v>
      </c>
      <c r="C1336" t="s">
        <v>36</v>
      </c>
      <c r="D1336" t="s">
        <v>34</v>
      </c>
      <c r="E1336">
        <v>88097</v>
      </c>
      <c r="F1336">
        <v>1</v>
      </c>
      <c r="G1336">
        <v>0</v>
      </c>
      <c r="H1336" t="s">
        <v>205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25">
      <c r="A1337">
        <v>11039</v>
      </c>
      <c r="B1337">
        <v>1975</v>
      </c>
      <c r="C1337" t="s">
        <v>29</v>
      </c>
      <c r="D1337" t="s">
        <v>34</v>
      </c>
      <c r="E1337">
        <v>51948</v>
      </c>
      <c r="F1337">
        <v>0</v>
      </c>
      <c r="G1337">
        <v>1</v>
      </c>
      <c r="H1337" t="s">
        <v>275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>
        <v>9495</v>
      </c>
      <c r="B1338">
        <v>1982</v>
      </c>
      <c r="C1338" t="s">
        <v>29</v>
      </c>
      <c r="D1338" t="s">
        <v>31</v>
      </c>
      <c r="E1338">
        <v>71853</v>
      </c>
      <c r="F1338">
        <v>0</v>
      </c>
      <c r="G1338">
        <v>0</v>
      </c>
      <c r="H1338" s="2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>
        <v>9635</v>
      </c>
      <c r="B1339">
        <v>1983</v>
      </c>
      <c r="C1339" t="s">
        <v>36</v>
      </c>
      <c r="D1339" t="s">
        <v>34</v>
      </c>
      <c r="E1339">
        <v>35876</v>
      </c>
      <c r="F1339">
        <v>0</v>
      </c>
      <c r="G1339">
        <v>0</v>
      </c>
      <c r="H1339" t="s">
        <v>376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>
        <v>2173</v>
      </c>
      <c r="B1340">
        <v>1952</v>
      </c>
      <c r="C1340" t="s">
        <v>29</v>
      </c>
      <c r="D1340" t="s">
        <v>57</v>
      </c>
      <c r="E1340">
        <v>40049</v>
      </c>
      <c r="F1340">
        <v>0</v>
      </c>
      <c r="G1340">
        <v>1</v>
      </c>
      <c r="H1340" t="s">
        <v>208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s="2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25">
      <c r="A1342">
        <v>9386</v>
      </c>
      <c r="B1342">
        <v>1962</v>
      </c>
      <c r="C1342" t="s">
        <v>29</v>
      </c>
      <c r="D1342" t="s">
        <v>31</v>
      </c>
      <c r="E1342">
        <v>50127</v>
      </c>
      <c r="F1342">
        <v>0</v>
      </c>
      <c r="G1342">
        <v>1</v>
      </c>
      <c r="H1342" t="s">
        <v>319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>
        <v>5510</v>
      </c>
      <c r="B1343">
        <v>1977</v>
      </c>
      <c r="C1343" t="s">
        <v>36</v>
      </c>
      <c r="D1343" t="s">
        <v>34</v>
      </c>
      <c r="E1343">
        <v>43263</v>
      </c>
      <c r="F1343">
        <v>0</v>
      </c>
      <c r="G1343">
        <v>1</v>
      </c>
      <c r="H1343" t="s">
        <v>382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>
        <v>873</v>
      </c>
      <c r="B1344">
        <v>1949</v>
      </c>
      <c r="C1344" t="s">
        <v>36</v>
      </c>
      <c r="D1344" t="s">
        <v>34</v>
      </c>
      <c r="E1344">
        <v>62845</v>
      </c>
      <c r="F1344">
        <v>1</v>
      </c>
      <c r="G1344">
        <v>1</v>
      </c>
      <c r="H1344" s="2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25">
      <c r="A1345">
        <v>2253</v>
      </c>
      <c r="B1345">
        <v>1990</v>
      </c>
      <c r="C1345" t="s">
        <v>29</v>
      </c>
      <c r="D1345" t="s">
        <v>34</v>
      </c>
      <c r="E1345">
        <v>18929</v>
      </c>
      <c r="F1345">
        <v>0</v>
      </c>
      <c r="G1345">
        <v>0</v>
      </c>
      <c r="H1345" t="s">
        <v>229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>
        <v>5181</v>
      </c>
      <c r="B1346">
        <v>1982</v>
      </c>
      <c r="C1346" t="s">
        <v>41</v>
      </c>
      <c r="D1346" t="s">
        <v>30</v>
      </c>
      <c r="E1346">
        <v>24367</v>
      </c>
      <c r="F1346">
        <v>1</v>
      </c>
      <c r="G1346">
        <v>0</v>
      </c>
      <c r="H1346" t="s">
        <v>146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t="s">
        <v>50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>
        <v>10390</v>
      </c>
      <c r="B1348">
        <v>1959</v>
      </c>
      <c r="C1348" t="s">
        <v>46</v>
      </c>
      <c r="D1348" t="s">
        <v>34</v>
      </c>
      <c r="E1348">
        <v>26887</v>
      </c>
      <c r="F1348">
        <v>0</v>
      </c>
      <c r="G1348">
        <v>1</v>
      </c>
      <c r="H1348" s="2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>
        <v>4698</v>
      </c>
      <c r="B1349">
        <v>1983</v>
      </c>
      <c r="C1349" t="s">
        <v>33</v>
      </c>
      <c r="D1349" t="s">
        <v>34</v>
      </c>
      <c r="E1349">
        <v>50150</v>
      </c>
      <c r="F1349">
        <v>0</v>
      </c>
      <c r="G1349">
        <v>0</v>
      </c>
      <c r="H1349" t="s">
        <v>84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>
        <v>7793</v>
      </c>
      <c r="B1350">
        <v>1976</v>
      </c>
      <c r="C1350" t="s">
        <v>29</v>
      </c>
      <c r="D1350" t="s">
        <v>31</v>
      </c>
      <c r="E1350">
        <v>62061</v>
      </c>
      <c r="F1350">
        <v>0</v>
      </c>
      <c r="G1350">
        <v>1</v>
      </c>
      <c r="H1350" t="s">
        <v>140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>
        <v>1745</v>
      </c>
      <c r="B1351">
        <v>1962</v>
      </c>
      <c r="C1351" t="s">
        <v>33</v>
      </c>
      <c r="D1351" t="s">
        <v>37</v>
      </c>
      <c r="E1351">
        <v>85696</v>
      </c>
      <c r="F1351">
        <v>0</v>
      </c>
      <c r="G1351">
        <v>0</v>
      </c>
      <c r="H1351" s="2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25">
      <c r="A1352">
        <v>10590</v>
      </c>
      <c r="B1352">
        <v>1956</v>
      </c>
      <c r="C1352" t="s">
        <v>33</v>
      </c>
      <c r="D1352" t="s">
        <v>31</v>
      </c>
      <c r="E1352">
        <v>76542</v>
      </c>
      <c r="F1352">
        <v>0</v>
      </c>
      <c r="G1352">
        <v>0</v>
      </c>
      <c r="H1352" t="s">
        <v>216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t="s">
        <v>290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25">
      <c r="A1354">
        <v>8369</v>
      </c>
      <c r="B1354">
        <v>1987</v>
      </c>
      <c r="C1354" t="s">
        <v>29</v>
      </c>
      <c r="D1354" t="s">
        <v>31</v>
      </c>
      <c r="E1354">
        <v>18227</v>
      </c>
      <c r="F1354">
        <v>1</v>
      </c>
      <c r="G1354">
        <v>0</v>
      </c>
      <c r="H1354" s="2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>
        <v>5232</v>
      </c>
      <c r="B1355">
        <v>1965</v>
      </c>
      <c r="C1355" t="s">
        <v>29</v>
      </c>
      <c r="D1355" t="s">
        <v>34</v>
      </c>
      <c r="E1355">
        <v>69139</v>
      </c>
      <c r="F1355">
        <v>0</v>
      </c>
      <c r="G1355">
        <v>1</v>
      </c>
      <c r="H1355" t="s">
        <v>253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>
        <v>2407</v>
      </c>
      <c r="B1356">
        <v>1982</v>
      </c>
      <c r="C1356" t="s">
        <v>29</v>
      </c>
      <c r="D1356" t="s">
        <v>34</v>
      </c>
      <c r="E1356">
        <v>69109</v>
      </c>
      <c r="F1356">
        <v>0</v>
      </c>
      <c r="G1356">
        <v>0</v>
      </c>
      <c r="H1356" s="2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25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t="s">
        <v>69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>
        <v>7912</v>
      </c>
      <c r="B1358">
        <v>1978</v>
      </c>
      <c r="C1358" t="s">
        <v>29</v>
      </c>
      <c r="D1358" t="s">
        <v>34</v>
      </c>
      <c r="E1358">
        <v>38136</v>
      </c>
      <c r="F1358">
        <v>1</v>
      </c>
      <c r="G1358">
        <v>0</v>
      </c>
      <c r="H1358" t="s">
        <v>95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>
        <v>7712</v>
      </c>
      <c r="B1359">
        <v>1946</v>
      </c>
      <c r="C1359" t="s">
        <v>33</v>
      </c>
      <c r="D1359" t="s">
        <v>30</v>
      </c>
      <c r="E1359">
        <v>62159</v>
      </c>
      <c r="F1359">
        <v>0</v>
      </c>
      <c r="G1359">
        <v>0</v>
      </c>
      <c r="H1359" t="s">
        <v>62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5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t="s">
        <v>128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>
        <v>7275</v>
      </c>
      <c r="B1361">
        <v>1971</v>
      </c>
      <c r="C1361" t="s">
        <v>36</v>
      </c>
      <c r="D1361" t="s">
        <v>30</v>
      </c>
      <c r="E1361">
        <v>33316</v>
      </c>
      <c r="F1361">
        <v>1</v>
      </c>
      <c r="G1361">
        <v>1</v>
      </c>
      <c r="H1361" s="2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>
        <v>1343</v>
      </c>
      <c r="B1362">
        <v>1968</v>
      </c>
      <c r="C1362" t="s">
        <v>29</v>
      </c>
      <c r="D1362" t="s">
        <v>31</v>
      </c>
      <c r="E1362">
        <v>58554</v>
      </c>
      <c r="F1362">
        <v>1</v>
      </c>
      <c r="G1362">
        <v>1</v>
      </c>
      <c r="H1362" t="s">
        <v>391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>
        <v>1384</v>
      </c>
      <c r="B1363">
        <v>1992</v>
      </c>
      <c r="C1363" t="s">
        <v>41</v>
      </c>
      <c r="D1363" t="s">
        <v>34</v>
      </c>
      <c r="E1363">
        <v>17256</v>
      </c>
      <c r="F1363">
        <v>1</v>
      </c>
      <c r="G1363">
        <v>0</v>
      </c>
      <c r="H1363" t="s">
        <v>80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>
        <v>9967</v>
      </c>
      <c r="B1364">
        <v>1974</v>
      </c>
      <c r="C1364" t="s">
        <v>29</v>
      </c>
      <c r="D1364" t="s">
        <v>37</v>
      </c>
      <c r="E1364">
        <v>53034</v>
      </c>
      <c r="F1364">
        <v>1</v>
      </c>
      <c r="G1364">
        <v>1</v>
      </c>
      <c r="H1364" t="s">
        <v>127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>
        <v>6181</v>
      </c>
      <c r="B1365">
        <v>1950</v>
      </c>
      <c r="C1365" t="s">
        <v>46</v>
      </c>
      <c r="D1365" t="s">
        <v>31</v>
      </c>
      <c r="E1365">
        <v>52203</v>
      </c>
      <c r="F1365">
        <v>0</v>
      </c>
      <c r="G1365">
        <v>0</v>
      </c>
      <c r="H1365" t="s">
        <v>392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>
        <v>10507</v>
      </c>
      <c r="B1366">
        <v>1977</v>
      </c>
      <c r="C1366" t="s">
        <v>46</v>
      </c>
      <c r="D1366" t="s">
        <v>37</v>
      </c>
      <c r="E1366">
        <v>59601</v>
      </c>
      <c r="F1366">
        <v>0</v>
      </c>
      <c r="G1366">
        <v>1</v>
      </c>
      <c r="H1366" t="s">
        <v>297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>
        <v>2674</v>
      </c>
      <c r="B1367">
        <v>1958</v>
      </c>
      <c r="C1367" t="s">
        <v>36</v>
      </c>
      <c r="D1367" t="s">
        <v>30</v>
      </c>
      <c r="E1367">
        <v>75154</v>
      </c>
      <c r="F1367">
        <v>0</v>
      </c>
      <c r="G1367">
        <v>1</v>
      </c>
      <c r="H1367" s="2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25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s="2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>
        <v>3231</v>
      </c>
      <c r="B1369">
        <v>1973</v>
      </c>
      <c r="C1369" t="s">
        <v>29</v>
      </c>
      <c r="D1369" t="s">
        <v>34</v>
      </c>
      <c r="E1369">
        <v>37971</v>
      </c>
      <c r="F1369">
        <v>1</v>
      </c>
      <c r="G1369">
        <v>0</v>
      </c>
      <c r="H1369" t="s">
        <v>223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>
        <v>4096</v>
      </c>
      <c r="B1370">
        <v>1968</v>
      </c>
      <c r="C1370" t="s">
        <v>36</v>
      </c>
      <c r="D1370" t="s">
        <v>37</v>
      </c>
      <c r="E1370">
        <v>41335</v>
      </c>
      <c r="F1370">
        <v>1</v>
      </c>
      <c r="G1370">
        <v>0</v>
      </c>
      <c r="H1370" t="s">
        <v>150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>
        <v>10476</v>
      </c>
      <c r="B1371">
        <v>1958</v>
      </c>
      <c r="C1371" t="s">
        <v>29</v>
      </c>
      <c r="D1371" t="s">
        <v>34</v>
      </c>
      <c r="E1371">
        <v>67267</v>
      </c>
      <c r="F1371">
        <v>0</v>
      </c>
      <c r="G1371">
        <v>1</v>
      </c>
      <c r="H1371" t="s">
        <v>129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5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t="s">
        <v>304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>
        <v>9140</v>
      </c>
      <c r="B1373">
        <v>1960</v>
      </c>
      <c r="C1373" t="s">
        <v>46</v>
      </c>
      <c r="D1373" t="s">
        <v>31</v>
      </c>
      <c r="E1373">
        <v>50523</v>
      </c>
      <c r="F1373">
        <v>1</v>
      </c>
      <c r="G1373">
        <v>1</v>
      </c>
      <c r="H1373" t="s">
        <v>291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>
        <v>10258</v>
      </c>
      <c r="B1374">
        <v>1965</v>
      </c>
      <c r="C1374" t="s">
        <v>36</v>
      </c>
      <c r="D1374" t="s">
        <v>30</v>
      </c>
      <c r="E1374">
        <v>35791</v>
      </c>
      <c r="F1374">
        <v>2</v>
      </c>
      <c r="G1374">
        <v>1</v>
      </c>
      <c r="H1374" s="2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>
        <v>5675</v>
      </c>
      <c r="B1375">
        <v>1960</v>
      </c>
      <c r="C1375" t="s">
        <v>33</v>
      </c>
      <c r="D1375" t="s">
        <v>37</v>
      </c>
      <c r="E1375">
        <v>50611</v>
      </c>
      <c r="F1375">
        <v>0</v>
      </c>
      <c r="G1375">
        <v>1</v>
      </c>
      <c r="H1375" s="2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>
        <v>4743</v>
      </c>
      <c r="B1376">
        <v>1969</v>
      </c>
      <c r="C1376" t="s">
        <v>33</v>
      </c>
      <c r="D1376" t="s">
        <v>34</v>
      </c>
      <c r="E1376">
        <v>56242</v>
      </c>
      <c r="F1376">
        <v>0</v>
      </c>
      <c r="G1376">
        <v>1</v>
      </c>
      <c r="H1376" s="2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5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s="2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5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t="s">
        <v>240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>
        <v>6770</v>
      </c>
      <c r="B1379">
        <v>1985</v>
      </c>
      <c r="C1379" t="s">
        <v>29</v>
      </c>
      <c r="D1379" t="s">
        <v>34</v>
      </c>
      <c r="E1379">
        <v>21355</v>
      </c>
      <c r="F1379">
        <v>1</v>
      </c>
      <c r="G1379">
        <v>0</v>
      </c>
      <c r="H1379" t="s">
        <v>113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25">
      <c r="A1380">
        <v>8773</v>
      </c>
      <c r="B1380">
        <v>1971</v>
      </c>
      <c r="C1380" t="s">
        <v>36</v>
      </c>
      <c r="D1380" t="s">
        <v>31</v>
      </c>
      <c r="E1380">
        <v>57420</v>
      </c>
      <c r="F1380">
        <v>0</v>
      </c>
      <c r="G1380">
        <v>1</v>
      </c>
      <c r="H1380" t="s">
        <v>265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5">
      <c r="A1381">
        <v>10475</v>
      </c>
      <c r="B1381">
        <v>1970</v>
      </c>
      <c r="C1381" t="s">
        <v>36</v>
      </c>
      <c r="D1381" t="s">
        <v>31</v>
      </c>
      <c r="F1381">
        <v>0</v>
      </c>
      <c r="G1381">
        <v>1</v>
      </c>
      <c r="H1381" s="2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25">
      <c r="A1382">
        <v>10420</v>
      </c>
      <c r="B1382">
        <v>1955</v>
      </c>
      <c r="C1382" t="s">
        <v>36</v>
      </c>
      <c r="D1382" t="s">
        <v>37</v>
      </c>
      <c r="E1382">
        <v>46390</v>
      </c>
      <c r="F1382">
        <v>0</v>
      </c>
      <c r="G1382">
        <v>1</v>
      </c>
      <c r="H1382" s="2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5">
      <c r="A1383">
        <v>7514</v>
      </c>
      <c r="B1383">
        <v>1956</v>
      </c>
      <c r="C1383" t="s">
        <v>46</v>
      </c>
      <c r="D1383" t="s">
        <v>31</v>
      </c>
      <c r="E1383">
        <v>54342</v>
      </c>
      <c r="F1383">
        <v>1</v>
      </c>
      <c r="G1383">
        <v>1</v>
      </c>
      <c r="H1383" s="2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5">
      <c r="A1384">
        <v>2902</v>
      </c>
      <c r="B1384">
        <v>1958</v>
      </c>
      <c r="C1384" t="s">
        <v>29</v>
      </c>
      <c r="D1384" t="s">
        <v>31</v>
      </c>
      <c r="F1384">
        <v>1</v>
      </c>
      <c r="G1384">
        <v>1</v>
      </c>
      <c r="H1384" s="2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>
        <v>4345</v>
      </c>
      <c r="B1385">
        <v>1964</v>
      </c>
      <c r="C1385" t="s">
        <v>46</v>
      </c>
      <c r="D1385" t="s">
        <v>30</v>
      </c>
      <c r="F1385">
        <v>1</v>
      </c>
      <c r="G1385">
        <v>1</v>
      </c>
      <c r="H1385" s="2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>
        <v>793</v>
      </c>
      <c r="B1386">
        <v>1973</v>
      </c>
      <c r="C1386" t="s">
        <v>29</v>
      </c>
      <c r="D1386" t="s">
        <v>34</v>
      </c>
      <c r="E1386">
        <v>20895</v>
      </c>
      <c r="F1386">
        <v>1</v>
      </c>
      <c r="G1386">
        <v>0</v>
      </c>
      <c r="H1386" s="2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5">
      <c r="A1387">
        <v>10909</v>
      </c>
      <c r="B1387">
        <v>1948</v>
      </c>
      <c r="C1387" t="s">
        <v>29</v>
      </c>
      <c r="D1387" t="s">
        <v>34</v>
      </c>
      <c r="E1387">
        <v>92344</v>
      </c>
      <c r="F1387">
        <v>0</v>
      </c>
      <c r="G1387">
        <v>0</v>
      </c>
      <c r="H1387" t="s">
        <v>176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25">
      <c r="A1388">
        <v>3769</v>
      </c>
      <c r="B1388">
        <v>1972</v>
      </c>
      <c r="C1388" t="s">
        <v>33</v>
      </c>
      <c r="D1388" t="s">
        <v>31</v>
      </c>
      <c r="F1388">
        <v>1</v>
      </c>
      <c r="G1388">
        <v>0</v>
      </c>
      <c r="H1388" s="2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>
        <v>8702</v>
      </c>
      <c r="B1389">
        <v>1976</v>
      </c>
      <c r="C1389" t="s">
        <v>46</v>
      </c>
      <c r="D1389" t="s">
        <v>31</v>
      </c>
      <c r="E1389">
        <v>26907</v>
      </c>
      <c r="F1389">
        <v>1</v>
      </c>
      <c r="G1389">
        <v>1</v>
      </c>
      <c r="H1389" t="s">
        <v>113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>
        <v>4791</v>
      </c>
      <c r="B1390">
        <v>1980</v>
      </c>
      <c r="C1390" t="s">
        <v>29</v>
      </c>
      <c r="D1390" t="s">
        <v>31</v>
      </c>
      <c r="E1390">
        <v>44964</v>
      </c>
      <c r="F1390">
        <v>1</v>
      </c>
      <c r="G1390">
        <v>1</v>
      </c>
      <c r="H1390" t="s">
        <v>119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>
        <v>2963</v>
      </c>
      <c r="B1391">
        <v>1979</v>
      </c>
      <c r="C1391" t="s">
        <v>29</v>
      </c>
      <c r="D1391" t="s">
        <v>31</v>
      </c>
      <c r="E1391">
        <v>75507</v>
      </c>
      <c r="F1391">
        <v>0</v>
      </c>
      <c r="G1391">
        <v>0</v>
      </c>
      <c r="H1391" s="2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>
        <v>8216</v>
      </c>
      <c r="B1392">
        <v>1972</v>
      </c>
      <c r="C1392" t="s">
        <v>36</v>
      </c>
      <c r="D1392" t="s">
        <v>34</v>
      </c>
      <c r="E1392">
        <v>53761</v>
      </c>
      <c r="F1392">
        <v>1</v>
      </c>
      <c r="G1392">
        <v>1</v>
      </c>
      <c r="H1392" s="2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>
        <v>8140</v>
      </c>
      <c r="B1393">
        <v>1973</v>
      </c>
      <c r="C1393" t="s">
        <v>29</v>
      </c>
      <c r="D1393" t="s">
        <v>31</v>
      </c>
      <c r="E1393">
        <v>22682</v>
      </c>
      <c r="F1393">
        <v>1</v>
      </c>
      <c r="G1393">
        <v>0</v>
      </c>
      <c r="H1393" s="2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>
        <v>10146</v>
      </c>
      <c r="B1394">
        <v>1972</v>
      </c>
      <c r="C1394" t="s">
        <v>33</v>
      </c>
      <c r="D1394" t="s">
        <v>31</v>
      </c>
      <c r="E1394">
        <v>38887</v>
      </c>
      <c r="F1394">
        <v>1</v>
      </c>
      <c r="G1394">
        <v>0</v>
      </c>
      <c r="H1394" s="2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>
        <v>5289</v>
      </c>
      <c r="B1395">
        <v>1975</v>
      </c>
      <c r="C1395" t="s">
        <v>46</v>
      </c>
      <c r="D1395" t="s">
        <v>30</v>
      </c>
      <c r="E1395">
        <v>41658</v>
      </c>
      <c r="F1395">
        <v>1</v>
      </c>
      <c r="G1395">
        <v>1</v>
      </c>
      <c r="H1395" s="2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>
        <v>2587</v>
      </c>
      <c r="B1396">
        <v>1972</v>
      </c>
      <c r="C1396" t="s">
        <v>33</v>
      </c>
      <c r="D1396" t="s">
        <v>34</v>
      </c>
      <c r="E1396">
        <v>29791</v>
      </c>
      <c r="F1396">
        <v>1</v>
      </c>
      <c r="G1396">
        <v>0</v>
      </c>
      <c r="H1396" t="s">
        <v>393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>
        <v>4405</v>
      </c>
      <c r="B1397">
        <v>1956</v>
      </c>
      <c r="C1397" t="s">
        <v>36</v>
      </c>
      <c r="D1397" t="s">
        <v>34</v>
      </c>
      <c r="E1397">
        <v>63915</v>
      </c>
      <c r="F1397">
        <v>0</v>
      </c>
      <c r="G1397">
        <v>2</v>
      </c>
      <c r="H1397" t="s">
        <v>357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5">
      <c r="A1398">
        <v>8663</v>
      </c>
      <c r="B1398">
        <v>1974</v>
      </c>
      <c r="C1398" t="s">
        <v>29</v>
      </c>
      <c r="D1398" t="s">
        <v>37</v>
      </c>
      <c r="E1398">
        <v>39996</v>
      </c>
      <c r="F1398">
        <v>1</v>
      </c>
      <c r="G1398">
        <v>1</v>
      </c>
      <c r="H1398" t="s">
        <v>53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>
        <v>2589</v>
      </c>
      <c r="B1399">
        <v>1972</v>
      </c>
      <c r="C1399" t="s">
        <v>29</v>
      </c>
      <c r="D1399" t="s">
        <v>37</v>
      </c>
      <c r="E1399">
        <v>26759</v>
      </c>
      <c r="F1399">
        <v>1</v>
      </c>
      <c r="G1399">
        <v>0</v>
      </c>
      <c r="H1399" s="2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>
        <v>3421</v>
      </c>
      <c r="B1400">
        <v>1968</v>
      </c>
      <c r="C1400" t="s">
        <v>36</v>
      </c>
      <c r="D1400" t="s">
        <v>37</v>
      </c>
      <c r="E1400">
        <v>63841</v>
      </c>
      <c r="F1400">
        <v>0</v>
      </c>
      <c r="G1400">
        <v>1</v>
      </c>
      <c r="H1400" t="s">
        <v>96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5">
      <c r="A1401">
        <v>10490</v>
      </c>
      <c r="B1401">
        <v>1969</v>
      </c>
      <c r="C1401" t="s">
        <v>33</v>
      </c>
      <c r="D1401" t="s">
        <v>34</v>
      </c>
      <c r="E1401">
        <v>51039</v>
      </c>
      <c r="F1401">
        <v>1</v>
      </c>
      <c r="G1401">
        <v>1</v>
      </c>
      <c r="H1401" s="2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>
        <v>4094</v>
      </c>
      <c r="B1402">
        <v>1961</v>
      </c>
      <c r="C1402" t="s">
        <v>29</v>
      </c>
      <c r="D1402" t="s">
        <v>34</v>
      </c>
      <c r="E1402">
        <v>60544</v>
      </c>
      <c r="F1402">
        <v>1</v>
      </c>
      <c r="G1402">
        <v>1</v>
      </c>
      <c r="H1402" t="s">
        <v>352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>
        <v>9958</v>
      </c>
      <c r="B1403">
        <v>1972</v>
      </c>
      <c r="C1403" t="s">
        <v>29</v>
      </c>
      <c r="D1403" t="s">
        <v>34</v>
      </c>
      <c r="E1403">
        <v>65685</v>
      </c>
      <c r="F1403">
        <v>0</v>
      </c>
      <c r="G1403">
        <v>1</v>
      </c>
      <c r="H1403" t="s">
        <v>263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>
        <v>2534</v>
      </c>
      <c r="B1404">
        <v>1953</v>
      </c>
      <c r="C1404" t="s">
        <v>29</v>
      </c>
      <c r="D1404" t="s">
        <v>34</v>
      </c>
      <c r="E1404">
        <v>37716</v>
      </c>
      <c r="F1404">
        <v>0</v>
      </c>
      <c r="G1404">
        <v>1</v>
      </c>
      <c r="H1404" t="s">
        <v>116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t="s">
        <v>394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5">
      <c r="A1406">
        <v>6613</v>
      </c>
      <c r="B1406">
        <v>1970</v>
      </c>
      <c r="C1406" t="s">
        <v>36</v>
      </c>
      <c r="D1406" t="s">
        <v>34</v>
      </c>
      <c r="E1406">
        <v>44511</v>
      </c>
      <c r="F1406">
        <v>1</v>
      </c>
      <c r="G1406">
        <v>0</v>
      </c>
      <c r="H1406" s="2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>
        <v>10827</v>
      </c>
      <c r="B1407">
        <v>1967</v>
      </c>
      <c r="C1407" t="s">
        <v>33</v>
      </c>
      <c r="D1407" t="s">
        <v>34</v>
      </c>
      <c r="E1407">
        <v>36947</v>
      </c>
      <c r="F1407">
        <v>1</v>
      </c>
      <c r="G1407">
        <v>1</v>
      </c>
      <c r="H1407" s="2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>
        <v>5491</v>
      </c>
      <c r="B1408">
        <v>1951</v>
      </c>
      <c r="C1408" t="s">
        <v>36</v>
      </c>
      <c r="D1408" t="s">
        <v>31</v>
      </c>
      <c r="E1408">
        <v>47352</v>
      </c>
      <c r="F1408">
        <v>0</v>
      </c>
      <c r="G1408">
        <v>1</v>
      </c>
      <c r="H1408" s="2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>
        <v>8402</v>
      </c>
      <c r="B1409">
        <v>1953</v>
      </c>
      <c r="C1409" t="s">
        <v>36</v>
      </c>
      <c r="D1409" t="s">
        <v>34</v>
      </c>
      <c r="E1409">
        <v>67087</v>
      </c>
      <c r="F1409">
        <v>0</v>
      </c>
      <c r="G1409">
        <v>1</v>
      </c>
      <c r="H1409" t="s">
        <v>184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>
        <v>8783</v>
      </c>
      <c r="B1410">
        <v>1950</v>
      </c>
      <c r="C1410" t="s">
        <v>29</v>
      </c>
      <c r="D1410" t="s">
        <v>34</v>
      </c>
      <c r="E1410">
        <v>57045</v>
      </c>
      <c r="F1410">
        <v>0</v>
      </c>
      <c r="G1410">
        <v>1</v>
      </c>
      <c r="H1410" s="2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>
        <v>10010</v>
      </c>
      <c r="B1411">
        <v>1953</v>
      </c>
      <c r="C1411" t="s">
        <v>33</v>
      </c>
      <c r="D1411" t="s">
        <v>37</v>
      </c>
      <c r="E1411">
        <v>36957</v>
      </c>
      <c r="F1411">
        <v>1</v>
      </c>
      <c r="G1411">
        <v>1</v>
      </c>
      <c r="H1411" s="2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25">
      <c r="A1412">
        <v>618</v>
      </c>
      <c r="B1412">
        <v>1977</v>
      </c>
      <c r="C1412" t="s">
        <v>33</v>
      </c>
      <c r="D1412" t="s">
        <v>34</v>
      </c>
      <c r="E1412">
        <v>69389</v>
      </c>
      <c r="F1412">
        <v>0</v>
      </c>
      <c r="G1412">
        <v>1</v>
      </c>
      <c r="H1412" t="s">
        <v>197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>
        <v>9121</v>
      </c>
      <c r="B1413">
        <v>1972</v>
      </c>
      <c r="C1413" t="s">
        <v>29</v>
      </c>
      <c r="D1413" t="s">
        <v>34</v>
      </c>
      <c r="E1413">
        <v>80134</v>
      </c>
      <c r="F1413">
        <v>1</v>
      </c>
      <c r="G1413">
        <v>0</v>
      </c>
      <c r="H1413" t="s">
        <v>156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25">
      <c r="A1414">
        <v>361</v>
      </c>
      <c r="B1414">
        <v>1969</v>
      </c>
      <c r="C1414" t="s">
        <v>36</v>
      </c>
      <c r="D1414" t="s">
        <v>34</v>
      </c>
      <c r="E1414">
        <v>43142</v>
      </c>
      <c r="F1414">
        <v>1</v>
      </c>
      <c r="G1414">
        <v>1</v>
      </c>
      <c r="H1414" t="s">
        <v>350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>
        <v>4310</v>
      </c>
      <c r="B1415">
        <v>1944</v>
      </c>
      <c r="C1415" t="s">
        <v>29</v>
      </c>
      <c r="D1415" t="s">
        <v>34</v>
      </c>
      <c r="E1415">
        <v>80589</v>
      </c>
      <c r="F1415">
        <v>0</v>
      </c>
      <c r="G1415">
        <v>0</v>
      </c>
      <c r="H1415" t="s">
        <v>123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25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t="s">
        <v>188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s="2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>
        <v>524</v>
      </c>
      <c r="B1418">
        <v>1966</v>
      </c>
      <c r="C1418" t="s">
        <v>41</v>
      </c>
      <c r="D1418" t="s">
        <v>31</v>
      </c>
      <c r="E1418">
        <v>22634</v>
      </c>
      <c r="F1418">
        <v>0</v>
      </c>
      <c r="G1418">
        <v>0</v>
      </c>
      <c r="H1418" t="s">
        <v>367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>
        <v>10341</v>
      </c>
      <c r="B1419">
        <v>1948</v>
      </c>
      <c r="C1419" t="s">
        <v>29</v>
      </c>
      <c r="D1419" t="s">
        <v>31</v>
      </c>
      <c r="E1419">
        <v>51315</v>
      </c>
      <c r="F1419">
        <v>0</v>
      </c>
      <c r="G1419">
        <v>0</v>
      </c>
      <c r="H1419" t="s">
        <v>395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>
        <v>5654</v>
      </c>
      <c r="B1420">
        <v>1972</v>
      </c>
      <c r="C1420" t="s">
        <v>29</v>
      </c>
      <c r="D1420" t="s">
        <v>34</v>
      </c>
      <c r="E1420">
        <v>36026</v>
      </c>
      <c r="F1420">
        <v>2</v>
      </c>
      <c r="G1420">
        <v>1</v>
      </c>
      <c r="H1420" t="s">
        <v>396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5">
      <c r="A1421">
        <v>4098</v>
      </c>
      <c r="B1421">
        <v>1973</v>
      </c>
      <c r="C1421" t="s">
        <v>29</v>
      </c>
      <c r="D1421" t="s">
        <v>34</v>
      </c>
      <c r="E1421">
        <v>24639</v>
      </c>
      <c r="F1421">
        <v>1</v>
      </c>
      <c r="G1421">
        <v>1</v>
      </c>
      <c r="H1421" t="s">
        <v>234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>
        <v>5824</v>
      </c>
      <c r="B1422">
        <v>1972</v>
      </c>
      <c r="C1422" t="s">
        <v>33</v>
      </c>
      <c r="D1422" t="s">
        <v>31</v>
      </c>
      <c r="E1422">
        <v>34578</v>
      </c>
      <c r="F1422">
        <v>2</v>
      </c>
      <c r="G1422">
        <v>1</v>
      </c>
      <c r="H1422" s="2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5">
      <c r="A1423">
        <v>7000</v>
      </c>
      <c r="B1423">
        <v>1972</v>
      </c>
      <c r="C1423" t="s">
        <v>46</v>
      </c>
      <c r="D1423" t="s">
        <v>30</v>
      </c>
      <c r="E1423">
        <v>65704</v>
      </c>
      <c r="F1423">
        <v>0</v>
      </c>
      <c r="G1423">
        <v>0</v>
      </c>
      <c r="H1423" t="s">
        <v>358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s="2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>
        <v>5229</v>
      </c>
      <c r="B1425">
        <v>1969</v>
      </c>
      <c r="C1425" t="s">
        <v>33</v>
      </c>
      <c r="D1425" t="s">
        <v>31</v>
      </c>
      <c r="E1425">
        <v>54132</v>
      </c>
      <c r="F1425">
        <v>0</v>
      </c>
      <c r="G1425">
        <v>1</v>
      </c>
      <c r="H1425" t="s">
        <v>145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>
        <v>4086</v>
      </c>
      <c r="B1426">
        <v>1959</v>
      </c>
      <c r="C1426" t="s">
        <v>29</v>
      </c>
      <c r="D1426" t="s">
        <v>34</v>
      </c>
      <c r="E1426">
        <v>18690</v>
      </c>
      <c r="F1426">
        <v>0</v>
      </c>
      <c r="G1426">
        <v>0</v>
      </c>
      <c r="H1426" t="s">
        <v>199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>
        <v>2428</v>
      </c>
      <c r="B1427">
        <v>1970</v>
      </c>
      <c r="C1427" t="s">
        <v>29</v>
      </c>
      <c r="D1427" t="s">
        <v>34</v>
      </c>
      <c r="E1427">
        <v>28164</v>
      </c>
      <c r="F1427">
        <v>1</v>
      </c>
      <c r="G1427">
        <v>0</v>
      </c>
      <c r="H1427" s="2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>
        <v>8254</v>
      </c>
      <c r="B1428">
        <v>1974</v>
      </c>
      <c r="C1428" t="s">
        <v>33</v>
      </c>
      <c r="D1428" t="s">
        <v>34</v>
      </c>
      <c r="E1428">
        <v>34596</v>
      </c>
      <c r="F1428">
        <v>1</v>
      </c>
      <c r="G1428">
        <v>0</v>
      </c>
      <c r="H1428" t="s">
        <v>221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5">
      <c r="A1429">
        <v>2836</v>
      </c>
      <c r="B1429">
        <v>1972</v>
      </c>
      <c r="C1429" t="s">
        <v>33</v>
      </c>
      <c r="D1429" t="s">
        <v>34</v>
      </c>
      <c r="E1429">
        <v>43269</v>
      </c>
      <c r="F1429">
        <v>1</v>
      </c>
      <c r="G1429">
        <v>0</v>
      </c>
      <c r="H1429" t="s">
        <v>157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>
        <v>8418</v>
      </c>
      <c r="B1430">
        <v>1958</v>
      </c>
      <c r="C1430" t="s">
        <v>46</v>
      </c>
      <c r="D1430" t="s">
        <v>30</v>
      </c>
      <c r="E1430">
        <v>38741</v>
      </c>
      <c r="F1430">
        <v>1</v>
      </c>
      <c r="G1430">
        <v>1</v>
      </c>
      <c r="H1430" t="s">
        <v>86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s="2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>
        <v>7152</v>
      </c>
      <c r="B1432">
        <v>1983</v>
      </c>
      <c r="C1432" t="s">
        <v>36</v>
      </c>
      <c r="D1432" t="s">
        <v>34</v>
      </c>
      <c r="E1432">
        <v>27100</v>
      </c>
      <c r="F1432">
        <v>1</v>
      </c>
      <c r="G1432">
        <v>0</v>
      </c>
      <c r="H1432" s="2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>
        <v>10033</v>
      </c>
      <c r="B1433">
        <v>1973</v>
      </c>
      <c r="C1433" t="s">
        <v>46</v>
      </c>
      <c r="D1433" t="s">
        <v>37</v>
      </c>
      <c r="E1433">
        <v>31163</v>
      </c>
      <c r="F1433">
        <v>1</v>
      </c>
      <c r="G1433">
        <v>0</v>
      </c>
      <c r="H1433" t="s">
        <v>374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>
        <v>9349</v>
      </c>
      <c r="B1434">
        <v>1985</v>
      </c>
      <c r="C1434" t="s">
        <v>29</v>
      </c>
      <c r="D1434" t="s">
        <v>34</v>
      </c>
      <c r="E1434">
        <v>92533</v>
      </c>
      <c r="F1434">
        <v>0</v>
      </c>
      <c r="G1434">
        <v>0</v>
      </c>
      <c r="H1434" t="s">
        <v>299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t="s">
        <v>261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>
        <v>3388</v>
      </c>
      <c r="B1436">
        <v>1967</v>
      </c>
      <c r="C1436" t="s">
        <v>29</v>
      </c>
      <c r="D1436" t="s">
        <v>37</v>
      </c>
      <c r="E1436">
        <v>70844</v>
      </c>
      <c r="F1436">
        <v>1</v>
      </c>
      <c r="G1436">
        <v>1</v>
      </c>
      <c r="H1436" t="s">
        <v>242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25">
      <c r="A1437">
        <v>922</v>
      </c>
      <c r="B1437">
        <v>1979</v>
      </c>
      <c r="C1437" t="s">
        <v>46</v>
      </c>
      <c r="D1437" t="s">
        <v>34</v>
      </c>
      <c r="E1437">
        <v>31086</v>
      </c>
      <c r="F1437">
        <v>1</v>
      </c>
      <c r="G1437">
        <v>1</v>
      </c>
      <c r="H1437" s="2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>
        <v>8588</v>
      </c>
      <c r="B1438">
        <v>1961</v>
      </c>
      <c r="C1438" t="s">
        <v>29</v>
      </c>
      <c r="D1438" t="s">
        <v>34</v>
      </c>
      <c r="E1438">
        <v>60544</v>
      </c>
      <c r="F1438">
        <v>1</v>
      </c>
      <c r="G1438">
        <v>1</v>
      </c>
      <c r="H1438" t="s">
        <v>352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>
        <v>2518</v>
      </c>
      <c r="B1439">
        <v>1986</v>
      </c>
      <c r="C1439" t="s">
        <v>46</v>
      </c>
      <c r="D1439" t="s">
        <v>31</v>
      </c>
      <c r="E1439">
        <v>20491</v>
      </c>
      <c r="F1439">
        <v>0</v>
      </c>
      <c r="G1439">
        <v>0</v>
      </c>
      <c r="H1439" t="s">
        <v>340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>
        <v>574</v>
      </c>
      <c r="B1440">
        <v>1964</v>
      </c>
      <c r="C1440" t="s">
        <v>29</v>
      </c>
      <c r="D1440" t="s">
        <v>34</v>
      </c>
      <c r="E1440">
        <v>42523</v>
      </c>
      <c r="F1440">
        <v>0</v>
      </c>
      <c r="G1440">
        <v>0</v>
      </c>
      <c r="H1440" t="s">
        <v>356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>
        <v>3220</v>
      </c>
      <c r="B1441">
        <v>1983</v>
      </c>
      <c r="C1441" t="s">
        <v>29</v>
      </c>
      <c r="D1441" t="s">
        <v>34</v>
      </c>
      <c r="E1441">
        <v>39922</v>
      </c>
      <c r="F1441">
        <v>1</v>
      </c>
      <c r="G1441">
        <v>0</v>
      </c>
      <c r="H1441" t="s">
        <v>326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>
        <v>5967</v>
      </c>
      <c r="B1442">
        <v>1952</v>
      </c>
      <c r="C1442" t="s">
        <v>29</v>
      </c>
      <c r="D1442" t="s">
        <v>31</v>
      </c>
      <c r="E1442">
        <v>33402</v>
      </c>
      <c r="F1442">
        <v>1</v>
      </c>
      <c r="G1442">
        <v>1</v>
      </c>
      <c r="H1442" t="s">
        <v>278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>
        <v>1183</v>
      </c>
      <c r="B1443">
        <v>1949</v>
      </c>
      <c r="C1443" t="s">
        <v>36</v>
      </c>
      <c r="D1443" t="s">
        <v>34</v>
      </c>
      <c r="E1443">
        <v>36408</v>
      </c>
      <c r="F1443">
        <v>1</v>
      </c>
      <c r="G1443">
        <v>1</v>
      </c>
      <c r="H1443" t="s">
        <v>397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>
        <v>6856</v>
      </c>
      <c r="B1444">
        <v>1979</v>
      </c>
      <c r="C1444" t="s">
        <v>29</v>
      </c>
      <c r="D1444" t="s">
        <v>31</v>
      </c>
      <c r="E1444">
        <v>21645</v>
      </c>
      <c r="F1444">
        <v>1</v>
      </c>
      <c r="G1444">
        <v>0</v>
      </c>
      <c r="H1444" s="2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5">
      <c r="A1445">
        <v>4530</v>
      </c>
      <c r="B1445">
        <v>1948</v>
      </c>
      <c r="C1445" t="s">
        <v>36</v>
      </c>
      <c r="D1445" t="s">
        <v>57</v>
      </c>
      <c r="E1445">
        <v>78427</v>
      </c>
      <c r="F1445">
        <v>0</v>
      </c>
      <c r="G1445">
        <v>0</v>
      </c>
      <c r="H1445" t="s">
        <v>398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25">
      <c r="A1446">
        <v>1553</v>
      </c>
      <c r="B1446">
        <v>1946</v>
      </c>
      <c r="C1446" t="s">
        <v>29</v>
      </c>
      <c r="D1446" t="s">
        <v>31</v>
      </c>
      <c r="E1446">
        <v>82657</v>
      </c>
      <c r="F1446">
        <v>0</v>
      </c>
      <c r="G1446">
        <v>0</v>
      </c>
      <c r="H1446" t="s">
        <v>67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>
        <v>4682</v>
      </c>
      <c r="B1447">
        <v>1958</v>
      </c>
      <c r="C1447" t="s">
        <v>29</v>
      </c>
      <c r="D1447" t="s">
        <v>34</v>
      </c>
      <c r="E1447">
        <v>51876</v>
      </c>
      <c r="F1447">
        <v>0</v>
      </c>
      <c r="G1447">
        <v>0</v>
      </c>
      <c r="H1447" t="s">
        <v>399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5">
      <c r="A1448">
        <v>8204</v>
      </c>
      <c r="B1448">
        <v>1971</v>
      </c>
      <c r="C1448" t="s">
        <v>46</v>
      </c>
      <c r="D1448" t="s">
        <v>34</v>
      </c>
      <c r="E1448">
        <v>78041</v>
      </c>
      <c r="F1448">
        <v>0</v>
      </c>
      <c r="G1448">
        <v>0</v>
      </c>
      <c r="H1448" t="s">
        <v>119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>
        <v>5221</v>
      </c>
      <c r="B1449">
        <v>1957</v>
      </c>
      <c r="C1449" t="s">
        <v>29</v>
      </c>
      <c r="D1449" t="s">
        <v>34</v>
      </c>
      <c r="E1449">
        <v>52852</v>
      </c>
      <c r="F1449">
        <v>0</v>
      </c>
      <c r="G1449">
        <v>1</v>
      </c>
      <c r="H1449" s="2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>
        <v>1232</v>
      </c>
      <c r="B1450">
        <v>1982</v>
      </c>
      <c r="C1450" t="s">
        <v>33</v>
      </c>
      <c r="D1450" t="s">
        <v>31</v>
      </c>
      <c r="E1450">
        <v>70038</v>
      </c>
      <c r="F1450">
        <v>0</v>
      </c>
      <c r="G1450">
        <v>0</v>
      </c>
      <c r="H1450" t="s">
        <v>349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>
        <v>1927</v>
      </c>
      <c r="B1451">
        <v>1973</v>
      </c>
      <c r="C1451" t="s">
        <v>46</v>
      </c>
      <c r="D1451" t="s">
        <v>31</v>
      </c>
      <c r="E1451">
        <v>69401</v>
      </c>
      <c r="F1451">
        <v>0</v>
      </c>
      <c r="G1451">
        <v>1</v>
      </c>
      <c r="H1451" t="s">
        <v>81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>
        <v>5788</v>
      </c>
      <c r="B1452">
        <v>1972</v>
      </c>
      <c r="C1452" t="s">
        <v>29</v>
      </c>
      <c r="D1452" t="s">
        <v>31</v>
      </c>
      <c r="E1452">
        <v>46053</v>
      </c>
      <c r="F1452">
        <v>1</v>
      </c>
      <c r="G1452">
        <v>0</v>
      </c>
      <c r="H1452" t="s">
        <v>400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5">
      <c r="A1453">
        <v>6652</v>
      </c>
      <c r="B1453">
        <v>1965</v>
      </c>
      <c r="C1453" t="s">
        <v>29</v>
      </c>
      <c r="D1453" t="s">
        <v>34</v>
      </c>
      <c r="E1453">
        <v>77343</v>
      </c>
      <c r="F1453">
        <v>0</v>
      </c>
      <c r="G1453">
        <v>0</v>
      </c>
      <c r="H1453" s="2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t="s">
        <v>114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25">
      <c r="A1455">
        <v>5975</v>
      </c>
      <c r="B1455">
        <v>1967</v>
      </c>
      <c r="C1455" t="s">
        <v>33</v>
      </c>
      <c r="D1455" t="s">
        <v>30</v>
      </c>
      <c r="E1455">
        <v>40304</v>
      </c>
      <c r="F1455">
        <v>1</v>
      </c>
      <c r="G1455">
        <v>0</v>
      </c>
      <c r="H1455" t="s">
        <v>97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>
        <v>6875</v>
      </c>
      <c r="B1456">
        <v>1965</v>
      </c>
      <c r="C1456" t="s">
        <v>33</v>
      </c>
      <c r="D1456" t="s">
        <v>31</v>
      </c>
      <c r="E1456">
        <v>32727</v>
      </c>
      <c r="F1456">
        <v>0</v>
      </c>
      <c r="G1456">
        <v>0</v>
      </c>
      <c r="H1456" t="s">
        <v>401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>
        <v>4399</v>
      </c>
      <c r="B1457">
        <v>1969</v>
      </c>
      <c r="C1457" t="s">
        <v>29</v>
      </c>
      <c r="D1457" t="s">
        <v>31</v>
      </c>
      <c r="E1457">
        <v>68695</v>
      </c>
      <c r="F1457">
        <v>0</v>
      </c>
      <c r="G1457">
        <v>0</v>
      </c>
      <c r="H1457" t="s">
        <v>90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>
        <v>4042</v>
      </c>
      <c r="B1458">
        <v>1971</v>
      </c>
      <c r="C1458" t="s">
        <v>29</v>
      </c>
      <c r="D1458" t="s">
        <v>37</v>
      </c>
      <c r="E1458">
        <v>43300</v>
      </c>
      <c r="F1458">
        <v>0</v>
      </c>
      <c r="G1458">
        <v>1</v>
      </c>
      <c r="H1458" t="s">
        <v>160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25">
      <c r="A1459">
        <v>2157</v>
      </c>
      <c r="B1459">
        <v>1972</v>
      </c>
      <c r="C1459" t="s">
        <v>29</v>
      </c>
      <c r="D1459" t="s">
        <v>31</v>
      </c>
      <c r="E1459">
        <v>26290</v>
      </c>
      <c r="F1459">
        <v>1</v>
      </c>
      <c r="G1459">
        <v>1</v>
      </c>
      <c r="H1459" s="2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s="2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25">
      <c r="A1461">
        <v>2525</v>
      </c>
      <c r="B1461">
        <v>1974</v>
      </c>
      <c r="C1461" t="s">
        <v>33</v>
      </c>
      <c r="D1461" t="s">
        <v>34</v>
      </c>
      <c r="E1461">
        <v>38410</v>
      </c>
      <c r="F1461">
        <v>0</v>
      </c>
      <c r="G1461">
        <v>0</v>
      </c>
      <c r="H1461" t="s">
        <v>68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25">
      <c r="A1462">
        <v>8233</v>
      </c>
      <c r="B1462">
        <v>1950</v>
      </c>
      <c r="C1462" t="s">
        <v>36</v>
      </c>
      <c r="D1462" t="s">
        <v>57</v>
      </c>
      <c r="E1462">
        <v>64866</v>
      </c>
      <c r="F1462">
        <v>0</v>
      </c>
      <c r="G1462">
        <v>1</v>
      </c>
      <c r="H1462" t="s">
        <v>244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>
        <v>9483</v>
      </c>
      <c r="B1463">
        <v>1959</v>
      </c>
      <c r="C1463" t="s">
        <v>29</v>
      </c>
      <c r="D1463" t="s">
        <v>31</v>
      </c>
      <c r="E1463">
        <v>57957</v>
      </c>
      <c r="F1463">
        <v>0</v>
      </c>
      <c r="G1463">
        <v>1</v>
      </c>
      <c r="H1463" t="s">
        <v>277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25">
      <c r="A1464">
        <v>2945</v>
      </c>
      <c r="B1464">
        <v>1955</v>
      </c>
      <c r="C1464" t="s">
        <v>33</v>
      </c>
      <c r="D1464" t="s">
        <v>31</v>
      </c>
      <c r="E1464">
        <v>46015</v>
      </c>
      <c r="F1464">
        <v>1</v>
      </c>
      <c r="G1464">
        <v>1</v>
      </c>
      <c r="H1464" t="s">
        <v>180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>
        <v>10403</v>
      </c>
      <c r="B1465">
        <v>1978</v>
      </c>
      <c r="C1465" t="s">
        <v>29</v>
      </c>
      <c r="D1465" t="s">
        <v>31</v>
      </c>
      <c r="E1465">
        <v>16531</v>
      </c>
      <c r="F1465">
        <v>1</v>
      </c>
      <c r="G1465">
        <v>0</v>
      </c>
      <c r="H1465" t="s">
        <v>258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5">
      <c r="A1466">
        <v>5074</v>
      </c>
      <c r="B1466">
        <v>1986</v>
      </c>
      <c r="C1466" t="s">
        <v>36</v>
      </c>
      <c r="D1466" t="s">
        <v>34</v>
      </c>
      <c r="E1466">
        <v>28072</v>
      </c>
      <c r="F1466">
        <v>1</v>
      </c>
      <c r="G1466">
        <v>0</v>
      </c>
      <c r="H1466" s="2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>
        <v>10524</v>
      </c>
      <c r="B1467">
        <v>1963</v>
      </c>
      <c r="C1467" t="s">
        <v>36</v>
      </c>
      <c r="D1467" t="s">
        <v>37</v>
      </c>
      <c r="E1467">
        <v>49476</v>
      </c>
      <c r="F1467">
        <v>0</v>
      </c>
      <c r="G1467">
        <v>1</v>
      </c>
      <c r="H1467" t="s">
        <v>84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>
        <v>4690</v>
      </c>
      <c r="B1468">
        <v>1953</v>
      </c>
      <c r="C1468" t="s">
        <v>29</v>
      </c>
      <c r="D1468" t="s">
        <v>34</v>
      </c>
      <c r="E1468">
        <v>50725</v>
      </c>
      <c r="F1468">
        <v>0</v>
      </c>
      <c r="G1468">
        <v>1</v>
      </c>
      <c r="H1468" t="s">
        <v>188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>
        <v>7521</v>
      </c>
      <c r="B1469">
        <v>1952</v>
      </c>
      <c r="C1469" t="s">
        <v>29</v>
      </c>
      <c r="D1469" t="s">
        <v>31</v>
      </c>
      <c r="E1469">
        <v>83844</v>
      </c>
      <c r="F1469">
        <v>0</v>
      </c>
      <c r="G1469">
        <v>0</v>
      </c>
      <c r="H1469" s="2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25">
      <c r="A1470">
        <v>7196</v>
      </c>
      <c r="B1470">
        <v>1950</v>
      </c>
      <c r="C1470" t="s">
        <v>33</v>
      </c>
      <c r="D1470" t="s">
        <v>34</v>
      </c>
      <c r="E1470">
        <v>41145</v>
      </c>
      <c r="F1470">
        <v>1</v>
      </c>
      <c r="G1470">
        <v>1</v>
      </c>
      <c r="H1470" s="2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>
        <v>4406</v>
      </c>
      <c r="B1471">
        <v>1970</v>
      </c>
      <c r="C1471" t="s">
        <v>29</v>
      </c>
      <c r="D1471" t="s">
        <v>31</v>
      </c>
      <c r="E1471">
        <v>67419</v>
      </c>
      <c r="F1471">
        <v>0</v>
      </c>
      <c r="G1471">
        <v>1</v>
      </c>
      <c r="H1471" t="s">
        <v>367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>
        <v>9672</v>
      </c>
      <c r="B1472">
        <v>1970</v>
      </c>
      <c r="C1472" t="s">
        <v>46</v>
      </c>
      <c r="D1472" t="s">
        <v>34</v>
      </c>
      <c r="E1472">
        <v>23162</v>
      </c>
      <c r="F1472">
        <v>1</v>
      </c>
      <c r="G1472">
        <v>1</v>
      </c>
      <c r="H1472" t="s">
        <v>225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5">
      <c r="A1473">
        <v>4864</v>
      </c>
      <c r="B1473">
        <v>1977</v>
      </c>
      <c r="C1473" t="s">
        <v>29</v>
      </c>
      <c r="D1473" t="s">
        <v>34</v>
      </c>
      <c r="E1473">
        <v>34380</v>
      </c>
      <c r="F1473">
        <v>1</v>
      </c>
      <c r="G1473">
        <v>0</v>
      </c>
      <c r="H1473" s="2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5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t="s">
        <v>182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>
        <v>4070</v>
      </c>
      <c r="B1475">
        <v>1969</v>
      </c>
      <c r="C1475" t="s">
        <v>33</v>
      </c>
      <c r="D1475" t="s">
        <v>34</v>
      </c>
      <c r="E1475">
        <v>94871</v>
      </c>
      <c r="F1475">
        <v>0</v>
      </c>
      <c r="G1475">
        <v>2</v>
      </c>
      <c r="H1475" s="2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25">
      <c r="A1476">
        <v>25</v>
      </c>
      <c r="B1476">
        <v>1958</v>
      </c>
      <c r="C1476" t="s">
        <v>29</v>
      </c>
      <c r="D1476" t="s">
        <v>34</v>
      </c>
      <c r="E1476">
        <v>65148</v>
      </c>
      <c r="F1476">
        <v>0</v>
      </c>
      <c r="G1476">
        <v>1</v>
      </c>
      <c r="H1476" t="s">
        <v>402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>
        <v>3697</v>
      </c>
      <c r="B1477">
        <v>1954</v>
      </c>
      <c r="C1477" t="s">
        <v>29</v>
      </c>
      <c r="D1477" t="s">
        <v>31</v>
      </c>
      <c r="E1477">
        <v>39898</v>
      </c>
      <c r="F1477">
        <v>0</v>
      </c>
      <c r="G1477">
        <v>1</v>
      </c>
      <c r="H1477" s="2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>
        <v>217</v>
      </c>
      <c r="B1478">
        <v>1956</v>
      </c>
      <c r="C1478" t="s">
        <v>36</v>
      </c>
      <c r="D1478" t="s">
        <v>30</v>
      </c>
      <c r="E1478">
        <v>64857</v>
      </c>
      <c r="F1478">
        <v>0</v>
      </c>
      <c r="G1478">
        <v>0</v>
      </c>
      <c r="H1478" t="s">
        <v>165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>
        <v>4220</v>
      </c>
      <c r="B1479">
        <v>1970</v>
      </c>
      <c r="C1479" t="s">
        <v>33</v>
      </c>
      <c r="D1479" t="s">
        <v>34</v>
      </c>
      <c r="E1479">
        <v>59892</v>
      </c>
      <c r="F1479">
        <v>0</v>
      </c>
      <c r="G1479">
        <v>1</v>
      </c>
      <c r="H1479" s="2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>
        <v>5286</v>
      </c>
      <c r="B1480">
        <v>1987</v>
      </c>
      <c r="C1480" t="s">
        <v>36</v>
      </c>
      <c r="D1480" t="s">
        <v>30</v>
      </c>
      <c r="E1480">
        <v>41020</v>
      </c>
      <c r="F1480">
        <v>0</v>
      </c>
      <c r="G1480">
        <v>0</v>
      </c>
      <c r="H1480" t="s">
        <v>152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>
        <v>9559</v>
      </c>
      <c r="B1481">
        <v>1961</v>
      </c>
      <c r="C1481" t="s">
        <v>33</v>
      </c>
      <c r="D1481" t="s">
        <v>34</v>
      </c>
      <c r="E1481">
        <v>57072</v>
      </c>
      <c r="F1481">
        <v>0</v>
      </c>
      <c r="G1481">
        <v>1</v>
      </c>
      <c r="H1481" t="s">
        <v>91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s="2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>
        <v>7787</v>
      </c>
      <c r="B1483">
        <v>1960</v>
      </c>
      <c r="C1483" t="s">
        <v>29</v>
      </c>
      <c r="D1483" t="s">
        <v>31</v>
      </c>
      <c r="E1483">
        <v>62807</v>
      </c>
      <c r="F1483">
        <v>0</v>
      </c>
      <c r="G1483">
        <v>1</v>
      </c>
      <c r="H1483" t="s">
        <v>44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>
        <v>3102</v>
      </c>
      <c r="B1484">
        <v>1981</v>
      </c>
      <c r="C1484" t="s">
        <v>46</v>
      </c>
      <c r="D1484" t="s">
        <v>31</v>
      </c>
      <c r="E1484">
        <v>19414</v>
      </c>
      <c r="F1484">
        <v>1</v>
      </c>
      <c r="G1484">
        <v>0</v>
      </c>
      <c r="H1484" t="s">
        <v>208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>
        <v>5868</v>
      </c>
      <c r="B1485">
        <v>1980</v>
      </c>
      <c r="C1485" t="s">
        <v>29</v>
      </c>
      <c r="D1485" t="s">
        <v>34</v>
      </c>
      <c r="E1485">
        <v>19107</v>
      </c>
      <c r="F1485">
        <v>1</v>
      </c>
      <c r="G1485">
        <v>0</v>
      </c>
      <c r="H1485" t="s">
        <v>226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5">
      <c r="A1486">
        <v>8370</v>
      </c>
      <c r="B1486">
        <v>1976</v>
      </c>
      <c r="C1486" t="s">
        <v>46</v>
      </c>
      <c r="D1486" t="s">
        <v>31</v>
      </c>
      <c r="E1486">
        <v>75484</v>
      </c>
      <c r="F1486">
        <v>0</v>
      </c>
      <c r="G1486">
        <v>1</v>
      </c>
      <c r="H1486" s="2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>
        <v>9988</v>
      </c>
      <c r="B1487">
        <v>1976</v>
      </c>
      <c r="C1487" t="s">
        <v>36</v>
      </c>
      <c r="D1487" t="s">
        <v>30</v>
      </c>
      <c r="E1487">
        <v>70379</v>
      </c>
      <c r="F1487">
        <v>0</v>
      </c>
      <c r="G1487">
        <v>1</v>
      </c>
      <c r="H1487" s="2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>
        <v>2939</v>
      </c>
      <c r="B1488">
        <v>1970</v>
      </c>
      <c r="C1488" t="s">
        <v>36</v>
      </c>
      <c r="D1488" t="s">
        <v>31</v>
      </c>
      <c r="E1488">
        <v>79419</v>
      </c>
      <c r="F1488">
        <v>0</v>
      </c>
      <c r="G1488">
        <v>0</v>
      </c>
      <c r="H1488" t="s">
        <v>348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>
        <v>5529</v>
      </c>
      <c r="B1489">
        <v>1946</v>
      </c>
      <c r="C1489" t="s">
        <v>33</v>
      </c>
      <c r="D1489" t="s">
        <v>31</v>
      </c>
      <c r="E1489">
        <v>64014</v>
      </c>
      <c r="F1489">
        <v>2</v>
      </c>
      <c r="G1489">
        <v>1</v>
      </c>
      <c r="H1489" s="2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>
        <v>9743</v>
      </c>
      <c r="B1490">
        <v>1955</v>
      </c>
      <c r="C1490" t="s">
        <v>29</v>
      </c>
      <c r="D1490" t="s">
        <v>34</v>
      </c>
      <c r="E1490">
        <v>76998</v>
      </c>
      <c r="F1490">
        <v>0</v>
      </c>
      <c r="G1490">
        <v>1</v>
      </c>
      <c r="H1490" s="2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>
        <v>5763</v>
      </c>
      <c r="B1491">
        <v>1972</v>
      </c>
      <c r="C1491" t="s">
        <v>36</v>
      </c>
      <c r="D1491" t="s">
        <v>31</v>
      </c>
      <c r="E1491">
        <v>49854</v>
      </c>
      <c r="F1491">
        <v>1</v>
      </c>
      <c r="G1491">
        <v>0</v>
      </c>
      <c r="H1491" s="2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>
        <v>3478</v>
      </c>
      <c r="B1492">
        <v>1971</v>
      </c>
      <c r="C1492" t="s">
        <v>33</v>
      </c>
      <c r="D1492" t="s">
        <v>34</v>
      </c>
      <c r="E1492">
        <v>60585</v>
      </c>
      <c r="F1492">
        <v>1</v>
      </c>
      <c r="G1492">
        <v>1</v>
      </c>
      <c r="H1492" t="s">
        <v>385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5">
      <c r="A1493">
        <v>7494</v>
      </c>
      <c r="B1493">
        <v>1950</v>
      </c>
      <c r="C1493" t="s">
        <v>33</v>
      </c>
      <c r="D1493" t="s">
        <v>37</v>
      </c>
      <c r="E1493">
        <v>42873</v>
      </c>
      <c r="F1493">
        <v>1</v>
      </c>
      <c r="G1493">
        <v>1</v>
      </c>
      <c r="H1493" t="s">
        <v>139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>
        <v>1763</v>
      </c>
      <c r="B1494">
        <v>1988</v>
      </c>
      <c r="C1494" t="s">
        <v>29</v>
      </c>
      <c r="D1494" t="s">
        <v>31</v>
      </c>
      <c r="E1494">
        <v>87679</v>
      </c>
      <c r="F1494">
        <v>0</v>
      </c>
      <c r="G1494">
        <v>0</v>
      </c>
      <c r="H1494" t="s">
        <v>329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25">
      <c r="A1495">
        <v>7250</v>
      </c>
      <c r="B1495">
        <v>1978</v>
      </c>
      <c r="C1495" t="s">
        <v>29</v>
      </c>
      <c r="D1495" t="s">
        <v>31</v>
      </c>
      <c r="E1495">
        <v>57867</v>
      </c>
      <c r="F1495">
        <v>1</v>
      </c>
      <c r="G1495">
        <v>0</v>
      </c>
      <c r="H1495" s="2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5">
      <c r="A1496">
        <v>2005</v>
      </c>
      <c r="B1496">
        <v>1990</v>
      </c>
      <c r="C1496" t="s">
        <v>29</v>
      </c>
      <c r="D1496" t="s">
        <v>34</v>
      </c>
      <c r="E1496">
        <v>35765</v>
      </c>
      <c r="F1496">
        <v>1</v>
      </c>
      <c r="G1496">
        <v>0</v>
      </c>
      <c r="H1496" s="2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>
        <v>10770</v>
      </c>
      <c r="B1497">
        <v>1959</v>
      </c>
      <c r="C1497" t="s">
        <v>29</v>
      </c>
      <c r="D1497" t="s">
        <v>34</v>
      </c>
      <c r="E1497">
        <v>65492</v>
      </c>
      <c r="F1497">
        <v>0</v>
      </c>
      <c r="G1497">
        <v>0</v>
      </c>
      <c r="H1497" t="s">
        <v>244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5">
      <c r="A1498">
        <v>6885</v>
      </c>
      <c r="B1498">
        <v>1977</v>
      </c>
      <c r="C1498" t="s">
        <v>29</v>
      </c>
      <c r="D1498" t="s">
        <v>37</v>
      </c>
      <c r="E1498">
        <v>32952</v>
      </c>
      <c r="F1498">
        <v>1</v>
      </c>
      <c r="G1498">
        <v>0</v>
      </c>
      <c r="H1498" s="2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>
        <v>2072</v>
      </c>
      <c r="B1499">
        <v>1969</v>
      </c>
      <c r="C1499" t="s">
        <v>33</v>
      </c>
      <c r="D1499" t="s">
        <v>31</v>
      </c>
      <c r="E1499">
        <v>53374</v>
      </c>
      <c r="F1499">
        <v>0</v>
      </c>
      <c r="G1499">
        <v>1</v>
      </c>
      <c r="H1499" t="s">
        <v>403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25">
      <c r="A1500">
        <v>9463</v>
      </c>
      <c r="B1500">
        <v>1959</v>
      </c>
      <c r="C1500" t="s">
        <v>29</v>
      </c>
      <c r="D1500" t="s">
        <v>31</v>
      </c>
      <c r="E1500">
        <v>71706</v>
      </c>
      <c r="F1500">
        <v>0</v>
      </c>
      <c r="G1500">
        <v>1</v>
      </c>
      <c r="H1500" t="s">
        <v>38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25">
      <c r="A1501">
        <v>6318</v>
      </c>
      <c r="B1501">
        <v>1988</v>
      </c>
      <c r="C1501" t="s">
        <v>29</v>
      </c>
      <c r="D1501" t="s">
        <v>34</v>
      </c>
      <c r="E1501">
        <v>68487</v>
      </c>
      <c r="F1501">
        <v>0</v>
      </c>
      <c r="G1501">
        <v>0</v>
      </c>
      <c r="H1501" t="s">
        <v>178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>
        <v>4093</v>
      </c>
      <c r="B1502">
        <v>1975</v>
      </c>
      <c r="C1502" t="s">
        <v>36</v>
      </c>
      <c r="D1502" t="s">
        <v>31</v>
      </c>
      <c r="E1502">
        <v>53253</v>
      </c>
      <c r="F1502">
        <v>1</v>
      </c>
      <c r="G1502">
        <v>1</v>
      </c>
      <c r="H1502" s="2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>
        <v>5751</v>
      </c>
      <c r="B1503">
        <v>1973</v>
      </c>
      <c r="C1503" t="s">
        <v>46</v>
      </c>
      <c r="D1503" t="s">
        <v>37</v>
      </c>
      <c r="E1503">
        <v>31163</v>
      </c>
      <c r="F1503">
        <v>1</v>
      </c>
      <c r="G1503">
        <v>0</v>
      </c>
      <c r="H1503" t="s">
        <v>374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>
        <v>3340</v>
      </c>
      <c r="B1504">
        <v>1977</v>
      </c>
      <c r="C1504" t="s">
        <v>29</v>
      </c>
      <c r="D1504" t="s">
        <v>34</v>
      </c>
      <c r="E1504">
        <v>42014</v>
      </c>
      <c r="F1504">
        <v>1</v>
      </c>
      <c r="G1504">
        <v>0</v>
      </c>
      <c r="H1504" t="s">
        <v>155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25">
      <c r="A1505">
        <v>3594</v>
      </c>
      <c r="B1505">
        <v>1973</v>
      </c>
      <c r="C1505" t="s">
        <v>36</v>
      </c>
      <c r="D1505" t="s">
        <v>34</v>
      </c>
      <c r="E1505">
        <v>54108</v>
      </c>
      <c r="F1505">
        <v>1</v>
      </c>
      <c r="G1505">
        <v>1</v>
      </c>
      <c r="H1505" s="2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>
        <v>3584</v>
      </c>
      <c r="B1506">
        <v>1955</v>
      </c>
      <c r="C1506" t="s">
        <v>33</v>
      </c>
      <c r="D1506" t="s">
        <v>30</v>
      </c>
      <c r="E1506">
        <v>49667</v>
      </c>
      <c r="F1506">
        <v>0</v>
      </c>
      <c r="G1506">
        <v>0</v>
      </c>
      <c r="H1506" t="s">
        <v>230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25">
      <c r="A1507">
        <v>3643</v>
      </c>
      <c r="B1507">
        <v>1974</v>
      </c>
      <c r="C1507" t="s">
        <v>36</v>
      </c>
      <c r="D1507" t="s">
        <v>34</v>
      </c>
      <c r="E1507">
        <v>63206</v>
      </c>
      <c r="F1507">
        <v>0</v>
      </c>
      <c r="G1507">
        <v>0</v>
      </c>
      <c r="H1507" t="s">
        <v>170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>
        <v>851</v>
      </c>
      <c r="B1508">
        <v>1972</v>
      </c>
      <c r="C1508" t="s">
        <v>36</v>
      </c>
      <c r="D1508" t="s">
        <v>34</v>
      </c>
      <c r="E1508">
        <v>57136</v>
      </c>
      <c r="F1508">
        <v>1</v>
      </c>
      <c r="G1508">
        <v>1</v>
      </c>
      <c r="H1508" s="2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>
        <v>7706</v>
      </c>
      <c r="B1509">
        <v>1975</v>
      </c>
      <c r="C1509" t="s">
        <v>46</v>
      </c>
      <c r="D1509" t="s">
        <v>31</v>
      </c>
      <c r="E1509">
        <v>46772</v>
      </c>
      <c r="F1509">
        <v>0</v>
      </c>
      <c r="G1509">
        <v>1</v>
      </c>
      <c r="H1509" s="2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>
        <v>3967</v>
      </c>
      <c r="B1510">
        <v>1971</v>
      </c>
      <c r="C1510" t="s">
        <v>33</v>
      </c>
      <c r="D1510" t="s">
        <v>34</v>
      </c>
      <c r="E1510">
        <v>78931</v>
      </c>
      <c r="F1510">
        <v>0</v>
      </c>
      <c r="G1510">
        <v>0</v>
      </c>
      <c r="H1510" t="s">
        <v>349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>
        <v>10128</v>
      </c>
      <c r="B1511">
        <v>1958</v>
      </c>
      <c r="C1511" t="s">
        <v>29</v>
      </c>
      <c r="D1511" t="s">
        <v>31</v>
      </c>
      <c r="E1511">
        <v>53977</v>
      </c>
      <c r="F1511">
        <v>0</v>
      </c>
      <c r="G1511">
        <v>1</v>
      </c>
      <c r="H1511" s="2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>
        <v>486</v>
      </c>
      <c r="B1512">
        <v>1988</v>
      </c>
      <c r="C1512" t="s">
        <v>29</v>
      </c>
      <c r="D1512" t="s">
        <v>34</v>
      </c>
      <c r="E1512">
        <v>84219</v>
      </c>
      <c r="F1512">
        <v>0</v>
      </c>
      <c r="G1512">
        <v>0</v>
      </c>
      <c r="H1512" s="2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>
        <v>9</v>
      </c>
      <c r="B1513">
        <v>1975</v>
      </c>
      <c r="C1513" t="s">
        <v>36</v>
      </c>
      <c r="D1513" t="s">
        <v>30</v>
      </c>
      <c r="E1513">
        <v>46098</v>
      </c>
      <c r="F1513">
        <v>1</v>
      </c>
      <c r="G1513">
        <v>1</v>
      </c>
      <c r="H1513" t="s">
        <v>205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>
        <v>9451</v>
      </c>
      <c r="B1514">
        <v>1965</v>
      </c>
      <c r="C1514" t="s">
        <v>29</v>
      </c>
      <c r="D1514" t="s">
        <v>34</v>
      </c>
      <c r="E1514">
        <v>73538</v>
      </c>
      <c r="F1514">
        <v>0</v>
      </c>
      <c r="G1514">
        <v>1</v>
      </c>
      <c r="H1514" t="s">
        <v>404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5">
      <c r="A1515">
        <v>9264</v>
      </c>
      <c r="B1515">
        <v>1986</v>
      </c>
      <c r="C1515" t="s">
        <v>29</v>
      </c>
      <c r="D1515" t="s">
        <v>34</v>
      </c>
      <c r="E1515">
        <v>79529</v>
      </c>
      <c r="F1515">
        <v>0</v>
      </c>
      <c r="G1515">
        <v>0</v>
      </c>
      <c r="H1515" t="s">
        <v>405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>
        <v>3865</v>
      </c>
      <c r="B1516">
        <v>1977</v>
      </c>
      <c r="C1516" t="s">
        <v>46</v>
      </c>
      <c r="D1516" t="s">
        <v>31</v>
      </c>
      <c r="E1516">
        <v>20981</v>
      </c>
      <c r="F1516">
        <v>0</v>
      </c>
      <c r="G1516">
        <v>0</v>
      </c>
      <c r="H1516" t="s">
        <v>406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25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s="2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5">
      <c r="A1518">
        <v>1490</v>
      </c>
      <c r="B1518">
        <v>1962</v>
      </c>
      <c r="C1518" t="s">
        <v>29</v>
      </c>
      <c r="D1518" t="s">
        <v>34</v>
      </c>
      <c r="E1518">
        <v>55759</v>
      </c>
      <c r="F1518">
        <v>0</v>
      </c>
      <c r="G1518">
        <v>1</v>
      </c>
      <c r="H1518" t="s">
        <v>262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>
        <v>6310</v>
      </c>
      <c r="B1519">
        <v>1978</v>
      </c>
      <c r="C1519" t="s">
        <v>29</v>
      </c>
      <c r="D1519" t="s">
        <v>34</v>
      </c>
      <c r="E1519">
        <v>33039</v>
      </c>
      <c r="F1519">
        <v>1</v>
      </c>
      <c r="G1519">
        <v>0</v>
      </c>
      <c r="H1519" s="2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>
        <v>10380</v>
      </c>
      <c r="B1520">
        <v>1972</v>
      </c>
      <c r="C1520" t="s">
        <v>36</v>
      </c>
      <c r="D1520" t="s">
        <v>34</v>
      </c>
      <c r="E1520">
        <v>37787</v>
      </c>
      <c r="F1520">
        <v>1</v>
      </c>
      <c r="G1520">
        <v>0</v>
      </c>
      <c r="H1520" t="s">
        <v>366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s="2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>
        <v>4278</v>
      </c>
      <c r="B1522">
        <v>1983</v>
      </c>
      <c r="C1522" t="s">
        <v>33</v>
      </c>
      <c r="D1522" t="s">
        <v>30</v>
      </c>
      <c r="E1522">
        <v>87188</v>
      </c>
      <c r="F1522">
        <v>0</v>
      </c>
      <c r="G1522">
        <v>0</v>
      </c>
      <c r="H1522" s="2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25">
      <c r="A1523">
        <v>8643</v>
      </c>
      <c r="B1523">
        <v>1971</v>
      </c>
      <c r="C1523" t="s">
        <v>29</v>
      </c>
      <c r="D1523" t="s">
        <v>31</v>
      </c>
      <c r="E1523">
        <v>69930</v>
      </c>
      <c r="F1523">
        <v>0</v>
      </c>
      <c r="G1523">
        <v>0</v>
      </c>
      <c r="H1523" t="s">
        <v>315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s="2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>
        <v>10795</v>
      </c>
      <c r="B1525">
        <v>1973</v>
      </c>
      <c r="C1525" t="s">
        <v>33</v>
      </c>
      <c r="D1525" t="s">
        <v>34</v>
      </c>
      <c r="E1525">
        <v>37401</v>
      </c>
      <c r="F1525">
        <v>1</v>
      </c>
      <c r="G1525">
        <v>0</v>
      </c>
      <c r="H1525" s="2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t="s">
        <v>221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>
        <v>2408</v>
      </c>
      <c r="B1527">
        <v>1976</v>
      </c>
      <c r="C1527" t="s">
        <v>29</v>
      </c>
      <c r="D1527" t="s">
        <v>34</v>
      </c>
      <c r="E1527">
        <v>58597</v>
      </c>
      <c r="F1527">
        <v>1</v>
      </c>
      <c r="G1527">
        <v>1</v>
      </c>
      <c r="H1527" t="s">
        <v>407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>
        <v>202</v>
      </c>
      <c r="B1528">
        <v>1948</v>
      </c>
      <c r="C1528" t="s">
        <v>33</v>
      </c>
      <c r="D1528" t="s">
        <v>57</v>
      </c>
      <c r="E1528">
        <v>82032</v>
      </c>
      <c r="F1528">
        <v>0</v>
      </c>
      <c r="G1528">
        <v>0</v>
      </c>
      <c r="H1528" s="2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>
        <v>7998</v>
      </c>
      <c r="B1529">
        <v>1958</v>
      </c>
      <c r="C1529" t="s">
        <v>29</v>
      </c>
      <c r="D1529" t="s">
        <v>31</v>
      </c>
      <c r="E1529">
        <v>28087</v>
      </c>
      <c r="F1529">
        <v>1</v>
      </c>
      <c r="G1529">
        <v>1</v>
      </c>
      <c r="H1529" s="2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>
        <v>830</v>
      </c>
      <c r="B1530">
        <v>1987</v>
      </c>
      <c r="C1530" t="s">
        <v>33</v>
      </c>
      <c r="D1530" t="s">
        <v>30</v>
      </c>
      <c r="E1530">
        <v>74004</v>
      </c>
      <c r="F1530">
        <v>0</v>
      </c>
      <c r="G1530">
        <v>0</v>
      </c>
      <c r="H1530" t="s">
        <v>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25">
      <c r="A1531">
        <v>3536</v>
      </c>
      <c r="B1531">
        <v>1960</v>
      </c>
      <c r="C1531" t="s">
        <v>29</v>
      </c>
      <c r="D1531" t="s">
        <v>31</v>
      </c>
      <c r="E1531">
        <v>19740</v>
      </c>
      <c r="F1531">
        <v>0</v>
      </c>
      <c r="G1531">
        <v>1</v>
      </c>
      <c r="H1531" t="s">
        <v>338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>
        <v>6050</v>
      </c>
      <c r="B1532">
        <v>1975</v>
      </c>
      <c r="C1532" t="s">
        <v>46</v>
      </c>
      <c r="D1532" t="s">
        <v>34</v>
      </c>
      <c r="E1532">
        <v>57036</v>
      </c>
      <c r="F1532">
        <v>0</v>
      </c>
      <c r="G1532">
        <v>1</v>
      </c>
      <c r="H1532" s="2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>
        <v>125</v>
      </c>
      <c r="B1533">
        <v>1958</v>
      </c>
      <c r="C1533" t="s">
        <v>46</v>
      </c>
      <c r="D1533" t="s">
        <v>31</v>
      </c>
      <c r="E1533">
        <v>53083</v>
      </c>
      <c r="F1533">
        <v>1</v>
      </c>
      <c r="G1533">
        <v>1</v>
      </c>
      <c r="H1533" t="s">
        <v>147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>
        <v>3463</v>
      </c>
      <c r="B1534">
        <v>1975</v>
      </c>
      <c r="C1534" t="s">
        <v>33</v>
      </c>
      <c r="D1534" t="s">
        <v>34</v>
      </c>
      <c r="E1534">
        <v>69283</v>
      </c>
      <c r="F1534">
        <v>0</v>
      </c>
      <c r="G1534">
        <v>1</v>
      </c>
      <c r="H1534" t="s">
        <v>408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>
        <v>2804</v>
      </c>
      <c r="B1535">
        <v>1975</v>
      </c>
      <c r="C1535" t="s">
        <v>36</v>
      </c>
      <c r="D1535" t="s">
        <v>30</v>
      </c>
      <c r="E1535">
        <v>46098</v>
      </c>
      <c r="F1535">
        <v>1</v>
      </c>
      <c r="G1535">
        <v>1</v>
      </c>
      <c r="H1535" t="s">
        <v>205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25">
      <c r="A1536">
        <v>3745</v>
      </c>
      <c r="B1536">
        <v>1988</v>
      </c>
      <c r="C1536" t="s">
        <v>46</v>
      </c>
      <c r="D1536" t="s">
        <v>34</v>
      </c>
      <c r="E1536">
        <v>23331</v>
      </c>
      <c r="F1536">
        <v>1</v>
      </c>
      <c r="G1536">
        <v>0</v>
      </c>
      <c r="H1536" s="2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>
        <v>9771</v>
      </c>
      <c r="B1537">
        <v>1988</v>
      </c>
      <c r="C1537" t="s">
        <v>46</v>
      </c>
      <c r="D1537" t="s">
        <v>30</v>
      </c>
      <c r="E1537">
        <v>23331</v>
      </c>
      <c r="F1537">
        <v>1</v>
      </c>
      <c r="G1537">
        <v>0</v>
      </c>
      <c r="H1537" s="2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t="s">
        <v>227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>
        <v>10530</v>
      </c>
      <c r="B1539">
        <v>1959</v>
      </c>
      <c r="C1539" t="s">
        <v>33</v>
      </c>
      <c r="D1539" t="s">
        <v>57</v>
      </c>
      <c r="E1539">
        <v>67786</v>
      </c>
      <c r="F1539">
        <v>0</v>
      </c>
      <c r="G1539">
        <v>0</v>
      </c>
      <c r="H1539" s="2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25">
      <c r="A1540">
        <v>1079</v>
      </c>
      <c r="B1540">
        <v>1971</v>
      </c>
      <c r="C1540" t="s">
        <v>33</v>
      </c>
      <c r="D1540" t="s">
        <v>34</v>
      </c>
      <c r="E1540">
        <v>71969</v>
      </c>
      <c r="F1540">
        <v>0</v>
      </c>
      <c r="G1540">
        <v>1</v>
      </c>
      <c r="H1540" t="s">
        <v>161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25">
      <c r="A1541">
        <v>8920</v>
      </c>
      <c r="B1541">
        <v>1967</v>
      </c>
      <c r="C1541" t="s">
        <v>36</v>
      </c>
      <c r="D1541" t="s">
        <v>30</v>
      </c>
      <c r="E1541">
        <v>59235</v>
      </c>
      <c r="F1541">
        <v>1</v>
      </c>
      <c r="G1541">
        <v>0</v>
      </c>
      <c r="H1541" s="2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>
        <v>6678</v>
      </c>
      <c r="B1542">
        <v>1989</v>
      </c>
      <c r="C1542" t="s">
        <v>29</v>
      </c>
      <c r="D1542" t="s">
        <v>31</v>
      </c>
      <c r="E1542">
        <v>31928</v>
      </c>
      <c r="F1542">
        <v>1</v>
      </c>
      <c r="G1542">
        <v>0</v>
      </c>
      <c r="H1542" t="s">
        <v>409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>
        <v>3852</v>
      </c>
      <c r="B1543">
        <v>1961</v>
      </c>
      <c r="C1543" t="s">
        <v>36</v>
      </c>
      <c r="D1543" t="s">
        <v>31</v>
      </c>
      <c r="E1543">
        <v>74881</v>
      </c>
      <c r="F1543">
        <v>1</v>
      </c>
      <c r="G1543">
        <v>1</v>
      </c>
      <c r="H1543" s="2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>
        <v>528</v>
      </c>
      <c r="B1544">
        <v>1978</v>
      </c>
      <c r="C1544" t="s">
        <v>29</v>
      </c>
      <c r="D1544" t="s">
        <v>34</v>
      </c>
      <c r="E1544">
        <v>65819</v>
      </c>
      <c r="F1544">
        <v>0</v>
      </c>
      <c r="G1544">
        <v>0</v>
      </c>
      <c r="H1544" t="s">
        <v>328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>
        <v>73</v>
      </c>
      <c r="B1545">
        <v>1953</v>
      </c>
      <c r="C1545" t="s">
        <v>33</v>
      </c>
      <c r="D1545" t="s">
        <v>30</v>
      </c>
      <c r="E1545">
        <v>51411</v>
      </c>
      <c r="F1545">
        <v>1</v>
      </c>
      <c r="G1545">
        <v>2</v>
      </c>
      <c r="H1545" t="s">
        <v>315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>
        <v>5589</v>
      </c>
      <c r="B1546">
        <v>1964</v>
      </c>
      <c r="C1546" t="s">
        <v>29</v>
      </c>
      <c r="D1546" t="s">
        <v>37</v>
      </c>
      <c r="E1546">
        <v>51983</v>
      </c>
      <c r="F1546">
        <v>0</v>
      </c>
      <c r="G1546">
        <v>1</v>
      </c>
      <c r="H1546" t="s">
        <v>44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>
        <v>10212</v>
      </c>
      <c r="B1547">
        <v>1986</v>
      </c>
      <c r="C1547" t="s">
        <v>36</v>
      </c>
      <c r="D1547" t="s">
        <v>31</v>
      </c>
      <c r="E1547">
        <v>42386</v>
      </c>
      <c r="F1547">
        <v>1</v>
      </c>
      <c r="G1547">
        <v>0</v>
      </c>
      <c r="H1547" t="s">
        <v>178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>
        <v>6365</v>
      </c>
      <c r="B1548">
        <v>1987</v>
      </c>
      <c r="C1548" t="s">
        <v>46</v>
      </c>
      <c r="D1548" t="s">
        <v>34</v>
      </c>
      <c r="E1548">
        <v>30390</v>
      </c>
      <c r="F1548">
        <v>0</v>
      </c>
      <c r="G1548">
        <v>0</v>
      </c>
      <c r="H1548" s="2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s="2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25">
      <c r="A1550">
        <v>591</v>
      </c>
      <c r="B1550">
        <v>1957</v>
      </c>
      <c r="C1550" t="s">
        <v>29</v>
      </c>
      <c r="D1550" t="s">
        <v>57</v>
      </c>
      <c r="E1550">
        <v>66033</v>
      </c>
      <c r="F1550">
        <v>0</v>
      </c>
      <c r="G1550">
        <v>1</v>
      </c>
      <c r="H1550" t="s">
        <v>282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>
        <v>2217</v>
      </c>
      <c r="B1551">
        <v>1975</v>
      </c>
      <c r="C1551" t="s">
        <v>46</v>
      </c>
      <c r="D1551" t="s">
        <v>34</v>
      </c>
      <c r="E1551">
        <v>37284</v>
      </c>
      <c r="F1551">
        <v>1</v>
      </c>
      <c r="G1551">
        <v>1</v>
      </c>
      <c r="H1551" t="s">
        <v>310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>
        <v>2544</v>
      </c>
      <c r="B1552">
        <v>1951</v>
      </c>
      <c r="C1552" t="s">
        <v>36</v>
      </c>
      <c r="D1552" t="s">
        <v>37</v>
      </c>
      <c r="E1552">
        <v>57530</v>
      </c>
      <c r="F1552">
        <v>0</v>
      </c>
      <c r="G1552">
        <v>1</v>
      </c>
      <c r="H1552" s="2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>
        <v>7725</v>
      </c>
      <c r="B1553">
        <v>1965</v>
      </c>
      <c r="C1553" t="s">
        <v>46</v>
      </c>
      <c r="D1553" t="s">
        <v>34</v>
      </c>
      <c r="E1553">
        <v>76800</v>
      </c>
      <c r="F1553">
        <v>0</v>
      </c>
      <c r="G1553">
        <v>0</v>
      </c>
      <c r="H1553" s="2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5">
      <c r="A1554">
        <v>8091</v>
      </c>
      <c r="B1554">
        <v>1956</v>
      </c>
      <c r="C1554" t="s">
        <v>29</v>
      </c>
      <c r="D1554" t="s">
        <v>34</v>
      </c>
      <c r="E1554">
        <v>63943</v>
      </c>
      <c r="F1554">
        <v>0</v>
      </c>
      <c r="G1554">
        <v>1</v>
      </c>
      <c r="H1554" s="2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>
        <v>7321</v>
      </c>
      <c r="B1555">
        <v>1962</v>
      </c>
      <c r="C1555" t="s">
        <v>29</v>
      </c>
      <c r="D1555" t="s">
        <v>31</v>
      </c>
      <c r="E1555">
        <v>76081</v>
      </c>
      <c r="F1555">
        <v>0</v>
      </c>
      <c r="G1555">
        <v>0</v>
      </c>
      <c r="H1555" t="s">
        <v>120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>
        <v>5462</v>
      </c>
      <c r="B1556">
        <v>1974</v>
      </c>
      <c r="C1556" t="s">
        <v>29</v>
      </c>
      <c r="D1556" t="s">
        <v>34</v>
      </c>
      <c r="E1556">
        <v>67445</v>
      </c>
      <c r="F1556">
        <v>0</v>
      </c>
      <c r="G1556">
        <v>1</v>
      </c>
      <c r="H1556" s="2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>
        <v>7791</v>
      </c>
      <c r="B1557">
        <v>1967</v>
      </c>
      <c r="C1557" t="s">
        <v>36</v>
      </c>
      <c r="D1557" t="s">
        <v>34</v>
      </c>
      <c r="E1557">
        <v>37054</v>
      </c>
      <c r="F1557">
        <v>1</v>
      </c>
      <c r="G1557">
        <v>1</v>
      </c>
      <c r="H1557" t="s">
        <v>311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>
        <v>955</v>
      </c>
      <c r="B1558">
        <v>1962</v>
      </c>
      <c r="C1558" t="s">
        <v>36</v>
      </c>
      <c r="D1558" t="s">
        <v>31</v>
      </c>
      <c r="E1558">
        <v>47175</v>
      </c>
      <c r="F1558">
        <v>1</v>
      </c>
      <c r="G1558">
        <v>1</v>
      </c>
      <c r="H1558" t="s">
        <v>107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25">
      <c r="A1559">
        <v>4037</v>
      </c>
      <c r="B1559">
        <v>1976</v>
      </c>
      <c r="C1559" t="s">
        <v>29</v>
      </c>
      <c r="D1559" t="s">
        <v>37</v>
      </c>
      <c r="E1559">
        <v>31859</v>
      </c>
      <c r="F1559">
        <v>1</v>
      </c>
      <c r="G1559">
        <v>0</v>
      </c>
      <c r="H1559" t="s">
        <v>207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>
        <v>6642</v>
      </c>
      <c r="B1560">
        <v>1961</v>
      </c>
      <c r="C1560" t="s">
        <v>29</v>
      </c>
      <c r="D1560" t="s">
        <v>37</v>
      </c>
      <c r="E1560">
        <v>27215</v>
      </c>
      <c r="F1560">
        <v>2</v>
      </c>
      <c r="G1560">
        <v>1</v>
      </c>
      <c r="H1560" t="s">
        <v>217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>
        <v>2793</v>
      </c>
      <c r="B1561">
        <v>1976</v>
      </c>
      <c r="C1561" t="s">
        <v>33</v>
      </c>
      <c r="D1561" t="s">
        <v>37</v>
      </c>
      <c r="E1561">
        <v>70179</v>
      </c>
      <c r="F1561">
        <v>0</v>
      </c>
      <c r="G1561">
        <v>1</v>
      </c>
      <c r="H1561" t="s">
        <v>370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>
        <v>5424</v>
      </c>
      <c r="B1562">
        <v>1983</v>
      </c>
      <c r="C1562" t="s">
        <v>29</v>
      </c>
      <c r="D1562" t="s">
        <v>34</v>
      </c>
      <c r="E1562">
        <v>39922</v>
      </c>
      <c r="F1562">
        <v>1</v>
      </c>
      <c r="G1562">
        <v>0</v>
      </c>
      <c r="H1562" t="s">
        <v>326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>
        <v>879</v>
      </c>
      <c r="B1563">
        <v>1976</v>
      </c>
      <c r="C1563" t="s">
        <v>36</v>
      </c>
      <c r="D1563" t="s">
        <v>34</v>
      </c>
      <c r="E1563">
        <v>49681</v>
      </c>
      <c r="F1563">
        <v>0</v>
      </c>
      <c r="G1563">
        <v>2</v>
      </c>
      <c r="H1563" s="2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>
        <v>9530</v>
      </c>
      <c r="B1564">
        <v>1988</v>
      </c>
      <c r="C1564" t="s">
        <v>29</v>
      </c>
      <c r="D1564" t="s">
        <v>34</v>
      </c>
      <c r="E1564">
        <v>24645</v>
      </c>
      <c r="F1564">
        <v>1</v>
      </c>
      <c r="G1564">
        <v>0</v>
      </c>
      <c r="H1564" s="2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>
        <v>4828</v>
      </c>
      <c r="B1565">
        <v>1954</v>
      </c>
      <c r="C1565" t="s">
        <v>29</v>
      </c>
      <c r="D1565" t="s">
        <v>37</v>
      </c>
      <c r="E1565">
        <v>79865</v>
      </c>
      <c r="F1565">
        <v>0</v>
      </c>
      <c r="G1565">
        <v>1</v>
      </c>
      <c r="H1565" t="s">
        <v>258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5">
      <c r="A1566">
        <v>10699</v>
      </c>
      <c r="B1566">
        <v>1985</v>
      </c>
      <c r="C1566" t="s">
        <v>29</v>
      </c>
      <c r="D1566" t="s">
        <v>34</v>
      </c>
      <c r="E1566">
        <v>44322</v>
      </c>
      <c r="F1566">
        <v>1</v>
      </c>
      <c r="G1566">
        <v>0</v>
      </c>
      <c r="H1566" t="s">
        <v>192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25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t="s">
        <v>323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>
        <v>7476</v>
      </c>
      <c r="B1568">
        <v>1964</v>
      </c>
      <c r="C1568" t="s">
        <v>36</v>
      </c>
      <c r="D1568" t="s">
        <v>30</v>
      </c>
      <c r="E1568">
        <v>63972</v>
      </c>
      <c r="F1568">
        <v>0</v>
      </c>
      <c r="G1568">
        <v>1</v>
      </c>
      <c r="H1568" s="2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>
        <v>4390</v>
      </c>
      <c r="B1569">
        <v>1954</v>
      </c>
      <c r="C1569" t="s">
        <v>29</v>
      </c>
      <c r="D1569" t="s">
        <v>31</v>
      </c>
      <c r="E1569">
        <v>75315</v>
      </c>
      <c r="F1569">
        <v>0</v>
      </c>
      <c r="G1569">
        <v>1</v>
      </c>
      <c r="H1569" t="s">
        <v>410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>
        <v>10478</v>
      </c>
      <c r="B1570">
        <v>1950</v>
      </c>
      <c r="C1570" t="s">
        <v>33</v>
      </c>
      <c r="D1570" t="s">
        <v>34</v>
      </c>
      <c r="E1570">
        <v>55517</v>
      </c>
      <c r="F1570">
        <v>1</v>
      </c>
      <c r="G1570">
        <v>1</v>
      </c>
      <c r="H1570" t="s">
        <v>212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25">
      <c r="A1571">
        <v>1081</v>
      </c>
      <c r="B1571">
        <v>1957</v>
      </c>
      <c r="C1571" t="s">
        <v>33</v>
      </c>
      <c r="D1571" t="s">
        <v>34</v>
      </c>
      <c r="E1571">
        <v>75283</v>
      </c>
      <c r="F1571">
        <v>1</v>
      </c>
      <c r="G1571">
        <v>2</v>
      </c>
      <c r="H1571" t="s">
        <v>237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>
        <v>4261</v>
      </c>
      <c r="B1572">
        <v>1946</v>
      </c>
      <c r="C1572" t="s">
        <v>33</v>
      </c>
      <c r="D1572" t="s">
        <v>30</v>
      </c>
      <c r="E1572">
        <v>82800</v>
      </c>
      <c r="F1572">
        <v>0</v>
      </c>
      <c r="G1572">
        <v>0</v>
      </c>
      <c r="H1572" t="s">
        <v>42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25">
      <c r="A1573">
        <v>9916</v>
      </c>
      <c r="B1573">
        <v>1954</v>
      </c>
      <c r="C1573" t="s">
        <v>29</v>
      </c>
      <c r="D1573" t="s">
        <v>34</v>
      </c>
      <c r="E1573">
        <v>38998</v>
      </c>
      <c r="F1573">
        <v>1</v>
      </c>
      <c r="G1573">
        <v>1</v>
      </c>
      <c r="H1573" s="2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5">
      <c r="A1574">
        <v>5350</v>
      </c>
      <c r="B1574">
        <v>1991</v>
      </c>
      <c r="C1574" t="s">
        <v>36</v>
      </c>
      <c r="D1574" t="s">
        <v>30</v>
      </c>
      <c r="E1574">
        <v>90638</v>
      </c>
      <c r="F1574">
        <v>0</v>
      </c>
      <c r="G1574">
        <v>0</v>
      </c>
      <c r="H1574" t="s">
        <v>374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25">
      <c r="A1575">
        <v>8135</v>
      </c>
      <c r="B1575">
        <v>1986</v>
      </c>
      <c r="C1575" t="s">
        <v>36</v>
      </c>
      <c r="D1575" t="s">
        <v>34</v>
      </c>
      <c r="E1575">
        <v>27161</v>
      </c>
      <c r="F1575">
        <v>1</v>
      </c>
      <c r="G1575">
        <v>0</v>
      </c>
      <c r="H1575" t="s">
        <v>152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>
        <v>8685</v>
      </c>
      <c r="B1576">
        <v>1977</v>
      </c>
      <c r="C1576" t="s">
        <v>29</v>
      </c>
      <c r="D1576" t="s">
        <v>34</v>
      </c>
      <c r="E1576">
        <v>42014</v>
      </c>
      <c r="F1576">
        <v>1</v>
      </c>
      <c r="G1576">
        <v>0</v>
      </c>
      <c r="H1576" t="s">
        <v>155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25">
      <c r="A1577">
        <v>4967</v>
      </c>
      <c r="B1577">
        <v>1960</v>
      </c>
      <c r="C1577" t="s">
        <v>33</v>
      </c>
      <c r="D1577" t="s">
        <v>31</v>
      </c>
      <c r="E1577">
        <v>38201</v>
      </c>
      <c r="F1577">
        <v>0</v>
      </c>
      <c r="G1577">
        <v>1</v>
      </c>
      <c r="H1577" t="s">
        <v>310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>
        <v>2130</v>
      </c>
      <c r="B1578">
        <v>1982</v>
      </c>
      <c r="C1578" t="s">
        <v>29</v>
      </c>
      <c r="D1578" t="s">
        <v>31</v>
      </c>
      <c r="E1578">
        <v>45203</v>
      </c>
      <c r="F1578">
        <v>2</v>
      </c>
      <c r="G1578">
        <v>0</v>
      </c>
      <c r="H1578" t="s">
        <v>81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25">
      <c r="A1579">
        <v>9298</v>
      </c>
      <c r="B1579">
        <v>1947</v>
      </c>
      <c r="C1579" t="s">
        <v>33</v>
      </c>
      <c r="D1579" t="s">
        <v>31</v>
      </c>
      <c r="E1579">
        <v>81574</v>
      </c>
      <c r="F1579">
        <v>0</v>
      </c>
      <c r="G1579">
        <v>0</v>
      </c>
      <c r="H1579" t="s">
        <v>62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25">
      <c r="A1580">
        <v>8175</v>
      </c>
      <c r="B1580">
        <v>1992</v>
      </c>
      <c r="C1580" t="s">
        <v>29</v>
      </c>
      <c r="D1580" t="s">
        <v>34</v>
      </c>
      <c r="E1580">
        <v>34935</v>
      </c>
      <c r="F1580">
        <v>0</v>
      </c>
      <c r="G1580">
        <v>0</v>
      </c>
      <c r="H1580" t="s">
        <v>224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5">
      <c r="A1581">
        <v>6257</v>
      </c>
      <c r="B1581">
        <v>1976</v>
      </c>
      <c r="C1581" t="s">
        <v>36</v>
      </c>
      <c r="D1581" t="s">
        <v>30</v>
      </c>
      <c r="E1581">
        <v>60482</v>
      </c>
      <c r="F1581">
        <v>0</v>
      </c>
      <c r="G1581">
        <v>1</v>
      </c>
      <c r="H1581" t="s">
        <v>217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5">
      <c r="A1582">
        <v>3790</v>
      </c>
      <c r="B1582">
        <v>1956</v>
      </c>
      <c r="C1582" t="s">
        <v>29</v>
      </c>
      <c r="D1582" t="s">
        <v>31</v>
      </c>
      <c r="E1582">
        <v>34633</v>
      </c>
      <c r="F1582">
        <v>2</v>
      </c>
      <c r="G1582">
        <v>1</v>
      </c>
      <c r="H1582" t="s">
        <v>337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>
        <v>9952</v>
      </c>
      <c r="B1583">
        <v>1947</v>
      </c>
      <c r="C1583" t="s">
        <v>36</v>
      </c>
      <c r="D1583" t="s">
        <v>31</v>
      </c>
      <c r="E1583">
        <v>78093</v>
      </c>
      <c r="F1583">
        <v>0</v>
      </c>
      <c r="G1583">
        <v>0</v>
      </c>
      <c r="H1583" s="2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>
        <v>3503</v>
      </c>
      <c r="B1584">
        <v>1950</v>
      </c>
      <c r="C1584" t="s">
        <v>29</v>
      </c>
      <c r="D1584" t="s">
        <v>37</v>
      </c>
      <c r="E1584">
        <v>82460</v>
      </c>
      <c r="F1584">
        <v>0</v>
      </c>
      <c r="G1584">
        <v>0</v>
      </c>
      <c r="H1584" s="2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>
        <v>5223</v>
      </c>
      <c r="B1585">
        <v>1966</v>
      </c>
      <c r="C1585" t="s">
        <v>36</v>
      </c>
      <c r="D1585" t="s">
        <v>31</v>
      </c>
      <c r="E1585">
        <v>45903</v>
      </c>
      <c r="F1585">
        <v>0</v>
      </c>
      <c r="G1585">
        <v>1</v>
      </c>
      <c r="H1585" t="s">
        <v>356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>
        <v>4608</v>
      </c>
      <c r="B1586">
        <v>1987</v>
      </c>
      <c r="C1586" t="s">
        <v>29</v>
      </c>
      <c r="D1586" t="s">
        <v>37</v>
      </c>
      <c r="E1586">
        <v>81361</v>
      </c>
      <c r="F1586">
        <v>0</v>
      </c>
      <c r="G1586">
        <v>0</v>
      </c>
      <c r="H1586" t="s">
        <v>75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5">
      <c r="A1587">
        <v>1626</v>
      </c>
      <c r="B1587">
        <v>1973</v>
      </c>
      <c r="C1587" t="s">
        <v>33</v>
      </c>
      <c r="D1587" t="s">
        <v>37</v>
      </c>
      <c r="E1587">
        <v>35860</v>
      </c>
      <c r="F1587">
        <v>1</v>
      </c>
      <c r="G1587">
        <v>1</v>
      </c>
      <c r="H1587" t="s">
        <v>100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>
        <v>4764</v>
      </c>
      <c r="B1588">
        <v>1952</v>
      </c>
      <c r="C1588" t="s">
        <v>36</v>
      </c>
      <c r="D1588" t="s">
        <v>31</v>
      </c>
      <c r="E1588">
        <v>40442</v>
      </c>
      <c r="F1588">
        <v>1</v>
      </c>
      <c r="G1588">
        <v>1</v>
      </c>
      <c r="H1588" t="s">
        <v>241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25">
      <c r="A1589">
        <v>2471</v>
      </c>
      <c r="B1589">
        <v>1965</v>
      </c>
      <c r="C1589" t="s">
        <v>29</v>
      </c>
      <c r="D1589" t="s">
        <v>34</v>
      </c>
      <c r="E1589">
        <v>61482</v>
      </c>
      <c r="F1589">
        <v>0</v>
      </c>
      <c r="G1589">
        <v>0</v>
      </c>
      <c r="H1589" t="s">
        <v>305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5">
      <c r="A1590">
        <v>5892</v>
      </c>
      <c r="B1590">
        <v>1980</v>
      </c>
      <c r="C1590" t="s">
        <v>29</v>
      </c>
      <c r="D1590" t="s">
        <v>34</v>
      </c>
      <c r="E1590">
        <v>34968</v>
      </c>
      <c r="F1590">
        <v>1</v>
      </c>
      <c r="G1590">
        <v>0</v>
      </c>
      <c r="H1590" s="2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>
        <v>2612</v>
      </c>
      <c r="B1591">
        <v>1987</v>
      </c>
      <c r="C1591" t="s">
        <v>29</v>
      </c>
      <c r="D1591" t="s">
        <v>34</v>
      </c>
      <c r="E1591">
        <v>75794</v>
      </c>
      <c r="F1591">
        <v>0</v>
      </c>
      <c r="G1591">
        <v>0</v>
      </c>
      <c r="H1591" t="s">
        <v>368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>
        <v>4971</v>
      </c>
      <c r="B1592">
        <v>1962</v>
      </c>
      <c r="C1592" t="s">
        <v>33</v>
      </c>
      <c r="D1592" t="s">
        <v>31</v>
      </c>
      <c r="E1592">
        <v>31497</v>
      </c>
      <c r="F1592">
        <v>0</v>
      </c>
      <c r="G1592">
        <v>1</v>
      </c>
      <c r="H1592" s="2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>
        <v>5185</v>
      </c>
      <c r="B1593">
        <v>1955</v>
      </c>
      <c r="C1593" t="s">
        <v>29</v>
      </c>
      <c r="D1593" t="s">
        <v>34</v>
      </c>
      <c r="E1593">
        <v>74268</v>
      </c>
      <c r="F1593">
        <v>0</v>
      </c>
      <c r="G1593">
        <v>0</v>
      </c>
      <c r="H1593" t="s">
        <v>326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>
        <v>10069</v>
      </c>
      <c r="B1594">
        <v>1988</v>
      </c>
      <c r="C1594" t="s">
        <v>41</v>
      </c>
      <c r="D1594" t="s">
        <v>31</v>
      </c>
      <c r="E1594">
        <v>13724</v>
      </c>
      <c r="F1594">
        <v>1</v>
      </c>
      <c r="G1594">
        <v>0</v>
      </c>
      <c r="H1594" t="s">
        <v>44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>
        <v>2262</v>
      </c>
      <c r="B1595">
        <v>1965</v>
      </c>
      <c r="C1595" t="s">
        <v>36</v>
      </c>
      <c r="D1595" t="s">
        <v>31</v>
      </c>
      <c r="E1595">
        <v>45143</v>
      </c>
      <c r="F1595">
        <v>0</v>
      </c>
      <c r="G1595">
        <v>1</v>
      </c>
      <c r="H1595" t="s">
        <v>390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5">
      <c r="A1596">
        <v>1131</v>
      </c>
      <c r="B1596">
        <v>1967</v>
      </c>
      <c r="C1596" t="s">
        <v>33</v>
      </c>
      <c r="D1596" t="s">
        <v>30</v>
      </c>
      <c r="E1596">
        <v>52569</v>
      </c>
      <c r="F1596">
        <v>0</v>
      </c>
      <c r="G1596">
        <v>1</v>
      </c>
      <c r="H1596" s="2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>
        <v>1041</v>
      </c>
      <c r="B1597">
        <v>1973</v>
      </c>
      <c r="C1597" t="s">
        <v>33</v>
      </c>
      <c r="D1597" t="s">
        <v>30</v>
      </c>
      <c r="E1597">
        <v>48432</v>
      </c>
      <c r="F1597">
        <v>0</v>
      </c>
      <c r="G1597">
        <v>1</v>
      </c>
      <c r="H1597" t="s">
        <v>106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25">
      <c r="A1598">
        <v>24</v>
      </c>
      <c r="B1598">
        <v>1960</v>
      </c>
      <c r="C1598" t="s">
        <v>36</v>
      </c>
      <c r="D1598" t="s">
        <v>31</v>
      </c>
      <c r="E1598">
        <v>17144</v>
      </c>
      <c r="F1598">
        <v>1</v>
      </c>
      <c r="G1598">
        <v>1</v>
      </c>
      <c r="H1598" t="s">
        <v>260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t="s">
        <v>399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>
        <v>7022</v>
      </c>
      <c r="B1600">
        <v>1971</v>
      </c>
      <c r="C1600" t="s">
        <v>29</v>
      </c>
      <c r="D1600" t="s">
        <v>34</v>
      </c>
      <c r="E1600">
        <v>76445</v>
      </c>
      <c r="F1600">
        <v>1</v>
      </c>
      <c r="G1600">
        <v>0</v>
      </c>
      <c r="H1600" t="s">
        <v>197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>
        <v>7943</v>
      </c>
      <c r="B1601">
        <v>1975</v>
      </c>
      <c r="C1601" t="s">
        <v>33</v>
      </c>
      <c r="D1601" t="s">
        <v>34</v>
      </c>
      <c r="E1601">
        <v>36663</v>
      </c>
      <c r="F1601">
        <v>1</v>
      </c>
      <c r="G1601">
        <v>0</v>
      </c>
      <c r="H1601" t="s">
        <v>411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>
        <v>5272</v>
      </c>
      <c r="B1602">
        <v>1965</v>
      </c>
      <c r="C1602" t="s">
        <v>36</v>
      </c>
      <c r="D1602" t="s">
        <v>34</v>
      </c>
      <c r="E1602">
        <v>53843</v>
      </c>
      <c r="F1602">
        <v>0</v>
      </c>
      <c r="G1602">
        <v>1</v>
      </c>
      <c r="H1602" t="s">
        <v>412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>
        <v>5453</v>
      </c>
      <c r="B1603">
        <v>1956</v>
      </c>
      <c r="C1603" t="s">
        <v>36</v>
      </c>
      <c r="D1603" t="s">
        <v>34</v>
      </c>
      <c r="E1603">
        <v>90226</v>
      </c>
      <c r="F1603">
        <v>0</v>
      </c>
      <c r="G1603">
        <v>0</v>
      </c>
      <c r="H1603" t="s">
        <v>391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>
        <v>2565</v>
      </c>
      <c r="B1604">
        <v>1955</v>
      </c>
      <c r="C1604" t="s">
        <v>36</v>
      </c>
      <c r="D1604" t="s">
        <v>37</v>
      </c>
      <c r="E1604">
        <v>70638</v>
      </c>
      <c r="F1604">
        <v>0</v>
      </c>
      <c r="G1604">
        <v>0</v>
      </c>
      <c r="H1604" s="2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5">
      <c r="A1605">
        <v>800</v>
      </c>
      <c r="B1605">
        <v>1960</v>
      </c>
      <c r="C1605" t="s">
        <v>29</v>
      </c>
      <c r="D1605" t="s">
        <v>31</v>
      </c>
      <c r="E1605">
        <v>44512</v>
      </c>
      <c r="F1605">
        <v>1</v>
      </c>
      <c r="G1605">
        <v>1</v>
      </c>
      <c r="H1605" t="s">
        <v>316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5">
      <c r="A1606">
        <v>11092</v>
      </c>
      <c r="B1606">
        <v>1961</v>
      </c>
      <c r="C1606" t="s">
        <v>29</v>
      </c>
      <c r="D1606" t="s">
        <v>34</v>
      </c>
      <c r="E1606">
        <v>27116</v>
      </c>
      <c r="F1606">
        <v>1</v>
      </c>
      <c r="G1606">
        <v>1</v>
      </c>
      <c r="H1606" s="2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>
        <v>5062</v>
      </c>
      <c r="B1607">
        <v>1963</v>
      </c>
      <c r="C1607" t="s">
        <v>33</v>
      </c>
      <c r="D1607" t="s">
        <v>34</v>
      </c>
      <c r="E1607">
        <v>54072</v>
      </c>
      <c r="F1607">
        <v>1</v>
      </c>
      <c r="G1607">
        <v>1</v>
      </c>
      <c r="H1607" t="s">
        <v>329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>
        <v>8969</v>
      </c>
      <c r="B1608">
        <v>1977</v>
      </c>
      <c r="C1608" t="s">
        <v>29</v>
      </c>
      <c r="D1608" t="s">
        <v>34</v>
      </c>
      <c r="E1608">
        <v>71855</v>
      </c>
      <c r="F1608">
        <v>0</v>
      </c>
      <c r="G1608">
        <v>1</v>
      </c>
      <c r="H1608" t="s">
        <v>367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>
        <v>4656</v>
      </c>
      <c r="B1609">
        <v>1990</v>
      </c>
      <c r="C1609" t="s">
        <v>46</v>
      </c>
      <c r="D1609" t="s">
        <v>30</v>
      </c>
      <c r="E1609">
        <v>51250</v>
      </c>
      <c r="F1609">
        <v>1</v>
      </c>
      <c r="G1609">
        <v>0</v>
      </c>
      <c r="H1609" t="s">
        <v>216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>
        <v>4480</v>
      </c>
      <c r="B1610">
        <v>1973</v>
      </c>
      <c r="C1610" t="s">
        <v>36</v>
      </c>
      <c r="D1610" t="s">
        <v>34</v>
      </c>
      <c r="E1610">
        <v>60432</v>
      </c>
      <c r="F1610">
        <v>0</v>
      </c>
      <c r="G1610">
        <v>1</v>
      </c>
      <c r="H1610" s="2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5">
      <c r="A1611">
        <v>9971</v>
      </c>
      <c r="B1611">
        <v>1964</v>
      </c>
      <c r="C1611" t="s">
        <v>33</v>
      </c>
      <c r="D1611" t="s">
        <v>34</v>
      </c>
      <c r="E1611">
        <v>65526</v>
      </c>
      <c r="F1611">
        <v>0</v>
      </c>
      <c r="G1611">
        <v>1</v>
      </c>
      <c r="H1611" s="2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s="2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5">
      <c r="A1613">
        <v>1773</v>
      </c>
      <c r="B1613">
        <v>1978</v>
      </c>
      <c r="C1613" t="s">
        <v>46</v>
      </c>
      <c r="D1613" t="s">
        <v>34</v>
      </c>
      <c r="E1613">
        <v>12393</v>
      </c>
      <c r="F1613">
        <v>0</v>
      </c>
      <c r="G1613">
        <v>0</v>
      </c>
      <c r="H1613" s="2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t="s">
        <v>361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25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s="2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>
        <v>6215</v>
      </c>
      <c r="B1616">
        <v>1977</v>
      </c>
      <c r="C1616" t="s">
        <v>29</v>
      </c>
      <c r="D1616" t="s">
        <v>34</v>
      </c>
      <c r="E1616">
        <v>31353</v>
      </c>
      <c r="F1616">
        <v>1</v>
      </c>
      <c r="G1616">
        <v>1</v>
      </c>
      <c r="H1616" t="s">
        <v>128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25">
      <c r="A1617">
        <v>10099</v>
      </c>
      <c r="B1617">
        <v>1984</v>
      </c>
      <c r="C1617" t="s">
        <v>29</v>
      </c>
      <c r="D1617" t="s">
        <v>34</v>
      </c>
      <c r="E1617">
        <v>55434</v>
      </c>
      <c r="F1617">
        <v>1</v>
      </c>
      <c r="G1617">
        <v>0</v>
      </c>
      <c r="H1617" s="2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>
        <v>5423</v>
      </c>
      <c r="B1618">
        <v>1983</v>
      </c>
      <c r="C1618" t="s">
        <v>29</v>
      </c>
      <c r="D1618" t="s">
        <v>31</v>
      </c>
      <c r="E1618">
        <v>28359</v>
      </c>
      <c r="F1618">
        <v>1</v>
      </c>
      <c r="G1618">
        <v>0</v>
      </c>
      <c r="H1618" t="s">
        <v>158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t="s">
        <v>238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>
        <v>3011</v>
      </c>
      <c r="B1620">
        <v>1965</v>
      </c>
      <c r="C1620" t="s">
        <v>29</v>
      </c>
      <c r="D1620" t="s">
        <v>34</v>
      </c>
      <c r="E1620">
        <v>69139</v>
      </c>
      <c r="F1620">
        <v>0</v>
      </c>
      <c r="G1620">
        <v>1</v>
      </c>
      <c r="H1620" t="s">
        <v>253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>
        <v>3298</v>
      </c>
      <c r="B1621">
        <v>1956</v>
      </c>
      <c r="C1621" t="s">
        <v>36</v>
      </c>
      <c r="D1621" t="s">
        <v>34</v>
      </c>
      <c r="E1621">
        <v>52973</v>
      </c>
      <c r="F1621">
        <v>0</v>
      </c>
      <c r="G1621">
        <v>1</v>
      </c>
      <c r="H1621" s="2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5">
      <c r="A1622">
        <v>8286</v>
      </c>
      <c r="B1622">
        <v>1965</v>
      </c>
      <c r="C1622" t="s">
        <v>33</v>
      </c>
      <c r="D1622" t="s">
        <v>31</v>
      </c>
      <c r="E1622">
        <v>51717</v>
      </c>
      <c r="F1622">
        <v>0</v>
      </c>
      <c r="G1622">
        <v>1</v>
      </c>
      <c r="H1622" t="s">
        <v>113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>
        <v>9668</v>
      </c>
      <c r="B1623">
        <v>1971</v>
      </c>
      <c r="C1623" t="s">
        <v>29</v>
      </c>
      <c r="D1623" t="s">
        <v>34</v>
      </c>
      <c r="E1623">
        <v>18793</v>
      </c>
      <c r="F1623">
        <v>1</v>
      </c>
      <c r="G1623">
        <v>0</v>
      </c>
      <c r="H1623" s="2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>
        <v>5120</v>
      </c>
      <c r="B1624">
        <v>1982</v>
      </c>
      <c r="C1624" t="s">
        <v>46</v>
      </c>
      <c r="D1624" t="s">
        <v>31</v>
      </c>
      <c r="E1624">
        <v>66664</v>
      </c>
      <c r="F1624">
        <v>0</v>
      </c>
      <c r="G1624">
        <v>0</v>
      </c>
      <c r="H1624" t="s">
        <v>232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t="s">
        <v>367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5">
      <c r="A1626">
        <v>7019</v>
      </c>
      <c r="B1626">
        <v>1963</v>
      </c>
      <c r="C1626" t="s">
        <v>29</v>
      </c>
      <c r="D1626" t="s">
        <v>31</v>
      </c>
      <c r="E1626">
        <v>54414</v>
      </c>
      <c r="F1626">
        <v>1</v>
      </c>
      <c r="G1626">
        <v>1</v>
      </c>
      <c r="H1626" t="s">
        <v>217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>
        <v>7408</v>
      </c>
      <c r="B1627">
        <v>1952</v>
      </c>
      <c r="C1627" t="s">
        <v>33</v>
      </c>
      <c r="D1627" t="s">
        <v>34</v>
      </c>
      <c r="E1627">
        <v>54549</v>
      </c>
      <c r="F1627">
        <v>0</v>
      </c>
      <c r="G1627">
        <v>1</v>
      </c>
      <c r="H1627" s="2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>
        <v>8041</v>
      </c>
      <c r="B1628">
        <v>1971</v>
      </c>
      <c r="C1628" t="s">
        <v>33</v>
      </c>
      <c r="D1628" t="s">
        <v>57</v>
      </c>
      <c r="E1628">
        <v>47111</v>
      </c>
      <c r="F1628">
        <v>0</v>
      </c>
      <c r="G1628">
        <v>1</v>
      </c>
      <c r="H1628" s="2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>
        <v>252</v>
      </c>
      <c r="B1629">
        <v>1963</v>
      </c>
      <c r="C1629" t="s">
        <v>33</v>
      </c>
      <c r="D1629" t="s">
        <v>37</v>
      </c>
      <c r="E1629">
        <v>41003</v>
      </c>
      <c r="F1629">
        <v>0</v>
      </c>
      <c r="G1629">
        <v>0</v>
      </c>
      <c r="H1629" t="s">
        <v>69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>
        <v>9986</v>
      </c>
      <c r="B1630">
        <v>1982</v>
      </c>
      <c r="C1630" t="s">
        <v>29</v>
      </c>
      <c r="D1630" t="s">
        <v>31</v>
      </c>
      <c r="E1630">
        <v>19444</v>
      </c>
      <c r="F1630">
        <v>1</v>
      </c>
      <c r="G1630">
        <v>0</v>
      </c>
      <c r="H1630" t="s">
        <v>413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25">
      <c r="A1631">
        <v>3276</v>
      </c>
      <c r="B1631">
        <v>1976</v>
      </c>
      <c r="C1631" t="s">
        <v>46</v>
      </c>
      <c r="D1631" t="s">
        <v>31</v>
      </c>
      <c r="E1631">
        <v>36301</v>
      </c>
      <c r="F1631">
        <v>1</v>
      </c>
      <c r="G1631">
        <v>0</v>
      </c>
      <c r="H1631" t="s">
        <v>349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>
        <v>3859</v>
      </c>
      <c r="B1632">
        <v>1947</v>
      </c>
      <c r="C1632" t="s">
        <v>33</v>
      </c>
      <c r="D1632" t="s">
        <v>31</v>
      </c>
      <c r="E1632">
        <v>73059</v>
      </c>
      <c r="F1632">
        <v>0</v>
      </c>
      <c r="G1632">
        <v>1</v>
      </c>
      <c r="H1632" t="s">
        <v>140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>
        <v>3570</v>
      </c>
      <c r="B1633">
        <v>1969</v>
      </c>
      <c r="C1633" t="s">
        <v>33</v>
      </c>
      <c r="D1633" t="s">
        <v>31</v>
      </c>
      <c r="E1633">
        <v>42731</v>
      </c>
      <c r="F1633">
        <v>1</v>
      </c>
      <c r="G1633">
        <v>0</v>
      </c>
      <c r="H1633" t="s">
        <v>290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>
        <v>3783</v>
      </c>
      <c r="B1634">
        <v>1959</v>
      </c>
      <c r="C1634" t="s">
        <v>33</v>
      </c>
      <c r="D1634" t="s">
        <v>34</v>
      </c>
      <c r="E1634">
        <v>52854</v>
      </c>
      <c r="F1634">
        <v>1</v>
      </c>
      <c r="G1634">
        <v>1</v>
      </c>
      <c r="H1634" t="s">
        <v>364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>
        <v>10207</v>
      </c>
      <c r="B1635">
        <v>1978</v>
      </c>
      <c r="C1635" t="s">
        <v>29</v>
      </c>
      <c r="D1635" t="s">
        <v>31</v>
      </c>
      <c r="E1635">
        <v>22775</v>
      </c>
      <c r="F1635">
        <v>1</v>
      </c>
      <c r="G1635">
        <v>0</v>
      </c>
      <c r="H1635" t="s">
        <v>169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>
        <v>10906</v>
      </c>
      <c r="B1636">
        <v>1948</v>
      </c>
      <c r="C1636" t="s">
        <v>33</v>
      </c>
      <c r="D1636" t="s">
        <v>31</v>
      </c>
      <c r="E1636">
        <v>46681</v>
      </c>
      <c r="F1636">
        <v>0</v>
      </c>
      <c r="G1636">
        <v>2</v>
      </c>
      <c r="H1636" s="2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>
        <v>3427</v>
      </c>
      <c r="B1637">
        <v>1955</v>
      </c>
      <c r="C1637" t="s">
        <v>33</v>
      </c>
      <c r="D1637" t="s">
        <v>34</v>
      </c>
      <c r="E1637">
        <v>59821</v>
      </c>
      <c r="F1637">
        <v>0</v>
      </c>
      <c r="G1637">
        <v>1</v>
      </c>
      <c r="H1637" s="2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>
        <v>5209</v>
      </c>
      <c r="B1638">
        <v>1954</v>
      </c>
      <c r="C1638" t="s">
        <v>29</v>
      </c>
      <c r="D1638" t="s">
        <v>37</v>
      </c>
      <c r="E1638">
        <v>50002</v>
      </c>
      <c r="F1638">
        <v>0</v>
      </c>
      <c r="G1638">
        <v>1</v>
      </c>
      <c r="H1638" t="s">
        <v>63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>
        <v>10711</v>
      </c>
      <c r="B1639">
        <v>1945</v>
      </c>
      <c r="C1639" t="s">
        <v>29</v>
      </c>
      <c r="D1639" t="s">
        <v>34</v>
      </c>
      <c r="E1639">
        <v>69755</v>
      </c>
      <c r="F1639">
        <v>0</v>
      </c>
      <c r="G1639">
        <v>0</v>
      </c>
      <c r="H1639" s="2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>
        <v>10785</v>
      </c>
      <c r="B1640">
        <v>1969</v>
      </c>
      <c r="C1640" t="s">
        <v>29</v>
      </c>
      <c r="D1640" t="s">
        <v>34</v>
      </c>
      <c r="E1640">
        <v>44078</v>
      </c>
      <c r="F1640">
        <v>1</v>
      </c>
      <c r="G1640">
        <v>1</v>
      </c>
      <c r="H1640" t="s">
        <v>334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>
        <v>2814</v>
      </c>
      <c r="B1641">
        <v>1976</v>
      </c>
      <c r="C1641" t="s">
        <v>36</v>
      </c>
      <c r="D1641" t="s">
        <v>31</v>
      </c>
      <c r="E1641">
        <v>30560</v>
      </c>
      <c r="F1641">
        <v>1</v>
      </c>
      <c r="G1641">
        <v>0</v>
      </c>
      <c r="H1641" t="s">
        <v>412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>
        <v>6866</v>
      </c>
      <c r="B1642">
        <v>1969</v>
      </c>
      <c r="C1642" t="s">
        <v>36</v>
      </c>
      <c r="D1642" t="s">
        <v>31</v>
      </c>
      <c r="E1642">
        <v>35924</v>
      </c>
      <c r="F1642">
        <v>1</v>
      </c>
      <c r="G1642">
        <v>1</v>
      </c>
      <c r="H1642" t="s">
        <v>81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>
        <v>1665</v>
      </c>
      <c r="B1643">
        <v>1964</v>
      </c>
      <c r="C1643" t="s">
        <v>33</v>
      </c>
      <c r="D1643" t="s">
        <v>37</v>
      </c>
      <c r="E1643">
        <v>64140</v>
      </c>
      <c r="F1643">
        <v>0</v>
      </c>
      <c r="G1643">
        <v>2</v>
      </c>
      <c r="H1643" t="s">
        <v>414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25">
      <c r="A1644">
        <v>6575</v>
      </c>
      <c r="B1644">
        <v>1981</v>
      </c>
      <c r="C1644" t="s">
        <v>29</v>
      </c>
      <c r="D1644" t="s">
        <v>31</v>
      </c>
      <c r="E1644">
        <v>56386</v>
      </c>
      <c r="F1644">
        <v>1</v>
      </c>
      <c r="G1644">
        <v>1</v>
      </c>
      <c r="H1644" t="s">
        <v>194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>
        <v>3829</v>
      </c>
      <c r="B1645">
        <v>1979</v>
      </c>
      <c r="C1645" t="s">
        <v>41</v>
      </c>
      <c r="D1645" t="s">
        <v>31</v>
      </c>
      <c r="E1645">
        <v>24594</v>
      </c>
      <c r="F1645">
        <v>1</v>
      </c>
      <c r="G1645">
        <v>0</v>
      </c>
      <c r="H1645" s="2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5">
      <c r="A1646">
        <v>3091</v>
      </c>
      <c r="B1646">
        <v>1981</v>
      </c>
      <c r="C1646" t="s">
        <v>46</v>
      </c>
      <c r="D1646" t="s">
        <v>31</v>
      </c>
      <c r="E1646">
        <v>75774</v>
      </c>
      <c r="F1646">
        <v>1</v>
      </c>
      <c r="G1646">
        <v>0</v>
      </c>
      <c r="H1646" s="2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5">
      <c r="A1647">
        <v>10141</v>
      </c>
      <c r="B1647">
        <v>1960</v>
      </c>
      <c r="C1647" t="s">
        <v>36</v>
      </c>
      <c r="D1647" t="s">
        <v>37</v>
      </c>
      <c r="E1647">
        <v>39228</v>
      </c>
      <c r="F1647">
        <v>0</v>
      </c>
      <c r="G1647">
        <v>0</v>
      </c>
      <c r="H1647" s="2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>
        <v>5177</v>
      </c>
      <c r="B1648">
        <v>1974</v>
      </c>
      <c r="C1648" t="s">
        <v>36</v>
      </c>
      <c r="D1648" t="s">
        <v>34</v>
      </c>
      <c r="E1648">
        <v>58494</v>
      </c>
      <c r="F1648">
        <v>0</v>
      </c>
      <c r="G1648">
        <v>1</v>
      </c>
      <c r="H1648" s="2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t="s">
        <v>192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5">
      <c r="A1650">
        <v>6409</v>
      </c>
      <c r="B1650">
        <v>1967</v>
      </c>
      <c r="C1650" t="s">
        <v>29</v>
      </c>
      <c r="D1650" t="s">
        <v>37</v>
      </c>
      <c r="E1650">
        <v>57136</v>
      </c>
      <c r="F1650">
        <v>0</v>
      </c>
      <c r="G1650">
        <v>0</v>
      </c>
      <c r="H1650" t="s">
        <v>342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25">
      <c r="A1651">
        <v>7485</v>
      </c>
      <c r="B1651">
        <v>1950</v>
      </c>
      <c r="C1651" t="s">
        <v>33</v>
      </c>
      <c r="D1651" t="s">
        <v>57</v>
      </c>
      <c r="E1651">
        <v>56551</v>
      </c>
      <c r="F1651">
        <v>1</v>
      </c>
      <c r="G1651">
        <v>1</v>
      </c>
      <c r="H1651" s="2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>
        <v>8079</v>
      </c>
      <c r="B1652">
        <v>1982</v>
      </c>
      <c r="C1652" t="s">
        <v>29</v>
      </c>
      <c r="D1652" t="s">
        <v>34</v>
      </c>
      <c r="E1652">
        <v>22448</v>
      </c>
      <c r="F1652">
        <v>1</v>
      </c>
      <c r="G1652">
        <v>0</v>
      </c>
      <c r="H1652" t="s">
        <v>355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t="s">
        <v>230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5">
      <c r="A1654">
        <v>10352</v>
      </c>
      <c r="B1654">
        <v>1963</v>
      </c>
      <c r="C1654" t="s">
        <v>29</v>
      </c>
      <c r="D1654" t="s">
        <v>57</v>
      </c>
      <c r="E1654">
        <v>34213</v>
      </c>
      <c r="F1654">
        <v>1</v>
      </c>
      <c r="G1654">
        <v>1</v>
      </c>
      <c r="H1654" s="2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25">
      <c r="A1655">
        <v>4931</v>
      </c>
      <c r="B1655">
        <v>1977</v>
      </c>
      <c r="C1655" t="s">
        <v>29</v>
      </c>
      <c r="D1655" t="s">
        <v>31</v>
      </c>
      <c r="E1655">
        <v>157146</v>
      </c>
      <c r="F1655">
        <v>0</v>
      </c>
      <c r="G1655">
        <v>0</v>
      </c>
      <c r="H1655" t="s">
        <v>58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>
        <v>13</v>
      </c>
      <c r="B1656">
        <v>1947</v>
      </c>
      <c r="C1656" t="s">
        <v>33</v>
      </c>
      <c r="D1656" t="s">
        <v>57</v>
      </c>
      <c r="E1656">
        <v>25358</v>
      </c>
      <c r="F1656">
        <v>0</v>
      </c>
      <c r="G1656">
        <v>1</v>
      </c>
      <c r="H1656" t="s">
        <v>388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>
        <v>1834</v>
      </c>
      <c r="B1657">
        <v>1978</v>
      </c>
      <c r="C1657" t="s">
        <v>36</v>
      </c>
      <c r="D1657" t="s">
        <v>30</v>
      </c>
      <c r="E1657">
        <v>35544</v>
      </c>
      <c r="F1657">
        <v>1</v>
      </c>
      <c r="G1657">
        <v>0</v>
      </c>
      <c r="H1657" s="2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>
        <v>2285</v>
      </c>
      <c r="B1658">
        <v>1954</v>
      </c>
      <c r="C1658" t="s">
        <v>36</v>
      </c>
      <c r="D1658" t="s">
        <v>31</v>
      </c>
      <c r="E1658">
        <v>36634</v>
      </c>
      <c r="F1658">
        <v>0</v>
      </c>
      <c r="G1658">
        <v>1</v>
      </c>
      <c r="H1658" t="s">
        <v>346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>
        <v>2295</v>
      </c>
      <c r="B1659">
        <v>1954</v>
      </c>
      <c r="C1659" t="s">
        <v>33</v>
      </c>
      <c r="D1659" t="s">
        <v>34</v>
      </c>
      <c r="E1659">
        <v>62670</v>
      </c>
      <c r="F1659">
        <v>0</v>
      </c>
      <c r="G1659">
        <v>1</v>
      </c>
      <c r="H1659" s="2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>
        <v>1378</v>
      </c>
      <c r="B1660">
        <v>1972</v>
      </c>
      <c r="C1660" t="s">
        <v>46</v>
      </c>
      <c r="D1660" t="s">
        <v>31</v>
      </c>
      <c r="E1660">
        <v>50334</v>
      </c>
      <c r="F1660">
        <v>0</v>
      </c>
      <c r="G1660">
        <v>1</v>
      </c>
      <c r="H1660" t="s">
        <v>415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t="s">
        <v>416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25">
      <c r="A1662">
        <v>1165</v>
      </c>
      <c r="B1662">
        <v>1958</v>
      </c>
      <c r="C1662" t="s">
        <v>33</v>
      </c>
      <c r="D1662" t="s">
        <v>30</v>
      </c>
      <c r="E1662">
        <v>50729</v>
      </c>
      <c r="F1662">
        <v>1</v>
      </c>
      <c r="G1662">
        <v>1</v>
      </c>
      <c r="H1662" s="2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>
        <v>1404</v>
      </c>
      <c r="B1663">
        <v>1968</v>
      </c>
      <c r="C1663" t="s">
        <v>29</v>
      </c>
      <c r="D1663" t="s">
        <v>31</v>
      </c>
      <c r="E1663">
        <v>34916</v>
      </c>
      <c r="F1663">
        <v>2</v>
      </c>
      <c r="G1663">
        <v>0</v>
      </c>
      <c r="H1663" t="s">
        <v>147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5">
      <c r="A1664">
        <v>6457</v>
      </c>
      <c r="B1664">
        <v>1976</v>
      </c>
      <c r="C1664" t="s">
        <v>29</v>
      </c>
      <c r="D1664" t="s">
        <v>37</v>
      </c>
      <c r="E1664">
        <v>64892</v>
      </c>
      <c r="F1664">
        <v>0</v>
      </c>
      <c r="G1664">
        <v>1</v>
      </c>
      <c r="H1664" t="s">
        <v>319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5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s="2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>
        <v>8299</v>
      </c>
      <c r="B1666">
        <v>1989</v>
      </c>
      <c r="C1666" t="s">
        <v>33</v>
      </c>
      <c r="D1666" t="s">
        <v>30</v>
      </c>
      <c r="E1666">
        <v>33996</v>
      </c>
      <c r="F1666">
        <v>0</v>
      </c>
      <c r="G1666">
        <v>0</v>
      </c>
      <c r="H1666" s="2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5">
      <c r="A1667">
        <v>6437</v>
      </c>
      <c r="B1667">
        <v>1985</v>
      </c>
      <c r="C1667" t="s">
        <v>46</v>
      </c>
      <c r="D1667" t="s">
        <v>30</v>
      </c>
      <c r="E1667">
        <v>41473</v>
      </c>
      <c r="F1667">
        <v>1</v>
      </c>
      <c r="G1667">
        <v>0</v>
      </c>
      <c r="H1667" t="s">
        <v>169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>
        <v>6912</v>
      </c>
      <c r="B1668">
        <v>1967</v>
      </c>
      <c r="C1668" t="s">
        <v>33</v>
      </c>
      <c r="D1668" t="s">
        <v>34</v>
      </c>
      <c r="E1668">
        <v>63246</v>
      </c>
      <c r="F1668">
        <v>0</v>
      </c>
      <c r="G1668">
        <v>2</v>
      </c>
      <c r="H1668" t="s">
        <v>113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>
        <v>7327</v>
      </c>
      <c r="B1669">
        <v>1959</v>
      </c>
      <c r="C1669" t="s">
        <v>33</v>
      </c>
      <c r="D1669" t="s">
        <v>34</v>
      </c>
      <c r="E1669">
        <v>36732</v>
      </c>
      <c r="F1669">
        <v>1</v>
      </c>
      <c r="G1669">
        <v>1</v>
      </c>
      <c r="H1669" t="s">
        <v>128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>
        <v>5299</v>
      </c>
      <c r="B1670">
        <v>1970</v>
      </c>
      <c r="C1670" t="s">
        <v>33</v>
      </c>
      <c r="D1670" t="s">
        <v>34</v>
      </c>
      <c r="E1670">
        <v>69084</v>
      </c>
      <c r="F1670">
        <v>1</v>
      </c>
      <c r="G1670">
        <v>0</v>
      </c>
      <c r="H1670" t="s">
        <v>285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>
        <v>4127</v>
      </c>
      <c r="B1671">
        <v>1967</v>
      </c>
      <c r="C1671" t="s">
        <v>33</v>
      </c>
      <c r="D1671" t="s">
        <v>34</v>
      </c>
      <c r="E1671">
        <v>77766</v>
      </c>
      <c r="F1671">
        <v>0</v>
      </c>
      <c r="G1671">
        <v>1</v>
      </c>
      <c r="H1671" t="s">
        <v>220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5">
      <c r="A1672">
        <v>8143</v>
      </c>
      <c r="B1672">
        <v>1985</v>
      </c>
      <c r="C1672" t="s">
        <v>33</v>
      </c>
      <c r="D1672" t="s">
        <v>30</v>
      </c>
      <c r="E1672">
        <v>37929</v>
      </c>
      <c r="F1672">
        <v>0</v>
      </c>
      <c r="G1672">
        <v>0</v>
      </c>
      <c r="H1672" t="s">
        <v>357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25">
      <c r="A1673">
        <v>1964</v>
      </c>
      <c r="B1673">
        <v>1951</v>
      </c>
      <c r="C1673" t="s">
        <v>29</v>
      </c>
      <c r="D1673" t="s">
        <v>31</v>
      </c>
      <c r="E1673">
        <v>86610</v>
      </c>
      <c r="F1673">
        <v>0</v>
      </c>
      <c r="G1673">
        <v>0</v>
      </c>
      <c r="H1673" s="2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>
        <v>3690</v>
      </c>
      <c r="B1674">
        <v>1986</v>
      </c>
      <c r="C1674" t="s">
        <v>36</v>
      </c>
      <c r="D1674" t="s">
        <v>34</v>
      </c>
      <c r="E1674">
        <v>80141</v>
      </c>
      <c r="F1674">
        <v>0</v>
      </c>
      <c r="G1674">
        <v>0</v>
      </c>
      <c r="H1674" s="2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25">
      <c r="A1675">
        <v>3433</v>
      </c>
      <c r="B1675">
        <v>1955</v>
      </c>
      <c r="C1675" t="s">
        <v>46</v>
      </c>
      <c r="D1675" t="s">
        <v>34</v>
      </c>
      <c r="E1675">
        <v>72635</v>
      </c>
      <c r="F1675">
        <v>0</v>
      </c>
      <c r="G1675">
        <v>0</v>
      </c>
      <c r="H1675" s="2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>
        <v>3389</v>
      </c>
      <c r="B1676">
        <v>1970</v>
      </c>
      <c r="C1676" t="s">
        <v>29</v>
      </c>
      <c r="D1676" t="s">
        <v>34</v>
      </c>
      <c r="E1676">
        <v>69016</v>
      </c>
      <c r="F1676">
        <v>0</v>
      </c>
      <c r="G1676">
        <v>1</v>
      </c>
      <c r="H1676" t="s">
        <v>83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>
        <v>4712</v>
      </c>
      <c r="B1677">
        <v>1991</v>
      </c>
      <c r="C1677" t="s">
        <v>46</v>
      </c>
      <c r="D1677" t="s">
        <v>31</v>
      </c>
      <c r="E1677">
        <v>20193</v>
      </c>
      <c r="F1677">
        <v>0</v>
      </c>
      <c r="G1677">
        <v>0</v>
      </c>
      <c r="H1677" t="s">
        <v>262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>
        <v>1170</v>
      </c>
      <c r="B1678">
        <v>1975</v>
      </c>
      <c r="C1678" t="s">
        <v>29</v>
      </c>
      <c r="D1678" t="s">
        <v>34</v>
      </c>
      <c r="E1678">
        <v>27573</v>
      </c>
      <c r="F1678">
        <v>1</v>
      </c>
      <c r="G1678">
        <v>0</v>
      </c>
      <c r="H1678" t="s">
        <v>417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>
        <v>6347</v>
      </c>
      <c r="B1679">
        <v>1979</v>
      </c>
      <c r="C1679" t="s">
        <v>41</v>
      </c>
      <c r="D1679" t="s">
        <v>30</v>
      </c>
      <c r="E1679">
        <v>15862</v>
      </c>
      <c r="F1679">
        <v>1</v>
      </c>
      <c r="G1679">
        <v>0</v>
      </c>
      <c r="H1679" t="s">
        <v>412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>
        <v>4065</v>
      </c>
      <c r="B1680">
        <v>1976</v>
      </c>
      <c r="C1680" t="s">
        <v>33</v>
      </c>
      <c r="D1680" t="s">
        <v>34</v>
      </c>
      <c r="E1680">
        <v>49544</v>
      </c>
      <c r="F1680">
        <v>1</v>
      </c>
      <c r="G1680">
        <v>0</v>
      </c>
      <c r="H1680" s="2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>
        <v>8230</v>
      </c>
      <c r="B1681">
        <v>1980</v>
      </c>
      <c r="C1681" t="s">
        <v>29</v>
      </c>
      <c r="D1681" t="s">
        <v>34</v>
      </c>
      <c r="E1681">
        <v>33228</v>
      </c>
      <c r="F1681">
        <v>1</v>
      </c>
      <c r="G1681">
        <v>0</v>
      </c>
      <c r="H1681" t="s">
        <v>337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>
        <v>1215</v>
      </c>
      <c r="B1682">
        <v>1978</v>
      </c>
      <c r="C1682" t="s">
        <v>29</v>
      </c>
      <c r="D1682" t="s">
        <v>31</v>
      </c>
      <c r="E1682">
        <v>70440</v>
      </c>
      <c r="F1682">
        <v>0</v>
      </c>
      <c r="G1682">
        <v>0</v>
      </c>
      <c r="H1682" s="2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>
        <v>5939</v>
      </c>
      <c r="B1683">
        <v>1971</v>
      </c>
      <c r="C1683" t="s">
        <v>29</v>
      </c>
      <c r="D1683" t="s">
        <v>31</v>
      </c>
      <c r="E1683">
        <v>38232</v>
      </c>
      <c r="F1683">
        <v>1</v>
      </c>
      <c r="G1683">
        <v>1</v>
      </c>
      <c r="H1683" t="s">
        <v>418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>
        <v>2156</v>
      </c>
      <c r="B1684">
        <v>1955</v>
      </c>
      <c r="C1684" t="s">
        <v>33</v>
      </c>
      <c r="D1684" t="s">
        <v>34</v>
      </c>
      <c r="E1684">
        <v>22554</v>
      </c>
      <c r="F1684">
        <v>1</v>
      </c>
      <c r="G1684">
        <v>1</v>
      </c>
      <c r="H1684" s="2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>
        <v>7788</v>
      </c>
      <c r="B1685">
        <v>1983</v>
      </c>
      <c r="C1685" t="s">
        <v>33</v>
      </c>
      <c r="D1685" t="s">
        <v>34</v>
      </c>
      <c r="E1685">
        <v>23536</v>
      </c>
      <c r="F1685">
        <v>1</v>
      </c>
      <c r="G1685">
        <v>0</v>
      </c>
      <c r="H1685" s="2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5">
      <c r="A1686">
        <v>10323</v>
      </c>
      <c r="B1686">
        <v>1952</v>
      </c>
      <c r="C1686" t="s">
        <v>29</v>
      </c>
      <c r="D1686" t="s">
        <v>34</v>
      </c>
      <c r="E1686">
        <v>49413</v>
      </c>
      <c r="F1686">
        <v>0</v>
      </c>
      <c r="G1686">
        <v>1</v>
      </c>
      <c r="H1686" t="s">
        <v>349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5">
      <c r="A1687">
        <v>7947</v>
      </c>
      <c r="B1687">
        <v>1969</v>
      </c>
      <c r="C1687" t="s">
        <v>29</v>
      </c>
      <c r="D1687" t="s">
        <v>34</v>
      </c>
      <c r="E1687">
        <v>42231</v>
      </c>
      <c r="F1687">
        <v>1</v>
      </c>
      <c r="G1687">
        <v>1</v>
      </c>
      <c r="H1687" t="s">
        <v>419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>
        <v>1891</v>
      </c>
      <c r="B1688">
        <v>1980</v>
      </c>
      <c r="C1688" t="s">
        <v>36</v>
      </c>
      <c r="D1688" t="s">
        <v>37</v>
      </c>
      <c r="E1688">
        <v>78789</v>
      </c>
      <c r="F1688">
        <v>0</v>
      </c>
      <c r="G1688">
        <v>0</v>
      </c>
      <c r="H1688" s="2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5">
      <c r="A1689">
        <v>2570</v>
      </c>
      <c r="B1689">
        <v>1968</v>
      </c>
      <c r="C1689" t="s">
        <v>29</v>
      </c>
      <c r="D1689" t="s">
        <v>31</v>
      </c>
      <c r="E1689">
        <v>56534</v>
      </c>
      <c r="F1689">
        <v>0</v>
      </c>
      <c r="G1689">
        <v>1</v>
      </c>
      <c r="H1689" t="s">
        <v>85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25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s="2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t="s">
        <v>249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5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t="s">
        <v>249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>
        <v>6349</v>
      </c>
      <c r="B1693">
        <v>1987</v>
      </c>
      <c r="C1693" t="s">
        <v>36</v>
      </c>
      <c r="D1693" t="s">
        <v>37</v>
      </c>
      <c r="E1693">
        <v>61787</v>
      </c>
      <c r="F1693">
        <v>0</v>
      </c>
      <c r="G1693">
        <v>0</v>
      </c>
      <c r="H1693" s="2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>
        <v>10790</v>
      </c>
      <c r="B1694">
        <v>1985</v>
      </c>
      <c r="C1694" t="s">
        <v>33</v>
      </c>
      <c r="D1694" t="s">
        <v>34</v>
      </c>
      <c r="E1694">
        <v>18169</v>
      </c>
      <c r="F1694">
        <v>1</v>
      </c>
      <c r="G1694">
        <v>0</v>
      </c>
      <c r="H1694" t="s">
        <v>92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>
        <v>10398</v>
      </c>
      <c r="B1695">
        <v>1981</v>
      </c>
      <c r="C1695" t="s">
        <v>46</v>
      </c>
      <c r="D1695" t="s">
        <v>30</v>
      </c>
      <c r="E1695">
        <v>24336</v>
      </c>
      <c r="F1695">
        <v>1</v>
      </c>
      <c r="G1695">
        <v>0</v>
      </c>
      <c r="H1695" t="s">
        <v>72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>
        <v>2431</v>
      </c>
      <c r="B1696">
        <v>1990</v>
      </c>
      <c r="C1696" t="s">
        <v>29</v>
      </c>
      <c r="D1696" t="s">
        <v>34</v>
      </c>
      <c r="E1696">
        <v>18222</v>
      </c>
      <c r="F1696">
        <v>0</v>
      </c>
      <c r="G1696">
        <v>0</v>
      </c>
      <c r="H1696" t="s">
        <v>420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5">
      <c r="A1697">
        <v>550</v>
      </c>
      <c r="B1697">
        <v>1952</v>
      </c>
      <c r="C1697" t="s">
        <v>29</v>
      </c>
      <c r="D1697" t="s">
        <v>37</v>
      </c>
      <c r="E1697">
        <v>62335</v>
      </c>
      <c r="F1697">
        <v>0</v>
      </c>
      <c r="G1697">
        <v>1</v>
      </c>
      <c r="H1697" t="s">
        <v>372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>
        <v>1890</v>
      </c>
      <c r="B1698">
        <v>1971</v>
      </c>
      <c r="C1698" t="s">
        <v>46</v>
      </c>
      <c r="D1698" t="s">
        <v>31</v>
      </c>
      <c r="E1698">
        <v>42033</v>
      </c>
      <c r="F1698">
        <v>1</v>
      </c>
      <c r="G1698">
        <v>1</v>
      </c>
      <c r="H1698" t="s">
        <v>421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>
        <v>10742</v>
      </c>
      <c r="B1699">
        <v>1983</v>
      </c>
      <c r="C1699" t="s">
        <v>33</v>
      </c>
      <c r="D1699" t="s">
        <v>34</v>
      </c>
      <c r="E1699">
        <v>86580</v>
      </c>
      <c r="F1699">
        <v>0</v>
      </c>
      <c r="G1699">
        <v>0</v>
      </c>
      <c r="H1699" t="s">
        <v>422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25">
      <c r="A1700">
        <v>10356</v>
      </c>
      <c r="B1700">
        <v>1957</v>
      </c>
      <c r="C1700" t="s">
        <v>33</v>
      </c>
      <c r="D1700" t="s">
        <v>37</v>
      </c>
      <c r="E1700">
        <v>41437</v>
      </c>
      <c r="F1700">
        <v>1</v>
      </c>
      <c r="G1700">
        <v>1</v>
      </c>
      <c r="H1700" t="s">
        <v>159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>
        <v>4676</v>
      </c>
      <c r="B1701">
        <v>1951</v>
      </c>
      <c r="C1701" t="s">
        <v>36</v>
      </c>
      <c r="D1701" t="s">
        <v>57</v>
      </c>
      <c r="E1701">
        <v>73705</v>
      </c>
      <c r="F1701">
        <v>0</v>
      </c>
      <c r="G1701">
        <v>2</v>
      </c>
      <c r="H1701" s="2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5">
      <c r="A1702">
        <v>8852</v>
      </c>
      <c r="B1702">
        <v>1976</v>
      </c>
      <c r="C1702" t="s">
        <v>29</v>
      </c>
      <c r="D1702" t="s">
        <v>34</v>
      </c>
      <c r="E1702">
        <v>61064</v>
      </c>
      <c r="F1702">
        <v>0</v>
      </c>
      <c r="G1702">
        <v>1</v>
      </c>
      <c r="H1702" t="s">
        <v>44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>
        <v>3565</v>
      </c>
      <c r="B1703">
        <v>1955</v>
      </c>
      <c r="C1703" t="s">
        <v>36</v>
      </c>
      <c r="D1703" t="s">
        <v>34</v>
      </c>
      <c r="E1703">
        <v>38452</v>
      </c>
      <c r="F1703">
        <v>1</v>
      </c>
      <c r="G1703">
        <v>1</v>
      </c>
      <c r="H1703" t="s">
        <v>86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t="s">
        <v>218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>
        <v>1958</v>
      </c>
      <c r="B1705">
        <v>1973</v>
      </c>
      <c r="C1705" t="s">
        <v>33</v>
      </c>
      <c r="D1705" t="s">
        <v>31</v>
      </c>
      <c r="E1705">
        <v>55012</v>
      </c>
      <c r="F1705">
        <v>0</v>
      </c>
      <c r="G1705">
        <v>1</v>
      </c>
      <c r="H1705" t="s">
        <v>327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>
        <v>7349</v>
      </c>
      <c r="B1706">
        <v>1973</v>
      </c>
      <c r="C1706" t="s">
        <v>41</v>
      </c>
      <c r="D1706" t="s">
        <v>31</v>
      </c>
      <c r="E1706">
        <v>9722</v>
      </c>
      <c r="F1706">
        <v>1</v>
      </c>
      <c r="G1706">
        <v>0</v>
      </c>
      <c r="H1706" s="2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25">
      <c r="A1707">
        <v>8799</v>
      </c>
      <c r="B1707">
        <v>1984</v>
      </c>
      <c r="C1707" t="s">
        <v>33</v>
      </c>
      <c r="D1707" t="s">
        <v>34</v>
      </c>
      <c r="E1707">
        <v>38175</v>
      </c>
      <c r="F1707">
        <v>1</v>
      </c>
      <c r="G1707">
        <v>0</v>
      </c>
      <c r="H1707" t="s">
        <v>414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>
        <v>1351</v>
      </c>
      <c r="B1708">
        <v>1956</v>
      </c>
      <c r="C1708" t="s">
        <v>36</v>
      </c>
      <c r="D1708" t="s">
        <v>31</v>
      </c>
      <c r="E1708">
        <v>58656</v>
      </c>
      <c r="F1708">
        <v>0</v>
      </c>
      <c r="G1708">
        <v>1</v>
      </c>
      <c r="H1708" t="s">
        <v>384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>
        <v>1045</v>
      </c>
      <c r="B1709">
        <v>1965</v>
      </c>
      <c r="C1709" t="s">
        <v>29</v>
      </c>
      <c r="D1709" t="s">
        <v>31</v>
      </c>
      <c r="E1709">
        <v>52117</v>
      </c>
      <c r="F1709">
        <v>0</v>
      </c>
      <c r="G1709">
        <v>1</v>
      </c>
      <c r="H1709" t="s">
        <v>403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>
        <v>7732</v>
      </c>
      <c r="B1710">
        <v>1978</v>
      </c>
      <c r="C1710" t="s">
        <v>29</v>
      </c>
      <c r="D1710" t="s">
        <v>34</v>
      </c>
      <c r="E1710">
        <v>64813</v>
      </c>
      <c r="F1710">
        <v>1</v>
      </c>
      <c r="G1710">
        <v>0</v>
      </c>
      <c r="H1710" s="2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>
        <v>8070</v>
      </c>
      <c r="B1711">
        <v>1973</v>
      </c>
      <c r="C1711" t="s">
        <v>33</v>
      </c>
      <c r="D1711" t="s">
        <v>34</v>
      </c>
      <c r="E1711">
        <v>54222</v>
      </c>
      <c r="F1711">
        <v>0</v>
      </c>
      <c r="G1711">
        <v>1</v>
      </c>
      <c r="H1711" s="2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>
        <v>477</v>
      </c>
      <c r="B1712">
        <v>1986</v>
      </c>
      <c r="C1712" t="s">
        <v>29</v>
      </c>
      <c r="D1712" t="s">
        <v>34</v>
      </c>
      <c r="E1712">
        <v>83512</v>
      </c>
      <c r="F1712">
        <v>0</v>
      </c>
      <c r="G1712">
        <v>0</v>
      </c>
      <c r="H1712" t="s">
        <v>164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>
        <v>7832</v>
      </c>
      <c r="B1713">
        <v>1959</v>
      </c>
      <c r="C1713" t="s">
        <v>36</v>
      </c>
      <c r="D1713" t="s">
        <v>34</v>
      </c>
      <c r="E1713">
        <v>77520</v>
      </c>
      <c r="F1713">
        <v>0</v>
      </c>
      <c r="G1713">
        <v>1</v>
      </c>
      <c r="H1713" t="s">
        <v>104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25">
      <c r="A1714">
        <v>2202</v>
      </c>
      <c r="B1714">
        <v>1978</v>
      </c>
      <c r="C1714" t="s">
        <v>29</v>
      </c>
      <c r="D1714" t="s">
        <v>31</v>
      </c>
      <c r="E1714">
        <v>41154</v>
      </c>
      <c r="F1714">
        <v>0</v>
      </c>
      <c r="G1714">
        <v>1</v>
      </c>
      <c r="H1714" s="2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>
        <v>7396</v>
      </c>
      <c r="B1715">
        <v>1966</v>
      </c>
      <c r="C1715" t="s">
        <v>29</v>
      </c>
      <c r="D1715" t="s">
        <v>34</v>
      </c>
      <c r="E1715">
        <v>80398</v>
      </c>
      <c r="F1715">
        <v>0</v>
      </c>
      <c r="G1715">
        <v>0</v>
      </c>
      <c r="H1715" s="2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>
        <v>4055</v>
      </c>
      <c r="B1716">
        <v>1992</v>
      </c>
      <c r="C1716" t="s">
        <v>41</v>
      </c>
      <c r="D1716" t="s">
        <v>30</v>
      </c>
      <c r="E1716">
        <v>18746</v>
      </c>
      <c r="F1716">
        <v>1</v>
      </c>
      <c r="G1716">
        <v>0</v>
      </c>
      <c r="H1716" t="s">
        <v>319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>
        <v>10340</v>
      </c>
      <c r="B1717">
        <v>1984</v>
      </c>
      <c r="C1717" t="s">
        <v>29</v>
      </c>
      <c r="D1717" t="s">
        <v>31</v>
      </c>
      <c r="E1717">
        <v>35196</v>
      </c>
      <c r="F1717">
        <v>1</v>
      </c>
      <c r="G1717">
        <v>0</v>
      </c>
      <c r="H1717" t="s">
        <v>38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t="s">
        <v>156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>
        <v>7629</v>
      </c>
      <c r="B1719">
        <v>1977</v>
      </c>
      <c r="C1719" t="s">
        <v>29</v>
      </c>
      <c r="D1719" t="s">
        <v>34</v>
      </c>
      <c r="E1719">
        <v>22108</v>
      </c>
      <c r="F1719">
        <v>1</v>
      </c>
      <c r="G1719">
        <v>1</v>
      </c>
      <c r="H1719" s="2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>
        <v>10640</v>
      </c>
      <c r="B1720">
        <v>1974</v>
      </c>
      <c r="C1720" t="s">
        <v>29</v>
      </c>
      <c r="D1720" t="s">
        <v>31</v>
      </c>
      <c r="E1720">
        <v>44392</v>
      </c>
      <c r="F1720">
        <v>1</v>
      </c>
      <c r="G1720">
        <v>1</v>
      </c>
      <c r="H1720" s="2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>
        <v>3498</v>
      </c>
      <c r="B1721">
        <v>1976</v>
      </c>
      <c r="C1721" t="s">
        <v>33</v>
      </c>
      <c r="D1721" t="s">
        <v>34</v>
      </c>
      <c r="E1721">
        <v>55424</v>
      </c>
      <c r="F1721">
        <v>0</v>
      </c>
      <c r="G1721">
        <v>1</v>
      </c>
      <c r="H1721" t="s">
        <v>404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25">
      <c r="A1722">
        <v>6742</v>
      </c>
      <c r="B1722">
        <v>1979</v>
      </c>
      <c r="C1722" t="s">
        <v>29</v>
      </c>
      <c r="D1722" t="s">
        <v>34</v>
      </c>
      <c r="E1722">
        <v>17688</v>
      </c>
      <c r="F1722">
        <v>1</v>
      </c>
      <c r="G1722">
        <v>0</v>
      </c>
      <c r="H1722" t="s">
        <v>178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5">
      <c r="A1723">
        <v>1172</v>
      </c>
      <c r="B1723">
        <v>1983</v>
      </c>
      <c r="C1723" t="s">
        <v>33</v>
      </c>
      <c r="D1723" t="s">
        <v>34</v>
      </c>
      <c r="E1723">
        <v>92491</v>
      </c>
      <c r="F1723">
        <v>0</v>
      </c>
      <c r="G1723">
        <v>0</v>
      </c>
      <c r="H1723" s="2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25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t="s">
        <v>322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25">
      <c r="A1725">
        <v>4686</v>
      </c>
      <c r="B1725">
        <v>1962</v>
      </c>
      <c r="C1725" t="s">
        <v>33</v>
      </c>
      <c r="D1725" t="s">
        <v>57</v>
      </c>
      <c r="E1725">
        <v>82571</v>
      </c>
      <c r="F1725">
        <v>0</v>
      </c>
      <c r="G1725">
        <v>0</v>
      </c>
      <c r="H1725" s="2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>
        <v>1381</v>
      </c>
      <c r="B1726">
        <v>1982</v>
      </c>
      <c r="C1726" t="s">
        <v>33</v>
      </c>
      <c r="D1726" t="s">
        <v>30</v>
      </c>
      <c r="E1726">
        <v>38513</v>
      </c>
      <c r="F1726">
        <v>1</v>
      </c>
      <c r="G1726">
        <v>0</v>
      </c>
      <c r="H1726" t="s">
        <v>234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5">
      <c r="A1727">
        <v>2634</v>
      </c>
      <c r="B1727">
        <v>1979</v>
      </c>
      <c r="C1727" t="s">
        <v>36</v>
      </c>
      <c r="D1727" t="s">
        <v>30</v>
      </c>
      <c r="E1727">
        <v>16653</v>
      </c>
      <c r="F1727">
        <v>1</v>
      </c>
      <c r="G1727">
        <v>0</v>
      </c>
      <c r="H1727" t="s">
        <v>269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5">
      <c r="A1728">
        <v>10905</v>
      </c>
      <c r="B1728">
        <v>1955</v>
      </c>
      <c r="C1728" t="s">
        <v>29</v>
      </c>
      <c r="D1728" t="s">
        <v>31</v>
      </c>
      <c r="E1728">
        <v>42586</v>
      </c>
      <c r="F1728">
        <v>1</v>
      </c>
      <c r="G1728">
        <v>1</v>
      </c>
      <c r="H1728" t="s">
        <v>54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25">
      <c r="A1729">
        <v>1744</v>
      </c>
      <c r="B1729">
        <v>1965</v>
      </c>
      <c r="C1729" t="s">
        <v>41</v>
      </c>
      <c r="D1729" t="s">
        <v>30</v>
      </c>
      <c r="E1729">
        <v>23529</v>
      </c>
      <c r="F1729">
        <v>0</v>
      </c>
      <c r="G1729">
        <v>1</v>
      </c>
      <c r="H1729" s="2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5">
      <c r="A1730">
        <v>1000</v>
      </c>
      <c r="B1730">
        <v>1961</v>
      </c>
      <c r="C1730" t="s">
        <v>36</v>
      </c>
      <c r="D1730" t="s">
        <v>31</v>
      </c>
      <c r="E1730">
        <v>74881</v>
      </c>
      <c r="F1730">
        <v>1</v>
      </c>
      <c r="G1730">
        <v>1</v>
      </c>
      <c r="H1730" s="2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>
        <v>3828</v>
      </c>
      <c r="B1731">
        <v>1951</v>
      </c>
      <c r="C1731" t="s">
        <v>29</v>
      </c>
      <c r="D1731" t="s">
        <v>34</v>
      </c>
      <c r="E1731">
        <v>71107</v>
      </c>
      <c r="F1731">
        <v>0</v>
      </c>
      <c r="G1731">
        <v>1</v>
      </c>
      <c r="H1731" t="s">
        <v>400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>
        <v>8605</v>
      </c>
      <c r="B1732">
        <v>1964</v>
      </c>
      <c r="C1732" t="s">
        <v>33</v>
      </c>
      <c r="D1732" t="s">
        <v>31</v>
      </c>
      <c r="E1732">
        <v>46910</v>
      </c>
      <c r="F1732">
        <v>1</v>
      </c>
      <c r="G1732">
        <v>1</v>
      </c>
      <c r="H1732" t="s">
        <v>81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25">
      <c r="A1733">
        <v>10304</v>
      </c>
      <c r="B1733">
        <v>1959</v>
      </c>
      <c r="C1733" t="s">
        <v>29</v>
      </c>
      <c r="D1733" t="s">
        <v>34</v>
      </c>
      <c r="E1733">
        <v>18690</v>
      </c>
      <c r="F1733">
        <v>0</v>
      </c>
      <c r="G1733">
        <v>0</v>
      </c>
      <c r="H1733" t="s">
        <v>199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>
        <v>4351</v>
      </c>
      <c r="B1734">
        <v>1955</v>
      </c>
      <c r="C1734" t="s">
        <v>29</v>
      </c>
      <c r="D1734" t="s">
        <v>37</v>
      </c>
      <c r="E1734">
        <v>37244</v>
      </c>
      <c r="F1734">
        <v>1</v>
      </c>
      <c r="G1734">
        <v>1</v>
      </c>
      <c r="H1734" t="s">
        <v>182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>
        <v>10129</v>
      </c>
      <c r="B1735">
        <v>1966</v>
      </c>
      <c r="C1735" t="s">
        <v>29</v>
      </c>
      <c r="D1735" t="s">
        <v>31</v>
      </c>
      <c r="E1735">
        <v>82427</v>
      </c>
      <c r="F1735">
        <v>0</v>
      </c>
      <c r="G1735">
        <v>0</v>
      </c>
      <c r="H1735" s="2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25">
      <c r="A1736">
        <v>2499</v>
      </c>
      <c r="B1736">
        <v>1958</v>
      </c>
      <c r="C1736" t="s">
        <v>46</v>
      </c>
      <c r="D1736" t="s">
        <v>30</v>
      </c>
      <c r="E1736">
        <v>75342</v>
      </c>
      <c r="F1736">
        <v>0</v>
      </c>
      <c r="G1736">
        <v>1</v>
      </c>
      <c r="H1736" s="2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>
        <v>10092</v>
      </c>
      <c r="B1737">
        <v>1954</v>
      </c>
      <c r="C1737" t="s">
        <v>29</v>
      </c>
      <c r="D1737" t="s">
        <v>37</v>
      </c>
      <c r="E1737">
        <v>70044</v>
      </c>
      <c r="F1737">
        <v>0</v>
      </c>
      <c r="G1737">
        <v>1</v>
      </c>
      <c r="H1737" t="s">
        <v>64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t="s">
        <v>110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>
        <v>5796</v>
      </c>
      <c r="B1739">
        <v>1963</v>
      </c>
      <c r="C1739" t="s">
        <v>29</v>
      </c>
      <c r="D1739" t="s">
        <v>34</v>
      </c>
      <c r="E1739">
        <v>77437</v>
      </c>
      <c r="F1739">
        <v>0</v>
      </c>
      <c r="G1739">
        <v>0</v>
      </c>
      <c r="H1739" t="s">
        <v>423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25">
      <c r="A1740">
        <v>10556</v>
      </c>
      <c r="B1740">
        <v>1959</v>
      </c>
      <c r="C1740" t="s">
        <v>29</v>
      </c>
      <c r="D1740" t="s">
        <v>34</v>
      </c>
      <c r="E1740">
        <v>54984</v>
      </c>
      <c r="F1740">
        <v>0</v>
      </c>
      <c r="G1740">
        <v>1</v>
      </c>
      <c r="H1740" t="s">
        <v>82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>
        <v>1064</v>
      </c>
      <c r="B1741">
        <v>1971</v>
      </c>
      <c r="C1741" t="s">
        <v>33</v>
      </c>
      <c r="D1741" t="s">
        <v>34</v>
      </c>
      <c r="E1741">
        <v>42403</v>
      </c>
      <c r="F1741">
        <v>1</v>
      </c>
      <c r="G1741">
        <v>0</v>
      </c>
      <c r="H1741" s="2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>
        <v>48</v>
      </c>
      <c r="B1742">
        <v>1964</v>
      </c>
      <c r="C1742" t="s">
        <v>29</v>
      </c>
      <c r="D1742" t="s">
        <v>31</v>
      </c>
      <c r="E1742">
        <v>55761</v>
      </c>
      <c r="F1742">
        <v>0</v>
      </c>
      <c r="G1742">
        <v>1</v>
      </c>
      <c r="H1742" t="s">
        <v>110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>
        <v>7610</v>
      </c>
      <c r="B1743">
        <v>1983</v>
      </c>
      <c r="C1743" t="s">
        <v>29</v>
      </c>
      <c r="D1743" t="s">
        <v>31</v>
      </c>
      <c r="E1743">
        <v>37292</v>
      </c>
      <c r="F1743">
        <v>1</v>
      </c>
      <c r="G1743">
        <v>0</v>
      </c>
      <c r="H1743" t="s">
        <v>210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>
        <v>263</v>
      </c>
      <c r="B1744">
        <v>1945</v>
      </c>
      <c r="C1744" t="s">
        <v>33</v>
      </c>
      <c r="D1744" t="s">
        <v>30</v>
      </c>
      <c r="E1744">
        <v>45576</v>
      </c>
      <c r="F1744">
        <v>0</v>
      </c>
      <c r="G1744">
        <v>0</v>
      </c>
      <c r="H1744" t="s">
        <v>77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5">
      <c r="A1745">
        <v>10814</v>
      </c>
      <c r="B1745">
        <v>1947</v>
      </c>
      <c r="C1745" t="s">
        <v>29</v>
      </c>
      <c r="D1745" t="s">
        <v>31</v>
      </c>
      <c r="E1745">
        <v>70321</v>
      </c>
      <c r="F1745">
        <v>0</v>
      </c>
      <c r="G1745">
        <v>0</v>
      </c>
      <c r="H1745" t="s">
        <v>367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25">
      <c r="A1746">
        <v>9710</v>
      </c>
      <c r="B1746">
        <v>1969</v>
      </c>
      <c r="C1746" t="s">
        <v>33</v>
      </c>
      <c r="D1746" t="s">
        <v>37</v>
      </c>
      <c r="E1746">
        <v>58086</v>
      </c>
      <c r="F1746">
        <v>0</v>
      </c>
      <c r="G1746">
        <v>1</v>
      </c>
      <c r="H1746" t="s">
        <v>282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>
        <v>9292</v>
      </c>
      <c r="B1747">
        <v>1952</v>
      </c>
      <c r="C1747" t="s">
        <v>29</v>
      </c>
      <c r="D1747" t="s">
        <v>34</v>
      </c>
      <c r="E1747">
        <v>81795</v>
      </c>
      <c r="F1747">
        <v>0</v>
      </c>
      <c r="G1747">
        <v>0</v>
      </c>
      <c r="H1747" t="s">
        <v>272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5">
      <c r="A1748">
        <v>10250</v>
      </c>
      <c r="B1748">
        <v>1947</v>
      </c>
      <c r="C1748" t="s">
        <v>41</v>
      </c>
      <c r="D1748" t="s">
        <v>31</v>
      </c>
      <c r="E1748">
        <v>28389</v>
      </c>
      <c r="F1748">
        <v>0</v>
      </c>
      <c r="G1748">
        <v>0</v>
      </c>
      <c r="H1748" t="s">
        <v>407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>
        <v>7881</v>
      </c>
      <c r="B1749">
        <v>1946</v>
      </c>
      <c r="C1749" t="s">
        <v>36</v>
      </c>
      <c r="D1749" t="s">
        <v>34</v>
      </c>
      <c r="E1749">
        <v>66835</v>
      </c>
      <c r="F1749">
        <v>0</v>
      </c>
      <c r="G1749">
        <v>0</v>
      </c>
      <c r="H1749" t="s">
        <v>122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>
        <v>5847</v>
      </c>
      <c r="B1750">
        <v>1969</v>
      </c>
      <c r="C1750" t="s">
        <v>29</v>
      </c>
      <c r="D1750" t="s">
        <v>37</v>
      </c>
      <c r="E1750">
        <v>69901</v>
      </c>
      <c r="F1750">
        <v>0</v>
      </c>
      <c r="G1750">
        <v>1</v>
      </c>
      <c r="H1750" t="s">
        <v>302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>
        <v>737</v>
      </c>
      <c r="B1751">
        <v>1949</v>
      </c>
      <c r="C1751" t="s">
        <v>33</v>
      </c>
      <c r="D1751" t="s">
        <v>34</v>
      </c>
      <c r="E1751">
        <v>80360</v>
      </c>
      <c r="F1751">
        <v>0</v>
      </c>
      <c r="G1751">
        <v>0</v>
      </c>
      <c r="H1751" s="2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>
        <v>3571</v>
      </c>
      <c r="B1752">
        <v>1961</v>
      </c>
      <c r="C1752" t="s">
        <v>33</v>
      </c>
      <c r="D1752" t="s">
        <v>31</v>
      </c>
      <c r="E1752">
        <v>63342</v>
      </c>
      <c r="F1752">
        <v>0</v>
      </c>
      <c r="G1752">
        <v>1</v>
      </c>
      <c r="H1752" t="s">
        <v>161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25">
      <c r="A1753">
        <v>7807</v>
      </c>
      <c r="B1753">
        <v>1974</v>
      </c>
      <c r="C1753" t="s">
        <v>29</v>
      </c>
      <c r="D1753" t="s">
        <v>34</v>
      </c>
      <c r="E1753">
        <v>44989</v>
      </c>
      <c r="F1753">
        <v>0</v>
      </c>
      <c r="G1753">
        <v>1</v>
      </c>
      <c r="H1753" s="2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5">
      <c r="A1754">
        <v>3878</v>
      </c>
      <c r="B1754">
        <v>1980</v>
      </c>
      <c r="C1754" t="s">
        <v>46</v>
      </c>
      <c r="D1754" t="s">
        <v>30</v>
      </c>
      <c r="E1754">
        <v>31859</v>
      </c>
      <c r="F1754">
        <v>1</v>
      </c>
      <c r="G1754">
        <v>0</v>
      </c>
      <c r="H1754" t="s">
        <v>375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>
        <v>5092</v>
      </c>
      <c r="B1755">
        <v>1949</v>
      </c>
      <c r="C1755" t="s">
        <v>33</v>
      </c>
      <c r="D1755" t="s">
        <v>57</v>
      </c>
      <c r="E1755">
        <v>51569</v>
      </c>
      <c r="F1755">
        <v>0</v>
      </c>
      <c r="G1755">
        <v>1</v>
      </c>
      <c r="H1755" s="2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25">
      <c r="A1756">
        <v>2154</v>
      </c>
      <c r="B1756">
        <v>1971</v>
      </c>
      <c r="C1756" t="s">
        <v>29</v>
      </c>
      <c r="D1756" t="s">
        <v>57</v>
      </c>
      <c r="E1756">
        <v>30372</v>
      </c>
      <c r="F1756">
        <v>1</v>
      </c>
      <c r="G1756">
        <v>1</v>
      </c>
      <c r="H1756" t="s">
        <v>193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>
        <v>5394</v>
      </c>
      <c r="B1757">
        <v>1979</v>
      </c>
      <c r="C1757" t="s">
        <v>41</v>
      </c>
      <c r="D1757" t="s">
        <v>30</v>
      </c>
      <c r="E1757">
        <v>16014</v>
      </c>
      <c r="F1757">
        <v>1</v>
      </c>
      <c r="G1757">
        <v>1</v>
      </c>
      <c r="H1757" t="s">
        <v>69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>
        <v>3798</v>
      </c>
      <c r="B1758">
        <v>1968</v>
      </c>
      <c r="C1758" t="s">
        <v>29</v>
      </c>
      <c r="D1758" t="s">
        <v>34</v>
      </c>
      <c r="E1758">
        <v>41120</v>
      </c>
      <c r="F1758">
        <v>1</v>
      </c>
      <c r="G1758">
        <v>1</v>
      </c>
      <c r="H1758" s="2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>
        <v>3524</v>
      </c>
      <c r="B1759">
        <v>1971</v>
      </c>
      <c r="C1759" t="s">
        <v>36</v>
      </c>
      <c r="D1759" t="s">
        <v>30</v>
      </c>
      <c r="E1759">
        <v>39763</v>
      </c>
      <c r="F1759">
        <v>1</v>
      </c>
      <c r="G1759">
        <v>0</v>
      </c>
      <c r="H1759" s="2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25">
      <c r="A1760">
        <v>5247</v>
      </c>
      <c r="B1760">
        <v>1955</v>
      </c>
      <c r="C1760" t="s">
        <v>33</v>
      </c>
      <c r="D1760" t="s">
        <v>34</v>
      </c>
      <c r="E1760">
        <v>38725</v>
      </c>
      <c r="F1760">
        <v>1</v>
      </c>
      <c r="G1760">
        <v>1</v>
      </c>
      <c r="H1760" s="2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>
        <v>5883</v>
      </c>
      <c r="B1761">
        <v>1972</v>
      </c>
      <c r="C1761" t="s">
        <v>29</v>
      </c>
      <c r="D1761" t="s">
        <v>34</v>
      </c>
      <c r="E1761">
        <v>77981</v>
      </c>
      <c r="F1761">
        <v>1</v>
      </c>
      <c r="G1761">
        <v>0</v>
      </c>
      <c r="H1761" t="s">
        <v>315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>
        <v>2118</v>
      </c>
      <c r="B1762">
        <v>1964</v>
      </c>
      <c r="C1762" t="s">
        <v>46</v>
      </c>
      <c r="D1762" t="s">
        <v>34</v>
      </c>
      <c r="E1762">
        <v>62905</v>
      </c>
      <c r="F1762">
        <v>0</v>
      </c>
      <c r="G1762">
        <v>1</v>
      </c>
      <c r="H1762" s="2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5">
      <c r="A1763">
        <v>8812</v>
      </c>
      <c r="B1763">
        <v>1979</v>
      </c>
      <c r="C1763" t="s">
        <v>46</v>
      </c>
      <c r="D1763" t="s">
        <v>37</v>
      </c>
      <c r="E1763">
        <v>13533</v>
      </c>
      <c r="F1763">
        <v>1</v>
      </c>
      <c r="G1763">
        <v>0</v>
      </c>
      <c r="H1763" s="2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>
        <v>6616</v>
      </c>
      <c r="B1764">
        <v>1975</v>
      </c>
      <c r="C1764" t="s">
        <v>29</v>
      </c>
      <c r="D1764" t="s">
        <v>31</v>
      </c>
      <c r="E1764">
        <v>59481</v>
      </c>
      <c r="F1764">
        <v>0</v>
      </c>
      <c r="G1764">
        <v>1</v>
      </c>
      <c r="H1764" t="s">
        <v>332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5">
      <c r="A1765">
        <v>2797</v>
      </c>
      <c r="B1765">
        <v>1977</v>
      </c>
      <c r="C1765" t="s">
        <v>29</v>
      </c>
      <c r="D1765" t="s">
        <v>34</v>
      </c>
      <c r="E1765">
        <v>72117</v>
      </c>
      <c r="F1765">
        <v>0</v>
      </c>
      <c r="G1765">
        <v>1</v>
      </c>
      <c r="H1765" t="s">
        <v>113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5">
      <c r="A1766">
        <v>4328</v>
      </c>
      <c r="B1766">
        <v>1986</v>
      </c>
      <c r="C1766" t="s">
        <v>46</v>
      </c>
      <c r="D1766" t="s">
        <v>34</v>
      </c>
      <c r="E1766">
        <v>21955</v>
      </c>
      <c r="F1766">
        <v>1</v>
      </c>
      <c r="G1766">
        <v>0</v>
      </c>
      <c r="H1766" s="2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5">
      <c r="A1767">
        <v>9167</v>
      </c>
      <c r="B1767">
        <v>1956</v>
      </c>
      <c r="C1767" t="s">
        <v>29</v>
      </c>
      <c r="D1767" t="s">
        <v>34</v>
      </c>
      <c r="E1767">
        <v>67131</v>
      </c>
      <c r="F1767">
        <v>0</v>
      </c>
      <c r="G1767">
        <v>1</v>
      </c>
      <c r="H1767" t="s">
        <v>143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5">
      <c r="A1768">
        <v>10560</v>
      </c>
      <c r="B1768">
        <v>1980</v>
      </c>
      <c r="C1768" t="s">
        <v>33</v>
      </c>
      <c r="D1768" t="s">
        <v>30</v>
      </c>
      <c r="E1768">
        <v>36802</v>
      </c>
      <c r="F1768">
        <v>1</v>
      </c>
      <c r="G1768">
        <v>0</v>
      </c>
      <c r="H1768" t="s">
        <v>192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5">
      <c r="A1769">
        <v>2631</v>
      </c>
      <c r="B1769">
        <v>1982</v>
      </c>
      <c r="C1769" t="s">
        <v>29</v>
      </c>
      <c r="D1769" t="s">
        <v>31</v>
      </c>
      <c r="E1769">
        <v>71853</v>
      </c>
      <c r="F1769">
        <v>0</v>
      </c>
      <c r="G1769">
        <v>0</v>
      </c>
      <c r="H1769" s="2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>
        <v>8312</v>
      </c>
      <c r="B1770">
        <v>1961</v>
      </c>
      <c r="C1770" t="s">
        <v>41</v>
      </c>
      <c r="D1770" t="s">
        <v>34</v>
      </c>
      <c r="E1770">
        <v>28249</v>
      </c>
      <c r="F1770">
        <v>0</v>
      </c>
      <c r="G1770">
        <v>0</v>
      </c>
      <c r="H1770" t="s">
        <v>124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>
        <v>5534</v>
      </c>
      <c r="B1771">
        <v>1975</v>
      </c>
      <c r="C1771" t="s">
        <v>36</v>
      </c>
      <c r="D1771" t="s">
        <v>34</v>
      </c>
      <c r="E1771">
        <v>47808</v>
      </c>
      <c r="F1771">
        <v>0</v>
      </c>
      <c r="G1771">
        <v>1</v>
      </c>
      <c r="H1771" t="s">
        <v>251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>
        <v>5093</v>
      </c>
      <c r="B1772">
        <v>1974</v>
      </c>
      <c r="C1772" t="s">
        <v>33</v>
      </c>
      <c r="D1772" t="s">
        <v>37</v>
      </c>
      <c r="E1772">
        <v>25509</v>
      </c>
      <c r="F1772">
        <v>1</v>
      </c>
      <c r="G1772">
        <v>0</v>
      </c>
      <c r="H1772" t="s">
        <v>181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5">
      <c r="A1773">
        <v>7592</v>
      </c>
      <c r="B1773">
        <v>1946</v>
      </c>
      <c r="C1773" t="s">
        <v>33</v>
      </c>
      <c r="D1773" t="s">
        <v>34</v>
      </c>
      <c r="E1773">
        <v>51012</v>
      </c>
      <c r="F1773">
        <v>0</v>
      </c>
      <c r="G1773">
        <v>0</v>
      </c>
      <c r="H1773" t="s">
        <v>210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s="2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>
        <v>8584</v>
      </c>
      <c r="B1775">
        <v>1952</v>
      </c>
      <c r="C1775" t="s">
        <v>33</v>
      </c>
      <c r="D1775" t="s">
        <v>31</v>
      </c>
      <c r="E1775">
        <v>85431</v>
      </c>
      <c r="F1775">
        <v>0</v>
      </c>
      <c r="G1775">
        <v>0</v>
      </c>
      <c r="H1775" s="2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>
        <v>2694</v>
      </c>
      <c r="B1776">
        <v>1967</v>
      </c>
      <c r="C1776" t="s">
        <v>29</v>
      </c>
      <c r="D1776" t="s">
        <v>34</v>
      </c>
      <c r="E1776">
        <v>42664</v>
      </c>
      <c r="F1776">
        <v>0</v>
      </c>
      <c r="G1776">
        <v>1</v>
      </c>
      <c r="H1776" t="s">
        <v>138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>
        <v>8910</v>
      </c>
      <c r="B1777">
        <v>1955</v>
      </c>
      <c r="C1777" t="s">
        <v>29</v>
      </c>
      <c r="D1777" t="s">
        <v>31</v>
      </c>
      <c r="E1777">
        <v>42586</v>
      </c>
      <c r="F1777">
        <v>1</v>
      </c>
      <c r="G1777">
        <v>1</v>
      </c>
      <c r="H1777" t="s">
        <v>54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25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t="s">
        <v>73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>
        <v>164</v>
      </c>
      <c r="B1779">
        <v>1977</v>
      </c>
      <c r="C1779" t="s">
        <v>33</v>
      </c>
      <c r="D1779" t="s">
        <v>34</v>
      </c>
      <c r="E1779">
        <v>28973</v>
      </c>
      <c r="F1779">
        <v>0</v>
      </c>
      <c r="G1779">
        <v>0</v>
      </c>
      <c r="H1779" t="s">
        <v>160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>
        <v>10477</v>
      </c>
      <c r="B1780">
        <v>1973</v>
      </c>
      <c r="C1780" t="s">
        <v>33</v>
      </c>
      <c r="D1780" t="s">
        <v>31</v>
      </c>
      <c r="E1780">
        <v>39435</v>
      </c>
      <c r="F1780">
        <v>1</v>
      </c>
      <c r="G1780">
        <v>0</v>
      </c>
      <c r="H1780" s="2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>
        <v>2681</v>
      </c>
      <c r="B1781">
        <v>1984</v>
      </c>
      <c r="C1781" t="s">
        <v>46</v>
      </c>
      <c r="D1781" t="s">
        <v>34</v>
      </c>
      <c r="E1781">
        <v>65370</v>
      </c>
      <c r="F1781">
        <v>0</v>
      </c>
      <c r="G1781">
        <v>0</v>
      </c>
      <c r="H1781" s="2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>
        <v>5150</v>
      </c>
      <c r="B1782">
        <v>1979</v>
      </c>
      <c r="C1782" t="s">
        <v>41</v>
      </c>
      <c r="D1782" t="s">
        <v>30</v>
      </c>
      <c r="E1782">
        <v>20194</v>
      </c>
      <c r="F1782">
        <v>1</v>
      </c>
      <c r="G1782">
        <v>0</v>
      </c>
      <c r="H1782" t="s">
        <v>424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>
        <v>5283</v>
      </c>
      <c r="B1783">
        <v>1976</v>
      </c>
      <c r="C1783" t="s">
        <v>33</v>
      </c>
      <c r="D1783" t="s">
        <v>30</v>
      </c>
      <c r="E1783">
        <v>42473</v>
      </c>
      <c r="F1783">
        <v>1</v>
      </c>
      <c r="G1783">
        <v>1</v>
      </c>
      <c r="H1783" t="s">
        <v>289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>
        <v>9645</v>
      </c>
      <c r="B1784">
        <v>1968</v>
      </c>
      <c r="C1784" t="s">
        <v>29</v>
      </c>
      <c r="D1784" t="s">
        <v>34</v>
      </c>
      <c r="E1784">
        <v>64590</v>
      </c>
      <c r="F1784">
        <v>0</v>
      </c>
      <c r="G1784">
        <v>0</v>
      </c>
      <c r="H1784" t="s">
        <v>347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5">
      <c r="A1785">
        <v>10678</v>
      </c>
      <c r="B1785">
        <v>1959</v>
      </c>
      <c r="C1785" t="s">
        <v>29</v>
      </c>
      <c r="D1785" t="s">
        <v>31</v>
      </c>
      <c r="E1785">
        <v>71232</v>
      </c>
      <c r="F1785">
        <v>0</v>
      </c>
      <c r="G1785">
        <v>1</v>
      </c>
      <c r="H1785" t="s">
        <v>154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>
        <v>7261</v>
      </c>
      <c r="B1786">
        <v>1971</v>
      </c>
      <c r="C1786" t="s">
        <v>29</v>
      </c>
      <c r="D1786" t="s">
        <v>31</v>
      </c>
      <c r="E1786">
        <v>34600</v>
      </c>
      <c r="F1786">
        <v>1</v>
      </c>
      <c r="G1786">
        <v>1</v>
      </c>
      <c r="H1786" s="2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25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s="2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>
        <v>2870</v>
      </c>
      <c r="B1788">
        <v>1973</v>
      </c>
      <c r="C1788" t="s">
        <v>29</v>
      </c>
      <c r="D1788" t="s">
        <v>34</v>
      </c>
      <c r="E1788">
        <v>49094</v>
      </c>
      <c r="F1788">
        <v>0</v>
      </c>
      <c r="G1788">
        <v>1</v>
      </c>
      <c r="H1788" t="s">
        <v>283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>
        <v>8008</v>
      </c>
      <c r="B1789">
        <v>1983</v>
      </c>
      <c r="C1789" t="s">
        <v>29</v>
      </c>
      <c r="D1789" t="s">
        <v>31</v>
      </c>
      <c r="E1789">
        <v>36075</v>
      </c>
      <c r="F1789">
        <v>1</v>
      </c>
      <c r="G1789">
        <v>0</v>
      </c>
      <c r="H1789" s="2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>
        <v>1513</v>
      </c>
      <c r="B1790">
        <v>1979</v>
      </c>
      <c r="C1790" t="s">
        <v>46</v>
      </c>
      <c r="D1790" t="s">
        <v>31</v>
      </c>
      <c r="E1790">
        <v>60839</v>
      </c>
      <c r="F1790">
        <v>1</v>
      </c>
      <c r="G1790">
        <v>1</v>
      </c>
      <c r="H1790" t="s">
        <v>401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5">
      <c r="A1791">
        <v>6173</v>
      </c>
      <c r="B1791">
        <v>1979</v>
      </c>
      <c r="C1791" t="s">
        <v>29</v>
      </c>
      <c r="D1791" t="s">
        <v>31</v>
      </c>
      <c r="E1791">
        <v>77298</v>
      </c>
      <c r="F1791">
        <v>0</v>
      </c>
      <c r="G1791">
        <v>1</v>
      </c>
      <c r="H1791" s="2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>
        <v>1419</v>
      </c>
      <c r="B1792">
        <v>1950</v>
      </c>
      <c r="C1792" t="s">
        <v>29</v>
      </c>
      <c r="D1792" t="s">
        <v>31</v>
      </c>
      <c r="E1792">
        <v>34026</v>
      </c>
      <c r="F1792">
        <v>1</v>
      </c>
      <c r="G1792">
        <v>1</v>
      </c>
      <c r="H1792" s="2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>
        <v>9150</v>
      </c>
      <c r="B1793">
        <v>1963</v>
      </c>
      <c r="C1793" t="s">
        <v>33</v>
      </c>
      <c r="D1793" t="s">
        <v>30</v>
      </c>
      <c r="E1793">
        <v>48918</v>
      </c>
      <c r="F1793">
        <v>1</v>
      </c>
      <c r="G1793">
        <v>1</v>
      </c>
      <c r="H1793" s="2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5">
      <c r="A1794">
        <v>7960</v>
      </c>
      <c r="B1794">
        <v>1962</v>
      </c>
      <c r="C1794" t="s">
        <v>46</v>
      </c>
      <c r="D1794" t="s">
        <v>31</v>
      </c>
      <c r="E1794">
        <v>82122</v>
      </c>
      <c r="F1794">
        <v>0</v>
      </c>
      <c r="G1794">
        <v>0</v>
      </c>
      <c r="H1794" t="s">
        <v>191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25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s="2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>
        <v>9905</v>
      </c>
      <c r="B1796">
        <v>1952</v>
      </c>
      <c r="C1796" t="s">
        <v>29</v>
      </c>
      <c r="D1796" t="s">
        <v>31</v>
      </c>
      <c r="E1796">
        <v>34074</v>
      </c>
      <c r="F1796">
        <v>1</v>
      </c>
      <c r="G1796">
        <v>1</v>
      </c>
      <c r="H1796" t="s">
        <v>117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>
        <v>10691</v>
      </c>
      <c r="B1797">
        <v>1960</v>
      </c>
      <c r="C1797" t="s">
        <v>36</v>
      </c>
      <c r="D1797" t="s">
        <v>34</v>
      </c>
      <c r="E1797">
        <v>28520</v>
      </c>
      <c r="F1797">
        <v>1</v>
      </c>
      <c r="G1797">
        <v>1</v>
      </c>
      <c r="H1797" t="s">
        <v>207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s="2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5">
      <c r="A1799">
        <v>2952</v>
      </c>
      <c r="B1799">
        <v>1977</v>
      </c>
      <c r="C1799" t="s">
        <v>36</v>
      </c>
      <c r="D1799" t="s">
        <v>30</v>
      </c>
      <c r="E1799">
        <v>36273</v>
      </c>
      <c r="F1799">
        <v>1</v>
      </c>
      <c r="G1799">
        <v>0</v>
      </c>
      <c r="H1799" t="s">
        <v>148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>
        <v>8439</v>
      </c>
      <c r="B1800">
        <v>1964</v>
      </c>
      <c r="C1800" t="s">
        <v>29</v>
      </c>
      <c r="D1800" t="s">
        <v>31</v>
      </c>
      <c r="E1800">
        <v>63404</v>
      </c>
      <c r="F1800">
        <v>0</v>
      </c>
      <c r="G1800">
        <v>2</v>
      </c>
      <c r="H1800" s="2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5">
      <c r="A1801">
        <v>762</v>
      </c>
      <c r="B1801">
        <v>1981</v>
      </c>
      <c r="C1801" t="s">
        <v>46</v>
      </c>
      <c r="D1801" t="s">
        <v>31</v>
      </c>
      <c r="E1801">
        <v>75774</v>
      </c>
      <c r="F1801">
        <v>1</v>
      </c>
      <c r="G1801">
        <v>0</v>
      </c>
      <c r="H1801" s="2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5">
      <c r="A1802">
        <v>2831</v>
      </c>
      <c r="B1802">
        <v>1976</v>
      </c>
      <c r="C1802" t="s">
        <v>29</v>
      </c>
      <c r="D1802" t="s">
        <v>31</v>
      </c>
      <c r="E1802">
        <v>78416</v>
      </c>
      <c r="F1802">
        <v>0</v>
      </c>
      <c r="G1802">
        <v>1</v>
      </c>
      <c r="H1802" t="s">
        <v>305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5">
      <c r="A1803">
        <v>6977</v>
      </c>
      <c r="B1803">
        <v>1974</v>
      </c>
      <c r="C1803" t="s">
        <v>29</v>
      </c>
      <c r="D1803" t="s">
        <v>31</v>
      </c>
      <c r="E1803">
        <v>75702</v>
      </c>
      <c r="F1803">
        <v>0</v>
      </c>
      <c r="G1803">
        <v>1</v>
      </c>
      <c r="H1803" t="s">
        <v>347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>
        <v>6289</v>
      </c>
      <c r="B1804">
        <v>1951</v>
      </c>
      <c r="C1804" t="s">
        <v>36</v>
      </c>
      <c r="D1804" t="s">
        <v>31</v>
      </c>
      <c r="E1804">
        <v>59385</v>
      </c>
      <c r="F1804">
        <v>1</v>
      </c>
      <c r="G1804">
        <v>1</v>
      </c>
      <c r="H1804" t="s">
        <v>378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t="s">
        <v>146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25">
      <c r="A1806">
        <v>8397</v>
      </c>
      <c r="B1806">
        <v>1951</v>
      </c>
      <c r="C1806" t="s">
        <v>29</v>
      </c>
      <c r="D1806" t="s">
        <v>34</v>
      </c>
      <c r="E1806">
        <v>44689</v>
      </c>
      <c r="F1806">
        <v>1</v>
      </c>
      <c r="G1806">
        <v>1</v>
      </c>
      <c r="H1806" s="2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>
        <v>9284</v>
      </c>
      <c r="B1807">
        <v>1958</v>
      </c>
      <c r="C1807" t="s">
        <v>29</v>
      </c>
      <c r="D1807" t="s">
        <v>31</v>
      </c>
      <c r="E1807">
        <v>53977</v>
      </c>
      <c r="F1807">
        <v>0</v>
      </c>
      <c r="G1807">
        <v>1</v>
      </c>
      <c r="H1807" s="2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>
        <v>6237</v>
      </c>
      <c r="B1808">
        <v>1966</v>
      </c>
      <c r="C1808" t="s">
        <v>33</v>
      </c>
      <c r="D1808" t="s">
        <v>30</v>
      </c>
      <c r="E1808">
        <v>7144</v>
      </c>
      <c r="F1808">
        <v>0</v>
      </c>
      <c r="G1808">
        <v>2</v>
      </c>
      <c r="H1808" s="2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s="2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>
        <v>1619</v>
      </c>
      <c r="B1810">
        <v>1956</v>
      </c>
      <c r="C1810" t="s">
        <v>29</v>
      </c>
      <c r="D1810" t="s">
        <v>34</v>
      </c>
      <c r="E1810">
        <v>90369</v>
      </c>
      <c r="F1810">
        <v>0</v>
      </c>
      <c r="G1810">
        <v>0</v>
      </c>
      <c r="H1810" t="s">
        <v>62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5">
      <c r="A1811">
        <v>1990</v>
      </c>
      <c r="B1811">
        <v>1974</v>
      </c>
      <c r="C1811" t="s">
        <v>33</v>
      </c>
      <c r="D1811" t="s">
        <v>30</v>
      </c>
      <c r="E1811">
        <v>63159</v>
      </c>
      <c r="F1811">
        <v>0</v>
      </c>
      <c r="G1811">
        <v>0</v>
      </c>
      <c r="H1811" s="2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>
        <v>5513</v>
      </c>
      <c r="B1812">
        <v>1966</v>
      </c>
      <c r="C1812" t="s">
        <v>29</v>
      </c>
      <c r="D1812" t="s">
        <v>31</v>
      </c>
      <c r="E1812">
        <v>37758</v>
      </c>
      <c r="F1812">
        <v>1</v>
      </c>
      <c r="G1812">
        <v>1</v>
      </c>
      <c r="H1812" s="2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>
        <v>269</v>
      </c>
      <c r="B1813">
        <v>1963</v>
      </c>
      <c r="C1813" t="s">
        <v>33</v>
      </c>
      <c r="D1813" t="s">
        <v>30</v>
      </c>
      <c r="E1813">
        <v>46757</v>
      </c>
      <c r="F1813">
        <v>0</v>
      </c>
      <c r="G1813">
        <v>1</v>
      </c>
      <c r="H1813" t="s">
        <v>402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>
        <v>8093</v>
      </c>
      <c r="B1814">
        <v>1969</v>
      </c>
      <c r="C1814" t="s">
        <v>36</v>
      </c>
      <c r="D1814" t="s">
        <v>34</v>
      </c>
      <c r="E1814">
        <v>79734</v>
      </c>
      <c r="F1814">
        <v>0</v>
      </c>
      <c r="G1814">
        <v>0</v>
      </c>
      <c r="H1814" t="s">
        <v>59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>
        <v>10513</v>
      </c>
      <c r="B1815">
        <v>1992</v>
      </c>
      <c r="C1815" t="s">
        <v>29</v>
      </c>
      <c r="D1815" t="s">
        <v>31</v>
      </c>
      <c r="E1815">
        <v>63207</v>
      </c>
      <c r="F1815">
        <v>0</v>
      </c>
      <c r="G1815">
        <v>0</v>
      </c>
      <c r="H1815" t="s">
        <v>282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>
        <v>10177</v>
      </c>
      <c r="B1816">
        <v>1954</v>
      </c>
      <c r="C1816" t="s">
        <v>29</v>
      </c>
      <c r="D1816" t="s">
        <v>37</v>
      </c>
      <c r="E1816">
        <v>72071</v>
      </c>
      <c r="F1816">
        <v>0</v>
      </c>
      <c r="G1816">
        <v>1</v>
      </c>
      <c r="H1816" t="s">
        <v>326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>
        <v>2549</v>
      </c>
      <c r="B1817">
        <v>1983</v>
      </c>
      <c r="C1817" t="s">
        <v>33</v>
      </c>
      <c r="D1817" t="s">
        <v>31</v>
      </c>
      <c r="E1817">
        <v>21840</v>
      </c>
      <c r="F1817">
        <v>1</v>
      </c>
      <c r="G1817">
        <v>0</v>
      </c>
      <c r="H1817" t="s">
        <v>370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>
        <v>5782</v>
      </c>
      <c r="B1818">
        <v>1982</v>
      </c>
      <c r="C1818" t="s">
        <v>46</v>
      </c>
      <c r="D1818" t="s">
        <v>31</v>
      </c>
      <c r="E1818">
        <v>58582</v>
      </c>
      <c r="F1818">
        <v>0</v>
      </c>
      <c r="G1818">
        <v>1</v>
      </c>
      <c r="H1818" t="s">
        <v>122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t="s">
        <v>249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25">
      <c r="A1820">
        <v>10307</v>
      </c>
      <c r="B1820">
        <v>1956</v>
      </c>
      <c r="C1820" t="s">
        <v>29</v>
      </c>
      <c r="D1820" t="s">
        <v>34</v>
      </c>
      <c r="E1820">
        <v>50387</v>
      </c>
      <c r="F1820">
        <v>0</v>
      </c>
      <c r="G1820">
        <v>2</v>
      </c>
      <c r="H1820" t="s">
        <v>140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5">
      <c r="A1821">
        <v>8566</v>
      </c>
      <c r="B1821">
        <v>1961</v>
      </c>
      <c r="C1821" t="s">
        <v>33</v>
      </c>
      <c r="D1821" t="s">
        <v>31</v>
      </c>
      <c r="E1821">
        <v>32583</v>
      </c>
      <c r="F1821">
        <v>1</v>
      </c>
      <c r="G1821">
        <v>1</v>
      </c>
      <c r="H1821" t="s">
        <v>124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>
        <v>2415</v>
      </c>
      <c r="B1822">
        <v>1962</v>
      </c>
      <c r="C1822" t="s">
        <v>29</v>
      </c>
      <c r="D1822" t="s">
        <v>31</v>
      </c>
      <c r="E1822">
        <v>62568</v>
      </c>
      <c r="F1822">
        <v>0</v>
      </c>
      <c r="G1822">
        <v>1</v>
      </c>
      <c r="H1822" s="2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>
        <v>5684</v>
      </c>
      <c r="B1823">
        <v>1971</v>
      </c>
      <c r="C1823" t="s">
        <v>36</v>
      </c>
      <c r="D1823" t="s">
        <v>37</v>
      </c>
      <c r="E1823">
        <v>44635</v>
      </c>
      <c r="F1823">
        <v>1</v>
      </c>
      <c r="G1823">
        <v>1</v>
      </c>
      <c r="H1823" s="2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>
        <v>8334</v>
      </c>
      <c r="B1824">
        <v>1971</v>
      </c>
      <c r="C1824" t="s">
        <v>36</v>
      </c>
      <c r="D1824" t="s">
        <v>30</v>
      </c>
      <c r="E1824">
        <v>33316</v>
      </c>
      <c r="F1824">
        <v>1</v>
      </c>
      <c r="G1824">
        <v>1</v>
      </c>
      <c r="H1824" s="2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>
        <v>9166</v>
      </c>
      <c r="B1825">
        <v>1968</v>
      </c>
      <c r="C1825" t="s">
        <v>29</v>
      </c>
      <c r="D1825" t="s">
        <v>34</v>
      </c>
      <c r="E1825">
        <v>63967</v>
      </c>
      <c r="F1825">
        <v>0</v>
      </c>
      <c r="G1825">
        <v>1</v>
      </c>
      <c r="H1825" s="2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25">
      <c r="A1826">
        <v>1440</v>
      </c>
      <c r="B1826">
        <v>1978</v>
      </c>
      <c r="C1826" t="s">
        <v>46</v>
      </c>
      <c r="D1826" t="s">
        <v>31</v>
      </c>
      <c r="E1826">
        <v>52513</v>
      </c>
      <c r="F1826">
        <v>0</v>
      </c>
      <c r="G1826">
        <v>0</v>
      </c>
      <c r="H1826" s="2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>
        <v>78</v>
      </c>
      <c r="B1827">
        <v>1969</v>
      </c>
      <c r="C1827" t="s">
        <v>29</v>
      </c>
      <c r="D1827" t="s">
        <v>34</v>
      </c>
      <c r="E1827">
        <v>25293</v>
      </c>
      <c r="F1827">
        <v>1</v>
      </c>
      <c r="G1827">
        <v>0</v>
      </c>
      <c r="H1827" t="s">
        <v>311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>
        <v>5441</v>
      </c>
      <c r="B1828">
        <v>1965</v>
      </c>
      <c r="C1828" t="s">
        <v>33</v>
      </c>
      <c r="D1828" t="s">
        <v>57</v>
      </c>
      <c r="E1828">
        <v>54111</v>
      </c>
      <c r="F1828">
        <v>0</v>
      </c>
      <c r="G1828">
        <v>1</v>
      </c>
      <c r="H1828" t="s">
        <v>301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>
        <v>5302</v>
      </c>
      <c r="B1829">
        <v>1986</v>
      </c>
      <c r="C1829" t="s">
        <v>29</v>
      </c>
      <c r="D1829" t="s">
        <v>31</v>
      </c>
      <c r="E1829">
        <v>78394</v>
      </c>
      <c r="F1829">
        <v>0</v>
      </c>
      <c r="G1829">
        <v>0</v>
      </c>
      <c r="H1829" t="s">
        <v>256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25">
      <c r="A1830">
        <v>4687</v>
      </c>
      <c r="B1830">
        <v>1958</v>
      </c>
      <c r="C1830" t="s">
        <v>36</v>
      </c>
      <c r="D1830" t="s">
        <v>34</v>
      </c>
      <c r="E1830">
        <v>80739</v>
      </c>
      <c r="F1830">
        <v>0</v>
      </c>
      <c r="G1830">
        <v>0</v>
      </c>
      <c r="H1830" t="s">
        <v>372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>
        <v>1087</v>
      </c>
      <c r="B1831">
        <v>1975</v>
      </c>
      <c r="C1831" t="s">
        <v>36</v>
      </c>
      <c r="D1831" t="s">
        <v>31</v>
      </c>
      <c r="E1831">
        <v>22669</v>
      </c>
      <c r="F1831">
        <v>1</v>
      </c>
      <c r="G1831">
        <v>0</v>
      </c>
      <c r="H1831" t="s">
        <v>163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25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s="2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>
        <v>9860</v>
      </c>
      <c r="B1833">
        <v>1959</v>
      </c>
      <c r="C1833" t="s">
        <v>29</v>
      </c>
      <c r="D1833" t="s">
        <v>31</v>
      </c>
      <c r="E1833">
        <v>44911</v>
      </c>
      <c r="F1833">
        <v>0</v>
      </c>
      <c r="G1833">
        <v>1</v>
      </c>
      <c r="H1833" t="s">
        <v>314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>
        <v>7129</v>
      </c>
      <c r="B1834">
        <v>1962</v>
      </c>
      <c r="C1834" t="s">
        <v>33</v>
      </c>
      <c r="D1834" t="s">
        <v>34</v>
      </c>
      <c r="E1834">
        <v>54693</v>
      </c>
      <c r="F1834">
        <v>0</v>
      </c>
      <c r="G1834">
        <v>1</v>
      </c>
      <c r="H1834" t="s">
        <v>400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>
        <v>5866</v>
      </c>
      <c r="B1835">
        <v>1974</v>
      </c>
      <c r="C1835" t="s">
        <v>29</v>
      </c>
      <c r="D1835" t="s">
        <v>31</v>
      </c>
      <c r="E1835">
        <v>48186</v>
      </c>
      <c r="F1835">
        <v>1</v>
      </c>
      <c r="G1835">
        <v>0</v>
      </c>
      <c r="H1835" t="s">
        <v>170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>
        <v>10521</v>
      </c>
      <c r="B1836">
        <v>1977</v>
      </c>
      <c r="C1836" t="s">
        <v>29</v>
      </c>
      <c r="D1836" t="s">
        <v>34</v>
      </c>
      <c r="E1836">
        <v>54809</v>
      </c>
      <c r="F1836">
        <v>1</v>
      </c>
      <c r="G1836">
        <v>1</v>
      </c>
      <c r="H1836" s="2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5">
      <c r="A1837">
        <v>7393</v>
      </c>
      <c r="B1837">
        <v>1978</v>
      </c>
      <c r="C1837" t="s">
        <v>29</v>
      </c>
      <c r="D1837" t="s">
        <v>31</v>
      </c>
      <c r="E1837">
        <v>41580</v>
      </c>
      <c r="F1837">
        <v>1</v>
      </c>
      <c r="G1837">
        <v>1</v>
      </c>
      <c r="H1837" s="2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>
        <v>7849</v>
      </c>
      <c r="B1838">
        <v>1970</v>
      </c>
      <c r="C1838" t="s">
        <v>33</v>
      </c>
      <c r="D1838" t="s">
        <v>34</v>
      </c>
      <c r="E1838">
        <v>80336</v>
      </c>
      <c r="F1838">
        <v>0</v>
      </c>
      <c r="G1838">
        <v>0</v>
      </c>
      <c r="H1838" s="2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>
        <v>332</v>
      </c>
      <c r="B1839">
        <v>1957</v>
      </c>
      <c r="C1839" t="s">
        <v>29</v>
      </c>
      <c r="D1839" t="s">
        <v>34</v>
      </c>
      <c r="E1839">
        <v>47743</v>
      </c>
      <c r="F1839">
        <v>0</v>
      </c>
      <c r="G1839">
        <v>1</v>
      </c>
      <c r="H1839" t="s">
        <v>324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>
        <v>9847</v>
      </c>
      <c r="B1840">
        <v>1955</v>
      </c>
      <c r="C1840" t="s">
        <v>46</v>
      </c>
      <c r="D1840" t="s">
        <v>34</v>
      </c>
      <c r="E1840">
        <v>62972</v>
      </c>
      <c r="F1840">
        <v>0</v>
      </c>
      <c r="G1840">
        <v>1</v>
      </c>
      <c r="H1840" s="2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>
        <v>531</v>
      </c>
      <c r="B1841">
        <v>1954</v>
      </c>
      <c r="C1841" t="s">
        <v>33</v>
      </c>
      <c r="D1841" t="s">
        <v>37</v>
      </c>
      <c r="E1841">
        <v>57333</v>
      </c>
      <c r="F1841">
        <v>0</v>
      </c>
      <c r="G1841">
        <v>1</v>
      </c>
      <c r="H1841" t="s">
        <v>159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25">
      <c r="A1842">
        <v>9576</v>
      </c>
      <c r="B1842">
        <v>1982</v>
      </c>
      <c r="C1842" t="s">
        <v>33</v>
      </c>
      <c r="D1842" t="s">
        <v>31</v>
      </c>
      <c r="E1842">
        <v>32313</v>
      </c>
      <c r="F1842">
        <v>1</v>
      </c>
      <c r="G1842">
        <v>0</v>
      </c>
      <c r="H1842" s="2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>
        <v>6906</v>
      </c>
      <c r="B1843">
        <v>1953</v>
      </c>
      <c r="C1843" t="s">
        <v>36</v>
      </c>
      <c r="D1843" t="s">
        <v>57</v>
      </c>
      <c r="E1843">
        <v>84953</v>
      </c>
      <c r="F1843">
        <v>0</v>
      </c>
      <c r="G1843">
        <v>0</v>
      </c>
      <c r="H1843" s="2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25">
      <c r="A1844">
        <v>7419</v>
      </c>
      <c r="B1844">
        <v>1968</v>
      </c>
      <c r="C1844" t="s">
        <v>36</v>
      </c>
      <c r="D1844" t="s">
        <v>37</v>
      </c>
      <c r="E1844">
        <v>27071</v>
      </c>
      <c r="F1844">
        <v>1</v>
      </c>
      <c r="G1844">
        <v>0</v>
      </c>
      <c r="H1844" t="s">
        <v>356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5">
      <c r="A1845">
        <v>3170</v>
      </c>
      <c r="B1845">
        <v>1957</v>
      </c>
      <c r="C1845" t="s">
        <v>36</v>
      </c>
      <c r="D1845" t="s">
        <v>31</v>
      </c>
      <c r="E1845">
        <v>68148</v>
      </c>
      <c r="F1845">
        <v>0</v>
      </c>
      <c r="G1845">
        <v>0</v>
      </c>
      <c r="H1845" t="s">
        <v>140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>
        <v>8527</v>
      </c>
      <c r="B1846">
        <v>1965</v>
      </c>
      <c r="C1846" t="s">
        <v>36</v>
      </c>
      <c r="D1846" t="s">
        <v>31</v>
      </c>
      <c r="E1846">
        <v>65735</v>
      </c>
      <c r="F1846">
        <v>1</v>
      </c>
      <c r="G1846">
        <v>1</v>
      </c>
      <c r="H1846" s="2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>
        <v>7872</v>
      </c>
      <c r="B1847">
        <v>1975</v>
      </c>
      <c r="C1847" t="s">
        <v>33</v>
      </c>
      <c r="D1847" t="s">
        <v>34</v>
      </c>
      <c r="E1847">
        <v>86836</v>
      </c>
      <c r="F1847">
        <v>0</v>
      </c>
      <c r="G1847">
        <v>0</v>
      </c>
      <c r="H1847" s="2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25">
      <c r="A1848">
        <v>9931</v>
      </c>
      <c r="B1848">
        <v>1963</v>
      </c>
      <c r="C1848" t="s">
        <v>33</v>
      </c>
      <c r="D1848" t="s">
        <v>34</v>
      </c>
      <c r="E1848">
        <v>4023</v>
      </c>
      <c r="F1848">
        <v>1</v>
      </c>
      <c r="G1848">
        <v>1</v>
      </c>
      <c r="H1848" t="s">
        <v>416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>
        <v>10595</v>
      </c>
      <c r="B1849">
        <v>1990</v>
      </c>
      <c r="C1849" t="s">
        <v>29</v>
      </c>
      <c r="D1849" t="s">
        <v>34</v>
      </c>
      <c r="E1849">
        <v>30093</v>
      </c>
      <c r="F1849">
        <v>0</v>
      </c>
      <c r="G1849">
        <v>0</v>
      </c>
      <c r="H1849" s="2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>
        <v>4609</v>
      </c>
      <c r="B1850">
        <v>1966</v>
      </c>
      <c r="C1850" t="s">
        <v>33</v>
      </c>
      <c r="D1850" t="s">
        <v>34</v>
      </c>
      <c r="E1850">
        <v>57705</v>
      </c>
      <c r="F1850">
        <v>0</v>
      </c>
      <c r="G1850">
        <v>1</v>
      </c>
      <c r="H1850" s="2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s="2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>
        <v>4427</v>
      </c>
      <c r="B1852">
        <v>1995</v>
      </c>
      <c r="C1852" t="s">
        <v>46</v>
      </c>
      <c r="D1852" t="s">
        <v>30</v>
      </c>
      <c r="E1852">
        <v>83257</v>
      </c>
      <c r="F1852">
        <v>0</v>
      </c>
      <c r="G1852">
        <v>0</v>
      </c>
      <c r="H1852" t="s">
        <v>181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25">
      <c r="A1853">
        <v>11148</v>
      </c>
      <c r="B1853">
        <v>1975</v>
      </c>
      <c r="C1853" t="s">
        <v>29</v>
      </c>
      <c r="D1853" t="s">
        <v>31</v>
      </c>
      <c r="E1853">
        <v>22280</v>
      </c>
      <c r="F1853">
        <v>1</v>
      </c>
      <c r="G1853">
        <v>0</v>
      </c>
      <c r="H1853" t="s">
        <v>425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>
        <v>1168</v>
      </c>
      <c r="B1854">
        <v>1978</v>
      </c>
      <c r="C1854" t="s">
        <v>33</v>
      </c>
      <c r="D1854" t="s">
        <v>34</v>
      </c>
      <c r="E1854">
        <v>72159</v>
      </c>
      <c r="F1854">
        <v>0</v>
      </c>
      <c r="G1854">
        <v>0</v>
      </c>
      <c r="H1854" t="s">
        <v>54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>
        <v>9595</v>
      </c>
      <c r="B1855">
        <v>1961</v>
      </c>
      <c r="C1855" t="s">
        <v>29</v>
      </c>
      <c r="D1855" t="s">
        <v>31</v>
      </c>
      <c r="E1855">
        <v>64260</v>
      </c>
      <c r="F1855">
        <v>0</v>
      </c>
      <c r="G1855">
        <v>0</v>
      </c>
      <c r="H1855" s="2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5">
      <c r="A1856">
        <v>10163</v>
      </c>
      <c r="B1856">
        <v>1984</v>
      </c>
      <c r="C1856" t="s">
        <v>33</v>
      </c>
      <c r="D1856" t="s">
        <v>30</v>
      </c>
      <c r="E1856">
        <v>82733</v>
      </c>
      <c r="F1856">
        <v>0</v>
      </c>
      <c r="G1856">
        <v>0</v>
      </c>
      <c r="H1856" s="2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25">
      <c r="A1857">
        <v>2886</v>
      </c>
      <c r="B1857">
        <v>1971</v>
      </c>
      <c r="C1857" t="s">
        <v>36</v>
      </c>
      <c r="D1857" t="s">
        <v>37</v>
      </c>
      <c r="E1857">
        <v>74290</v>
      </c>
      <c r="F1857">
        <v>0</v>
      </c>
      <c r="G1857">
        <v>1</v>
      </c>
      <c r="H1857" s="2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>
        <v>6710</v>
      </c>
      <c r="B1858">
        <v>1951</v>
      </c>
      <c r="C1858" t="s">
        <v>36</v>
      </c>
      <c r="D1858" t="s">
        <v>30</v>
      </c>
      <c r="E1858">
        <v>58217</v>
      </c>
      <c r="F1858">
        <v>2</v>
      </c>
      <c r="G1858">
        <v>1</v>
      </c>
      <c r="H1858" t="s">
        <v>202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>
        <v>5316</v>
      </c>
      <c r="B1859">
        <v>1976</v>
      </c>
      <c r="C1859" t="s">
        <v>36</v>
      </c>
      <c r="D1859" t="s">
        <v>31</v>
      </c>
      <c r="E1859">
        <v>21024</v>
      </c>
      <c r="F1859">
        <v>0</v>
      </c>
      <c r="G1859">
        <v>0</v>
      </c>
      <c r="H1859" s="2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>
        <v>9029</v>
      </c>
      <c r="B1860">
        <v>1972</v>
      </c>
      <c r="C1860" t="s">
        <v>33</v>
      </c>
      <c r="D1860" t="s">
        <v>34</v>
      </c>
      <c r="E1860">
        <v>70116</v>
      </c>
      <c r="F1860">
        <v>0</v>
      </c>
      <c r="G1860">
        <v>0</v>
      </c>
      <c r="H1860" t="s">
        <v>276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25">
      <c r="A1861">
        <v>521</v>
      </c>
      <c r="B1861">
        <v>1985</v>
      </c>
      <c r="C1861" t="s">
        <v>29</v>
      </c>
      <c r="D1861" t="s">
        <v>31</v>
      </c>
      <c r="E1861">
        <v>54006</v>
      </c>
      <c r="F1861">
        <v>1</v>
      </c>
      <c r="G1861">
        <v>0</v>
      </c>
      <c r="H1861" t="s">
        <v>181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>
        <v>1459</v>
      </c>
      <c r="B1862">
        <v>1966</v>
      </c>
      <c r="C1862" t="s">
        <v>33</v>
      </c>
      <c r="D1862" t="s">
        <v>34</v>
      </c>
      <c r="E1862">
        <v>69063</v>
      </c>
      <c r="F1862">
        <v>0</v>
      </c>
      <c r="G1862">
        <v>1</v>
      </c>
      <c r="H1862" s="2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>
        <v>10241</v>
      </c>
      <c r="B1863">
        <v>1975</v>
      </c>
      <c r="C1863" t="s">
        <v>46</v>
      </c>
      <c r="D1863" t="s">
        <v>37</v>
      </c>
      <c r="E1863">
        <v>11448</v>
      </c>
      <c r="F1863">
        <v>0</v>
      </c>
      <c r="G1863">
        <v>0</v>
      </c>
      <c r="H1863" t="s">
        <v>426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s="2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>
        <v>3254</v>
      </c>
      <c r="B1865">
        <v>1971</v>
      </c>
      <c r="C1865" t="s">
        <v>29</v>
      </c>
      <c r="D1865" t="s">
        <v>34</v>
      </c>
      <c r="E1865">
        <v>70886</v>
      </c>
      <c r="F1865">
        <v>1</v>
      </c>
      <c r="G1865">
        <v>0</v>
      </c>
      <c r="H1865" t="s">
        <v>134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>
        <v>9064</v>
      </c>
      <c r="B1866">
        <v>1982</v>
      </c>
      <c r="C1866" t="s">
        <v>29</v>
      </c>
      <c r="D1866" t="s">
        <v>34</v>
      </c>
      <c r="E1866">
        <v>69109</v>
      </c>
      <c r="F1866">
        <v>0</v>
      </c>
      <c r="G1866">
        <v>0</v>
      </c>
      <c r="H1866" s="2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25">
      <c r="A1867">
        <v>3678</v>
      </c>
      <c r="B1867">
        <v>1973</v>
      </c>
      <c r="C1867" t="s">
        <v>29</v>
      </c>
      <c r="D1867" t="s">
        <v>57</v>
      </c>
      <c r="E1867">
        <v>60208</v>
      </c>
      <c r="F1867">
        <v>1</v>
      </c>
      <c r="G1867">
        <v>1</v>
      </c>
      <c r="H1867" s="2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25">
      <c r="A1868">
        <v>4227</v>
      </c>
      <c r="B1868">
        <v>1968</v>
      </c>
      <c r="C1868" t="s">
        <v>36</v>
      </c>
      <c r="D1868" t="s">
        <v>31</v>
      </c>
      <c r="E1868">
        <v>32889</v>
      </c>
      <c r="F1868">
        <v>1</v>
      </c>
      <c r="G1868">
        <v>1</v>
      </c>
      <c r="H1868" s="2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2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>
        <v>8486</v>
      </c>
      <c r="B1870">
        <v>1971</v>
      </c>
      <c r="C1870" t="s">
        <v>36</v>
      </c>
      <c r="D1870" t="s">
        <v>31</v>
      </c>
      <c r="E1870">
        <v>30538</v>
      </c>
      <c r="F1870">
        <v>1</v>
      </c>
      <c r="G1870">
        <v>0</v>
      </c>
      <c r="H1870" s="2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>
        <v>2186</v>
      </c>
      <c r="B1871">
        <v>1977</v>
      </c>
      <c r="C1871" t="s">
        <v>46</v>
      </c>
      <c r="D1871" t="s">
        <v>31</v>
      </c>
      <c r="E1871">
        <v>82326</v>
      </c>
      <c r="F1871">
        <v>0</v>
      </c>
      <c r="G1871">
        <v>0</v>
      </c>
      <c r="H1871" s="2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25">
      <c r="A1872">
        <v>3286</v>
      </c>
      <c r="B1872">
        <v>1967</v>
      </c>
      <c r="C1872" t="s">
        <v>33</v>
      </c>
      <c r="D1872" t="s">
        <v>37</v>
      </c>
      <c r="E1872">
        <v>26642</v>
      </c>
      <c r="F1872">
        <v>1</v>
      </c>
      <c r="G1872">
        <v>0</v>
      </c>
      <c r="H1872" s="2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>
        <v>8602</v>
      </c>
      <c r="B1873">
        <v>1964</v>
      </c>
      <c r="C1873" t="s">
        <v>29</v>
      </c>
      <c r="D1873" t="s">
        <v>37</v>
      </c>
      <c r="E1873">
        <v>69932</v>
      </c>
      <c r="F1873">
        <v>0</v>
      </c>
      <c r="G1873">
        <v>1</v>
      </c>
      <c r="H1873" s="2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5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t="s">
        <v>148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>
        <v>6715</v>
      </c>
      <c r="B1875">
        <v>1948</v>
      </c>
      <c r="C1875" t="s">
        <v>33</v>
      </c>
      <c r="D1875" t="s">
        <v>30</v>
      </c>
      <c r="E1875">
        <v>60200</v>
      </c>
      <c r="F1875">
        <v>0</v>
      </c>
      <c r="G1875">
        <v>1</v>
      </c>
      <c r="H1875" s="2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>
        <v>4796</v>
      </c>
      <c r="B1876">
        <v>1952</v>
      </c>
      <c r="C1876" t="s">
        <v>29</v>
      </c>
      <c r="D1876" t="s">
        <v>37</v>
      </c>
      <c r="E1876">
        <v>49638</v>
      </c>
      <c r="F1876">
        <v>0</v>
      </c>
      <c r="G1876">
        <v>1</v>
      </c>
      <c r="H1876" t="s">
        <v>353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25">
      <c r="A1877">
        <v>9612</v>
      </c>
      <c r="B1877">
        <v>1987</v>
      </c>
      <c r="C1877" t="s">
        <v>46</v>
      </c>
      <c r="D1877" t="s">
        <v>30</v>
      </c>
      <c r="E1877">
        <v>23830</v>
      </c>
      <c r="F1877">
        <v>0</v>
      </c>
      <c r="G1877">
        <v>0</v>
      </c>
      <c r="H1877" s="2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>
        <v>3766</v>
      </c>
      <c r="B1878">
        <v>1959</v>
      </c>
      <c r="C1878" t="s">
        <v>36</v>
      </c>
      <c r="D1878" t="s">
        <v>57</v>
      </c>
      <c r="E1878">
        <v>33051</v>
      </c>
      <c r="F1878">
        <v>0</v>
      </c>
      <c r="G1878">
        <v>0</v>
      </c>
      <c r="H1878" t="s">
        <v>403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25">
      <c r="A1879">
        <v>1399</v>
      </c>
      <c r="B1879">
        <v>1958</v>
      </c>
      <c r="C1879" t="s">
        <v>29</v>
      </c>
      <c r="D1879" t="s">
        <v>34</v>
      </c>
      <c r="E1879">
        <v>72905</v>
      </c>
      <c r="F1879">
        <v>0</v>
      </c>
      <c r="G1879">
        <v>0</v>
      </c>
      <c r="H1879" t="s">
        <v>78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5">
      <c r="A1880">
        <v>1570</v>
      </c>
      <c r="B1880">
        <v>1951</v>
      </c>
      <c r="C1880" t="s">
        <v>33</v>
      </c>
      <c r="D1880" t="s">
        <v>31</v>
      </c>
      <c r="E1880">
        <v>69702</v>
      </c>
      <c r="F1880">
        <v>0</v>
      </c>
      <c r="G1880">
        <v>1</v>
      </c>
      <c r="H1880" t="s">
        <v>92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>
        <v>3426</v>
      </c>
      <c r="B1881">
        <v>1975</v>
      </c>
      <c r="C1881" t="s">
        <v>29</v>
      </c>
      <c r="D1881" t="s">
        <v>37</v>
      </c>
      <c r="E1881">
        <v>70300</v>
      </c>
      <c r="F1881">
        <v>1</v>
      </c>
      <c r="G1881">
        <v>0</v>
      </c>
      <c r="H1881" t="s">
        <v>427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>
        <v>3074</v>
      </c>
      <c r="B1882">
        <v>1984</v>
      </c>
      <c r="C1882" t="s">
        <v>33</v>
      </c>
      <c r="D1882" t="s">
        <v>34</v>
      </c>
      <c r="E1882">
        <v>70643</v>
      </c>
      <c r="F1882">
        <v>0</v>
      </c>
      <c r="G1882">
        <v>0</v>
      </c>
      <c r="H1882" t="s">
        <v>168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5">
      <c r="A1883">
        <v>8341</v>
      </c>
      <c r="B1883">
        <v>1969</v>
      </c>
      <c r="C1883" t="s">
        <v>33</v>
      </c>
      <c r="D1883" t="s">
        <v>34</v>
      </c>
      <c r="E1883">
        <v>30396</v>
      </c>
      <c r="F1883">
        <v>1</v>
      </c>
      <c r="G1883">
        <v>0</v>
      </c>
      <c r="H1883" t="s">
        <v>70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25">
      <c r="A1884">
        <v>5180</v>
      </c>
      <c r="B1884">
        <v>1968</v>
      </c>
      <c r="C1884" t="s">
        <v>33</v>
      </c>
      <c r="D1884" t="s">
        <v>37</v>
      </c>
      <c r="E1884">
        <v>50616</v>
      </c>
      <c r="F1884">
        <v>0</v>
      </c>
      <c r="G1884">
        <v>1</v>
      </c>
      <c r="H1884" t="s">
        <v>269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>
        <v>6461</v>
      </c>
      <c r="B1885">
        <v>1969</v>
      </c>
      <c r="C1885" t="s">
        <v>36</v>
      </c>
      <c r="D1885" t="s">
        <v>30</v>
      </c>
      <c r="E1885">
        <v>62772</v>
      </c>
      <c r="F1885">
        <v>0</v>
      </c>
      <c r="G1885">
        <v>1</v>
      </c>
      <c r="H1885" t="s">
        <v>425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5">
      <c r="A1886">
        <v>7679</v>
      </c>
      <c r="B1886">
        <v>1985</v>
      </c>
      <c r="C1886" t="s">
        <v>33</v>
      </c>
      <c r="D1886" t="s">
        <v>30</v>
      </c>
      <c r="E1886">
        <v>30298</v>
      </c>
      <c r="F1886">
        <v>0</v>
      </c>
      <c r="G1886">
        <v>0</v>
      </c>
      <c r="H1886" t="s">
        <v>100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s="2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>
        <v>7505</v>
      </c>
      <c r="B1888">
        <v>1957</v>
      </c>
      <c r="C1888" t="s">
        <v>33</v>
      </c>
      <c r="D1888" t="s">
        <v>34</v>
      </c>
      <c r="E1888">
        <v>44155</v>
      </c>
      <c r="F1888">
        <v>1</v>
      </c>
      <c r="G1888">
        <v>1</v>
      </c>
      <c r="H1888" t="s">
        <v>35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>
        <v>5113</v>
      </c>
      <c r="B1889">
        <v>1971</v>
      </c>
      <c r="C1889" t="s">
        <v>33</v>
      </c>
      <c r="D1889" t="s">
        <v>37</v>
      </c>
      <c r="E1889">
        <v>86979</v>
      </c>
      <c r="F1889">
        <v>0</v>
      </c>
      <c r="G1889">
        <v>0</v>
      </c>
      <c r="H1889" s="2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25">
      <c r="A1890">
        <v>10858</v>
      </c>
      <c r="B1890">
        <v>1975</v>
      </c>
      <c r="C1890" t="s">
        <v>29</v>
      </c>
      <c r="D1890" t="s">
        <v>31</v>
      </c>
      <c r="E1890">
        <v>76532</v>
      </c>
      <c r="F1890">
        <v>1</v>
      </c>
      <c r="G1890">
        <v>1</v>
      </c>
      <c r="H1890" s="2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5">
      <c r="A1891">
        <v>2961</v>
      </c>
      <c r="B1891">
        <v>1982</v>
      </c>
      <c r="C1891" t="s">
        <v>29</v>
      </c>
      <c r="D1891" t="s">
        <v>34</v>
      </c>
      <c r="E1891">
        <v>42081</v>
      </c>
      <c r="F1891">
        <v>1</v>
      </c>
      <c r="G1891">
        <v>0</v>
      </c>
      <c r="H1891" t="s">
        <v>383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>
        <v>2747</v>
      </c>
      <c r="B1892">
        <v>1988</v>
      </c>
      <c r="C1892" t="s">
        <v>33</v>
      </c>
      <c r="D1892" t="s">
        <v>34</v>
      </c>
      <c r="E1892">
        <v>67546</v>
      </c>
      <c r="F1892">
        <v>0</v>
      </c>
      <c r="G1892">
        <v>0</v>
      </c>
      <c r="H1892" t="s">
        <v>44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5">
      <c r="A1893">
        <v>3010</v>
      </c>
      <c r="B1893">
        <v>1989</v>
      </c>
      <c r="C1893" t="s">
        <v>36</v>
      </c>
      <c r="D1893" t="s">
        <v>31</v>
      </c>
      <c r="E1893">
        <v>88420</v>
      </c>
      <c r="F1893">
        <v>0</v>
      </c>
      <c r="G1893">
        <v>0</v>
      </c>
      <c r="H1893" s="2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>
        <v>5790</v>
      </c>
      <c r="B1894">
        <v>1985</v>
      </c>
      <c r="C1894" t="s">
        <v>29</v>
      </c>
      <c r="D1894" t="s">
        <v>34</v>
      </c>
      <c r="E1894">
        <v>31158</v>
      </c>
      <c r="F1894">
        <v>1</v>
      </c>
      <c r="G1894">
        <v>0</v>
      </c>
      <c r="H1894" t="s">
        <v>428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>
        <v>6892</v>
      </c>
      <c r="B1895">
        <v>1968</v>
      </c>
      <c r="C1895" t="s">
        <v>29</v>
      </c>
      <c r="D1895" t="s">
        <v>37</v>
      </c>
      <c r="E1895">
        <v>61671</v>
      </c>
      <c r="F1895">
        <v>0</v>
      </c>
      <c r="G1895">
        <v>1</v>
      </c>
      <c r="H1895" s="2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5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t="s">
        <v>333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>
        <v>3578</v>
      </c>
      <c r="B1897">
        <v>1949</v>
      </c>
      <c r="C1897" t="s">
        <v>29</v>
      </c>
      <c r="D1897" t="s">
        <v>37</v>
      </c>
      <c r="E1897">
        <v>49160</v>
      </c>
      <c r="F1897">
        <v>0</v>
      </c>
      <c r="G1897">
        <v>1</v>
      </c>
      <c r="H1897" t="s">
        <v>251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>
        <v>8462</v>
      </c>
      <c r="B1898">
        <v>1978</v>
      </c>
      <c r="C1898" t="s">
        <v>41</v>
      </c>
      <c r="D1898" t="s">
        <v>31</v>
      </c>
      <c r="E1898">
        <v>24882</v>
      </c>
      <c r="F1898">
        <v>1</v>
      </c>
      <c r="G1898">
        <v>0</v>
      </c>
      <c r="H1898" s="2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25">
      <c r="A1899">
        <v>5558</v>
      </c>
      <c r="B1899">
        <v>1954</v>
      </c>
      <c r="C1899" t="s">
        <v>33</v>
      </c>
      <c r="D1899" t="s">
        <v>30</v>
      </c>
      <c r="E1899">
        <v>90933</v>
      </c>
      <c r="F1899">
        <v>0</v>
      </c>
      <c r="G1899">
        <v>0</v>
      </c>
      <c r="H1899" t="s">
        <v>132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>
        <v>4619</v>
      </c>
      <c r="B1900">
        <v>1945</v>
      </c>
      <c r="C1900" t="s">
        <v>33</v>
      </c>
      <c r="D1900" t="s">
        <v>30</v>
      </c>
      <c r="E1900">
        <v>113734</v>
      </c>
      <c r="F1900">
        <v>0</v>
      </c>
      <c r="G1900">
        <v>0</v>
      </c>
      <c r="H1900" t="s">
        <v>77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5">
      <c r="A1901">
        <v>8780</v>
      </c>
      <c r="B1901">
        <v>1950</v>
      </c>
      <c r="C1901" t="s">
        <v>33</v>
      </c>
      <c r="D1901" t="s">
        <v>31</v>
      </c>
      <c r="E1901">
        <v>59292</v>
      </c>
      <c r="F1901">
        <v>0</v>
      </c>
      <c r="G1901">
        <v>1</v>
      </c>
      <c r="H1901" t="s">
        <v>173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5">
      <c r="A1902">
        <v>10789</v>
      </c>
      <c r="B1902">
        <v>1964</v>
      </c>
      <c r="C1902" t="s">
        <v>33</v>
      </c>
      <c r="D1902" t="s">
        <v>34</v>
      </c>
      <c r="E1902">
        <v>45759</v>
      </c>
      <c r="F1902">
        <v>1</v>
      </c>
      <c r="G1902">
        <v>1</v>
      </c>
      <c r="H1902" t="s">
        <v>125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t="s">
        <v>180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>
        <v>5896</v>
      </c>
      <c r="B1904">
        <v>1987</v>
      </c>
      <c r="C1904" t="s">
        <v>36</v>
      </c>
      <c r="D1904" t="s">
        <v>34</v>
      </c>
      <c r="E1904">
        <v>73395</v>
      </c>
      <c r="F1904">
        <v>0</v>
      </c>
      <c r="G1904">
        <v>0</v>
      </c>
      <c r="H1904" t="s">
        <v>138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>
        <v>2337</v>
      </c>
      <c r="B1905">
        <v>1971</v>
      </c>
      <c r="C1905" t="s">
        <v>29</v>
      </c>
      <c r="D1905" t="s">
        <v>37</v>
      </c>
      <c r="E1905">
        <v>29819</v>
      </c>
      <c r="F1905">
        <v>1</v>
      </c>
      <c r="G1905">
        <v>0</v>
      </c>
      <c r="H1905" t="s">
        <v>298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>
        <v>10951</v>
      </c>
      <c r="B1906">
        <v>1968</v>
      </c>
      <c r="C1906" t="s">
        <v>29</v>
      </c>
      <c r="D1906" t="s">
        <v>34</v>
      </c>
      <c r="E1906">
        <v>45688</v>
      </c>
      <c r="F1906">
        <v>0</v>
      </c>
      <c r="G1906">
        <v>1</v>
      </c>
      <c r="H1906" t="s">
        <v>309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>
        <v>544</v>
      </c>
      <c r="B1907">
        <v>1954</v>
      </c>
      <c r="C1907" t="s">
        <v>29</v>
      </c>
      <c r="D1907" t="s">
        <v>34</v>
      </c>
      <c r="E1907">
        <v>62820</v>
      </c>
      <c r="F1907">
        <v>0</v>
      </c>
      <c r="G1907">
        <v>0</v>
      </c>
      <c r="H1907" s="2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>
        <v>17</v>
      </c>
      <c r="B1908">
        <v>1971</v>
      </c>
      <c r="C1908" t="s">
        <v>33</v>
      </c>
      <c r="D1908" t="s">
        <v>34</v>
      </c>
      <c r="E1908">
        <v>60491</v>
      </c>
      <c r="F1908">
        <v>0</v>
      </c>
      <c r="G1908">
        <v>1</v>
      </c>
      <c r="H1908" s="2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5">
      <c r="A1909">
        <v>10680</v>
      </c>
      <c r="B1909">
        <v>1986</v>
      </c>
      <c r="C1909" t="s">
        <v>29</v>
      </c>
      <c r="D1909" t="s">
        <v>31</v>
      </c>
      <c r="E1909">
        <v>33235</v>
      </c>
      <c r="F1909">
        <v>1</v>
      </c>
      <c r="G1909">
        <v>0</v>
      </c>
      <c r="H1909" s="2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>
        <v>3265</v>
      </c>
      <c r="B1910">
        <v>1959</v>
      </c>
      <c r="C1910" t="s">
        <v>29</v>
      </c>
      <c r="D1910" t="s">
        <v>34</v>
      </c>
      <c r="E1910">
        <v>35701</v>
      </c>
      <c r="F1910">
        <v>0</v>
      </c>
      <c r="G1910">
        <v>0</v>
      </c>
      <c r="H1910" t="s">
        <v>105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>
        <v>5623</v>
      </c>
      <c r="B1911">
        <v>1980</v>
      </c>
      <c r="C1911" t="s">
        <v>36</v>
      </c>
      <c r="D1911" t="s">
        <v>34</v>
      </c>
      <c r="E1911">
        <v>31535</v>
      </c>
      <c r="F1911">
        <v>1</v>
      </c>
      <c r="G1911">
        <v>0</v>
      </c>
      <c r="H1911" t="s">
        <v>126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>
        <v>5832</v>
      </c>
      <c r="B1912">
        <v>1960</v>
      </c>
      <c r="C1912" t="s">
        <v>46</v>
      </c>
      <c r="D1912" t="s">
        <v>31</v>
      </c>
      <c r="E1912">
        <v>92556</v>
      </c>
      <c r="F1912">
        <v>0</v>
      </c>
      <c r="G1912">
        <v>0</v>
      </c>
      <c r="H1912" t="s">
        <v>376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s="2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>
        <v>6417</v>
      </c>
      <c r="B1914">
        <v>1971</v>
      </c>
      <c r="C1914" t="s">
        <v>36</v>
      </c>
      <c r="D1914" t="s">
        <v>31</v>
      </c>
      <c r="E1914">
        <v>80573</v>
      </c>
      <c r="F1914">
        <v>0</v>
      </c>
      <c r="G1914">
        <v>0</v>
      </c>
      <c r="H1914" t="s">
        <v>347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>
        <v>5831</v>
      </c>
      <c r="B1915">
        <v>1967</v>
      </c>
      <c r="C1915" t="s">
        <v>29</v>
      </c>
      <c r="D1915" t="s">
        <v>34</v>
      </c>
      <c r="E1915">
        <v>77870</v>
      </c>
      <c r="F1915">
        <v>0</v>
      </c>
      <c r="G1915">
        <v>1</v>
      </c>
      <c r="H1915" t="s">
        <v>108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25">
      <c r="A1916">
        <v>7101</v>
      </c>
      <c r="B1916">
        <v>1963</v>
      </c>
      <c r="C1916" t="s">
        <v>33</v>
      </c>
      <c r="D1916" t="s">
        <v>57</v>
      </c>
      <c r="E1916">
        <v>52278</v>
      </c>
      <c r="F1916">
        <v>0</v>
      </c>
      <c r="G1916">
        <v>1</v>
      </c>
      <c r="H1916" t="s">
        <v>340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t="s">
        <v>248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25">
      <c r="A1918">
        <v>2326</v>
      </c>
      <c r="B1918">
        <v>1990</v>
      </c>
      <c r="C1918" t="s">
        <v>29</v>
      </c>
      <c r="D1918" t="s">
        <v>34</v>
      </c>
      <c r="E1918">
        <v>18929</v>
      </c>
      <c r="F1918">
        <v>0</v>
      </c>
      <c r="G1918">
        <v>0</v>
      </c>
      <c r="H1918" t="s">
        <v>229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>
        <v>4385</v>
      </c>
      <c r="B1919">
        <v>1981</v>
      </c>
      <c r="C1919" t="s">
        <v>33</v>
      </c>
      <c r="D1919" t="s">
        <v>30</v>
      </c>
      <c r="E1919">
        <v>36038</v>
      </c>
      <c r="F1919">
        <v>1</v>
      </c>
      <c r="G1919">
        <v>0</v>
      </c>
      <c r="H1919" t="s">
        <v>51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t="s">
        <v>50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>
        <v>10686</v>
      </c>
      <c r="B1921">
        <v>1965</v>
      </c>
      <c r="C1921" t="s">
        <v>33</v>
      </c>
      <c r="D1921" t="s">
        <v>31</v>
      </c>
      <c r="E1921">
        <v>34230</v>
      </c>
      <c r="F1921">
        <v>1</v>
      </c>
      <c r="G1921">
        <v>1</v>
      </c>
      <c r="H1921" t="s">
        <v>429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>
        <v>2546</v>
      </c>
      <c r="B1922">
        <v>1977</v>
      </c>
      <c r="C1922" t="s">
        <v>46</v>
      </c>
      <c r="D1922" t="s">
        <v>30</v>
      </c>
      <c r="E1922">
        <v>31878</v>
      </c>
      <c r="F1922">
        <v>0</v>
      </c>
      <c r="G1922">
        <v>1</v>
      </c>
      <c r="H1922" t="s">
        <v>348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>
        <v>3283</v>
      </c>
      <c r="B1923">
        <v>1972</v>
      </c>
      <c r="C1923" t="s">
        <v>46</v>
      </c>
      <c r="D1923" t="s">
        <v>34</v>
      </c>
      <c r="E1923">
        <v>70932</v>
      </c>
      <c r="F1923">
        <v>0</v>
      </c>
      <c r="G1923">
        <v>1</v>
      </c>
      <c r="H1923" t="s">
        <v>35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t="s">
        <v>371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25">
      <c r="A1925">
        <v>4994</v>
      </c>
      <c r="B1925">
        <v>1943</v>
      </c>
      <c r="C1925" t="s">
        <v>36</v>
      </c>
      <c r="D1925" t="s">
        <v>30</v>
      </c>
      <c r="E1925">
        <v>77598</v>
      </c>
      <c r="F1925">
        <v>0</v>
      </c>
      <c r="G1925">
        <v>0</v>
      </c>
      <c r="H1925" s="2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s="2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25">
      <c r="A1927">
        <v>3112</v>
      </c>
      <c r="B1927">
        <v>1977</v>
      </c>
      <c r="C1927" t="s">
        <v>36</v>
      </c>
      <c r="D1927" t="s">
        <v>34</v>
      </c>
      <c r="E1927">
        <v>22701</v>
      </c>
      <c r="F1927">
        <v>1</v>
      </c>
      <c r="G1927">
        <v>0</v>
      </c>
      <c r="H1927" s="2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>
        <v>10872</v>
      </c>
      <c r="B1928">
        <v>1969</v>
      </c>
      <c r="C1928" t="s">
        <v>33</v>
      </c>
      <c r="D1928" t="s">
        <v>34</v>
      </c>
      <c r="E1928">
        <v>55212</v>
      </c>
      <c r="F1928">
        <v>0</v>
      </c>
      <c r="G1928">
        <v>1</v>
      </c>
      <c r="H1928" t="s">
        <v>165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>
        <v>2181</v>
      </c>
      <c r="B1929">
        <v>1970</v>
      </c>
      <c r="C1929" t="s">
        <v>29</v>
      </c>
      <c r="D1929" t="s">
        <v>34</v>
      </c>
      <c r="E1929">
        <v>70617</v>
      </c>
      <c r="F1929">
        <v>0</v>
      </c>
      <c r="G1929">
        <v>0</v>
      </c>
      <c r="H1929" t="s">
        <v>74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t="s">
        <v>38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25">
      <c r="A1931">
        <v>1518</v>
      </c>
      <c r="B1931">
        <v>1965</v>
      </c>
      <c r="C1931" t="s">
        <v>36</v>
      </c>
      <c r="D1931" t="s">
        <v>34</v>
      </c>
      <c r="E1931">
        <v>62694</v>
      </c>
      <c r="F1931">
        <v>1</v>
      </c>
      <c r="G1931">
        <v>1</v>
      </c>
      <c r="H1931" t="s">
        <v>63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>
        <v>5734</v>
      </c>
      <c r="B1932">
        <v>1974</v>
      </c>
      <c r="C1932" t="s">
        <v>33</v>
      </c>
      <c r="D1932" t="s">
        <v>34</v>
      </c>
      <c r="E1932">
        <v>61917</v>
      </c>
      <c r="F1932">
        <v>1</v>
      </c>
      <c r="G1932">
        <v>1</v>
      </c>
      <c r="H1932" t="s">
        <v>218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5">
      <c r="A1933">
        <v>2878</v>
      </c>
      <c r="B1933">
        <v>1947</v>
      </c>
      <c r="C1933" t="s">
        <v>33</v>
      </c>
      <c r="D1933" t="s">
        <v>34</v>
      </c>
      <c r="E1933">
        <v>67472</v>
      </c>
      <c r="F1933">
        <v>0</v>
      </c>
      <c r="G1933">
        <v>1</v>
      </c>
      <c r="H1933" t="s">
        <v>122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>
        <v>1458</v>
      </c>
      <c r="B1934">
        <v>1982</v>
      </c>
      <c r="C1934" t="s">
        <v>36</v>
      </c>
      <c r="D1934" t="s">
        <v>34</v>
      </c>
      <c r="E1934">
        <v>21059</v>
      </c>
      <c r="F1934">
        <v>1</v>
      </c>
      <c r="G1934">
        <v>0</v>
      </c>
      <c r="H1934" s="2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>
        <v>7007</v>
      </c>
      <c r="B1935">
        <v>1968</v>
      </c>
      <c r="C1935" t="s">
        <v>36</v>
      </c>
      <c r="D1935" t="s">
        <v>34</v>
      </c>
      <c r="E1935">
        <v>29543</v>
      </c>
      <c r="F1935">
        <v>2</v>
      </c>
      <c r="G1935">
        <v>0</v>
      </c>
      <c r="H1935" s="2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>
        <v>6200</v>
      </c>
      <c r="B1936">
        <v>1951</v>
      </c>
      <c r="C1936" t="s">
        <v>29</v>
      </c>
      <c r="D1936" t="s">
        <v>34</v>
      </c>
      <c r="E1936">
        <v>75903</v>
      </c>
      <c r="F1936">
        <v>0</v>
      </c>
      <c r="G1936">
        <v>1</v>
      </c>
      <c r="H1936" s="2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>
        <v>1403</v>
      </c>
      <c r="B1937">
        <v>1975</v>
      </c>
      <c r="C1937" t="s">
        <v>46</v>
      </c>
      <c r="D1937" t="s">
        <v>31</v>
      </c>
      <c r="E1937">
        <v>34984</v>
      </c>
      <c r="F1937">
        <v>1</v>
      </c>
      <c r="G1937">
        <v>1</v>
      </c>
      <c r="H1937" s="2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>
        <v>4827</v>
      </c>
      <c r="B1938">
        <v>1956</v>
      </c>
      <c r="C1938" t="s">
        <v>33</v>
      </c>
      <c r="D1938" t="s">
        <v>30</v>
      </c>
      <c r="E1938">
        <v>54998</v>
      </c>
      <c r="F1938">
        <v>0</v>
      </c>
      <c r="G1938">
        <v>1</v>
      </c>
      <c r="H1938" s="2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5">
      <c r="A1939">
        <v>6250</v>
      </c>
      <c r="B1939">
        <v>1949</v>
      </c>
      <c r="C1939" t="s">
        <v>33</v>
      </c>
      <c r="D1939" t="s">
        <v>57</v>
      </c>
      <c r="E1939">
        <v>54356</v>
      </c>
      <c r="F1939">
        <v>0</v>
      </c>
      <c r="G1939">
        <v>1</v>
      </c>
      <c r="H1939" t="s">
        <v>61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25">
      <c r="A1940">
        <v>9291</v>
      </c>
      <c r="B1940">
        <v>1959</v>
      </c>
      <c r="C1940" t="s">
        <v>36</v>
      </c>
      <c r="D1940" t="s">
        <v>34</v>
      </c>
      <c r="E1940">
        <v>34242</v>
      </c>
      <c r="F1940">
        <v>0</v>
      </c>
      <c r="G1940">
        <v>1</v>
      </c>
      <c r="H1940" t="s">
        <v>81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>
        <v>2478</v>
      </c>
      <c r="B1941">
        <v>1973</v>
      </c>
      <c r="C1941" t="s">
        <v>29</v>
      </c>
      <c r="D1941" t="s">
        <v>34</v>
      </c>
      <c r="E1941">
        <v>25410</v>
      </c>
      <c r="F1941">
        <v>1</v>
      </c>
      <c r="G1941">
        <v>0</v>
      </c>
      <c r="H1941" t="s">
        <v>140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>
        <v>1139</v>
      </c>
      <c r="B1942">
        <v>1984</v>
      </c>
      <c r="C1942" t="s">
        <v>33</v>
      </c>
      <c r="D1942" t="s">
        <v>34</v>
      </c>
      <c r="E1942">
        <v>73356</v>
      </c>
      <c r="F1942">
        <v>0</v>
      </c>
      <c r="G1942">
        <v>0</v>
      </c>
      <c r="H1942" s="2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25">
      <c r="A1943">
        <v>5138</v>
      </c>
      <c r="B1943">
        <v>1950</v>
      </c>
      <c r="C1943" t="s">
        <v>29</v>
      </c>
      <c r="D1943" t="s">
        <v>31</v>
      </c>
      <c r="E1943">
        <v>28320</v>
      </c>
      <c r="F1943">
        <v>0</v>
      </c>
      <c r="G1943">
        <v>1</v>
      </c>
      <c r="H1943" t="s">
        <v>430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s="2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>
        <v>10413</v>
      </c>
      <c r="B1945">
        <v>1984</v>
      </c>
      <c r="C1945" t="s">
        <v>29</v>
      </c>
      <c r="D1945" t="s">
        <v>34</v>
      </c>
      <c r="E1945">
        <v>72570</v>
      </c>
      <c r="F1945">
        <v>0</v>
      </c>
      <c r="G1945">
        <v>0</v>
      </c>
      <c r="H1945" t="s">
        <v>411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>
        <v>5015</v>
      </c>
      <c r="B1946">
        <v>1976</v>
      </c>
      <c r="C1946" t="s">
        <v>36</v>
      </c>
      <c r="D1946" t="s">
        <v>34</v>
      </c>
      <c r="E1946">
        <v>34529</v>
      </c>
      <c r="F1946">
        <v>1</v>
      </c>
      <c r="G1946">
        <v>0</v>
      </c>
      <c r="H1946" t="s">
        <v>68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>
        <v>10868</v>
      </c>
      <c r="B1947">
        <v>1951</v>
      </c>
      <c r="C1947" t="s">
        <v>29</v>
      </c>
      <c r="D1947" t="s">
        <v>57</v>
      </c>
      <c r="E1947">
        <v>70792</v>
      </c>
      <c r="F1947">
        <v>0</v>
      </c>
      <c r="G1947">
        <v>0</v>
      </c>
      <c r="H1947" s="2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>
        <v>10676</v>
      </c>
      <c r="B1948">
        <v>1982</v>
      </c>
      <c r="C1948" t="s">
        <v>29</v>
      </c>
      <c r="D1948" t="s">
        <v>34</v>
      </c>
      <c r="E1948">
        <v>63211</v>
      </c>
      <c r="F1948">
        <v>0</v>
      </c>
      <c r="G1948">
        <v>0</v>
      </c>
      <c r="H1948" s="2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5">
      <c r="A1949">
        <v>2495</v>
      </c>
      <c r="B1949">
        <v>1974</v>
      </c>
      <c r="C1949" t="s">
        <v>36</v>
      </c>
      <c r="D1949" t="s">
        <v>34</v>
      </c>
      <c r="E1949">
        <v>83891</v>
      </c>
      <c r="F1949">
        <v>0</v>
      </c>
      <c r="G1949">
        <v>1</v>
      </c>
      <c r="H1949" t="s">
        <v>431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5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t="s">
        <v>137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>
        <v>9955</v>
      </c>
      <c r="B1951">
        <v>1954</v>
      </c>
      <c r="C1951" t="s">
        <v>29</v>
      </c>
      <c r="D1951" t="s">
        <v>31</v>
      </c>
      <c r="E1951">
        <v>39898</v>
      </c>
      <c r="F1951">
        <v>0</v>
      </c>
      <c r="G1951">
        <v>1</v>
      </c>
      <c r="H1951" s="2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>
        <v>6663</v>
      </c>
      <c r="B1952">
        <v>1940</v>
      </c>
      <c r="C1952" t="s">
        <v>33</v>
      </c>
      <c r="D1952" t="s">
        <v>30</v>
      </c>
      <c r="E1952">
        <v>51141</v>
      </c>
      <c r="F1952">
        <v>0</v>
      </c>
      <c r="G1952">
        <v>0</v>
      </c>
      <c r="H1952" s="2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>
        <v>2162</v>
      </c>
      <c r="B1953">
        <v>1976</v>
      </c>
      <c r="C1953" t="s">
        <v>29</v>
      </c>
      <c r="D1953" t="s">
        <v>34</v>
      </c>
      <c r="E1953">
        <v>56939</v>
      </c>
      <c r="F1953">
        <v>0</v>
      </c>
      <c r="G1953">
        <v>1</v>
      </c>
      <c r="H1953" t="s">
        <v>257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s="2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>
        <v>7919</v>
      </c>
      <c r="B1955">
        <v>1976</v>
      </c>
      <c r="C1955" t="s">
        <v>33</v>
      </c>
      <c r="D1955" t="s">
        <v>31</v>
      </c>
      <c r="E1955">
        <v>72335</v>
      </c>
      <c r="F1955">
        <v>0</v>
      </c>
      <c r="G1955">
        <v>0</v>
      </c>
      <c r="H1955" t="s">
        <v>394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25">
      <c r="A1956">
        <v>5626</v>
      </c>
      <c r="B1956">
        <v>1964</v>
      </c>
      <c r="C1956" t="s">
        <v>33</v>
      </c>
      <c r="D1956" t="s">
        <v>30</v>
      </c>
      <c r="E1956">
        <v>61798</v>
      </c>
      <c r="F1956">
        <v>0</v>
      </c>
      <c r="G1956">
        <v>0</v>
      </c>
      <c r="H1956" t="s">
        <v>80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>
        <v>6428</v>
      </c>
      <c r="B1957">
        <v>1950</v>
      </c>
      <c r="C1957" t="s">
        <v>33</v>
      </c>
      <c r="D1957" t="s">
        <v>57</v>
      </c>
      <c r="E1957">
        <v>76842</v>
      </c>
      <c r="F1957">
        <v>0</v>
      </c>
      <c r="G1957">
        <v>0</v>
      </c>
      <c r="H1957" s="2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>
        <v>8514</v>
      </c>
      <c r="B1958">
        <v>1976</v>
      </c>
      <c r="C1958" t="s">
        <v>29</v>
      </c>
      <c r="D1958" t="s">
        <v>31</v>
      </c>
      <c r="E1958">
        <v>29478</v>
      </c>
      <c r="F1958">
        <v>1</v>
      </c>
      <c r="G1958">
        <v>0</v>
      </c>
      <c r="H1958" t="s">
        <v>418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t="s">
        <v>162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t="s">
        <v>235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25">
      <c r="A1961">
        <v>7530</v>
      </c>
      <c r="B1961">
        <v>1950</v>
      </c>
      <c r="C1961" t="s">
        <v>33</v>
      </c>
      <c r="D1961" t="s">
        <v>57</v>
      </c>
      <c r="E1961">
        <v>56551</v>
      </c>
      <c r="F1961">
        <v>1</v>
      </c>
      <c r="G1961">
        <v>1</v>
      </c>
      <c r="H1961" s="2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>
        <v>8925</v>
      </c>
      <c r="B1962">
        <v>1965</v>
      </c>
      <c r="C1962" t="s">
        <v>36</v>
      </c>
      <c r="D1962" t="s">
        <v>34</v>
      </c>
      <c r="E1962">
        <v>70053</v>
      </c>
      <c r="F1962">
        <v>0</v>
      </c>
      <c r="G1962">
        <v>1</v>
      </c>
      <c r="H1962" s="2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>
        <v>3009</v>
      </c>
      <c r="B1963">
        <v>1962</v>
      </c>
      <c r="C1963" t="s">
        <v>33</v>
      </c>
      <c r="D1963" t="s">
        <v>57</v>
      </c>
      <c r="E1963">
        <v>71670</v>
      </c>
      <c r="F1963">
        <v>0</v>
      </c>
      <c r="G1963">
        <v>0</v>
      </c>
      <c r="H1963" s="2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25">
      <c r="A1964">
        <v>6355</v>
      </c>
      <c r="B1964">
        <v>1978</v>
      </c>
      <c r="C1964" t="s">
        <v>29</v>
      </c>
      <c r="D1964" t="s">
        <v>34</v>
      </c>
      <c r="E1964">
        <v>44359</v>
      </c>
      <c r="F1964">
        <v>1</v>
      </c>
      <c r="G1964">
        <v>1</v>
      </c>
      <c r="H1964" t="s">
        <v>164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s="2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25">
      <c r="A1966">
        <v>1158</v>
      </c>
      <c r="B1966">
        <v>1966</v>
      </c>
      <c r="C1966" t="s">
        <v>29</v>
      </c>
      <c r="D1966" t="s">
        <v>37</v>
      </c>
      <c r="E1966">
        <v>48877</v>
      </c>
      <c r="F1966">
        <v>0</v>
      </c>
      <c r="G1966">
        <v>1</v>
      </c>
      <c r="H1966" s="2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>
        <v>6203</v>
      </c>
      <c r="B1967">
        <v>1947</v>
      </c>
      <c r="C1967" t="s">
        <v>29</v>
      </c>
      <c r="D1967" t="s">
        <v>31</v>
      </c>
      <c r="E1967">
        <v>74485</v>
      </c>
      <c r="F1967">
        <v>0</v>
      </c>
      <c r="G1967">
        <v>0</v>
      </c>
      <c r="H1967" t="s">
        <v>432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>
        <v>7165</v>
      </c>
      <c r="B1968">
        <v>1972</v>
      </c>
      <c r="C1968" t="s">
        <v>29</v>
      </c>
      <c r="D1968" t="s">
        <v>31</v>
      </c>
      <c r="E1968">
        <v>64474</v>
      </c>
      <c r="F1968">
        <v>0</v>
      </c>
      <c r="G1968">
        <v>1</v>
      </c>
      <c r="H1968" t="s">
        <v>213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>
        <v>3595</v>
      </c>
      <c r="B1969">
        <v>1963</v>
      </c>
      <c r="C1969" t="s">
        <v>29</v>
      </c>
      <c r="D1969" t="s">
        <v>31</v>
      </c>
      <c r="E1969">
        <v>77226</v>
      </c>
      <c r="F1969">
        <v>0</v>
      </c>
      <c r="G1969">
        <v>1</v>
      </c>
      <c r="H1969" t="s">
        <v>433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>
        <v>8537</v>
      </c>
      <c r="B1970">
        <v>1949</v>
      </c>
      <c r="C1970" t="s">
        <v>29</v>
      </c>
      <c r="D1970" t="s">
        <v>57</v>
      </c>
      <c r="E1970">
        <v>72643</v>
      </c>
      <c r="F1970">
        <v>0</v>
      </c>
      <c r="G1970">
        <v>0</v>
      </c>
      <c r="H1970" t="s">
        <v>422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5">
      <c r="A1971">
        <v>4331</v>
      </c>
      <c r="B1971">
        <v>1978</v>
      </c>
      <c r="C1971" t="s">
        <v>36</v>
      </c>
      <c r="D1971" t="s">
        <v>31</v>
      </c>
      <c r="E1971">
        <v>85738</v>
      </c>
      <c r="F1971">
        <v>0</v>
      </c>
      <c r="G1971">
        <v>0</v>
      </c>
      <c r="H1971" t="s">
        <v>337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25">
      <c r="A1972">
        <v>6281</v>
      </c>
      <c r="B1972">
        <v>1966</v>
      </c>
      <c r="C1972" t="s">
        <v>29</v>
      </c>
      <c r="D1972" t="s">
        <v>37</v>
      </c>
      <c r="E1972">
        <v>55686</v>
      </c>
      <c r="F1972">
        <v>0</v>
      </c>
      <c r="G1972">
        <v>1</v>
      </c>
      <c r="H1972" t="s">
        <v>326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t="s">
        <v>419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>
        <v>2452</v>
      </c>
      <c r="B1974">
        <v>1971</v>
      </c>
      <c r="C1974" t="s">
        <v>29</v>
      </c>
      <c r="D1974" t="s">
        <v>31</v>
      </c>
      <c r="E1974">
        <v>34600</v>
      </c>
      <c r="F1974">
        <v>1</v>
      </c>
      <c r="G1974">
        <v>1</v>
      </c>
      <c r="H1974" s="2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25">
      <c r="A1975">
        <v>9507</v>
      </c>
      <c r="B1975">
        <v>1975</v>
      </c>
      <c r="C1975" t="s">
        <v>29</v>
      </c>
      <c r="D1975" t="s">
        <v>34</v>
      </c>
      <c r="E1975">
        <v>40794</v>
      </c>
      <c r="F1975">
        <v>0</v>
      </c>
      <c r="G1975">
        <v>1</v>
      </c>
      <c r="H1975" s="2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25">
      <c r="A1976">
        <v>8360</v>
      </c>
      <c r="B1976">
        <v>1971</v>
      </c>
      <c r="C1976" t="s">
        <v>46</v>
      </c>
      <c r="D1976" t="s">
        <v>34</v>
      </c>
      <c r="E1976">
        <v>54690</v>
      </c>
      <c r="F1976">
        <v>1</v>
      </c>
      <c r="G1976">
        <v>1</v>
      </c>
      <c r="H1976" s="2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>
        <v>10311</v>
      </c>
      <c r="B1977">
        <v>1969</v>
      </c>
      <c r="C1977" t="s">
        <v>29</v>
      </c>
      <c r="D1977" t="s">
        <v>34</v>
      </c>
      <c r="E1977">
        <v>4428</v>
      </c>
      <c r="F1977">
        <v>0</v>
      </c>
      <c r="G1977">
        <v>1</v>
      </c>
      <c r="H1977" s="2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>
        <v>5117</v>
      </c>
      <c r="B1978">
        <v>1963</v>
      </c>
      <c r="C1978" t="s">
        <v>46</v>
      </c>
      <c r="D1978" t="s">
        <v>34</v>
      </c>
      <c r="E1978">
        <v>32632</v>
      </c>
      <c r="F1978">
        <v>0</v>
      </c>
      <c r="G1978">
        <v>0</v>
      </c>
      <c r="H1978" s="2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>
        <v>4867</v>
      </c>
      <c r="B1979">
        <v>1968</v>
      </c>
      <c r="C1979" t="s">
        <v>33</v>
      </c>
      <c r="D1979" t="s">
        <v>30</v>
      </c>
      <c r="E1979">
        <v>38236</v>
      </c>
      <c r="F1979">
        <v>1</v>
      </c>
      <c r="G1979">
        <v>1</v>
      </c>
      <c r="H1979" t="s">
        <v>366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>
        <v>9289</v>
      </c>
      <c r="B1980">
        <v>1979</v>
      </c>
      <c r="C1980" t="s">
        <v>29</v>
      </c>
      <c r="D1980" t="s">
        <v>34</v>
      </c>
      <c r="E1980">
        <v>36781</v>
      </c>
      <c r="F1980">
        <v>1</v>
      </c>
      <c r="G1980">
        <v>0</v>
      </c>
      <c r="H1980" s="2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>
        <v>10913</v>
      </c>
      <c r="B1981">
        <v>1984</v>
      </c>
      <c r="C1981" t="s">
        <v>36</v>
      </c>
      <c r="D1981" t="s">
        <v>30</v>
      </c>
      <c r="E1981">
        <v>31385</v>
      </c>
      <c r="F1981">
        <v>1</v>
      </c>
      <c r="G1981">
        <v>0</v>
      </c>
      <c r="H1981" s="2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5">
      <c r="A1982">
        <v>3032</v>
      </c>
      <c r="B1982">
        <v>1984</v>
      </c>
      <c r="C1982" t="s">
        <v>29</v>
      </c>
      <c r="D1982" t="s">
        <v>34</v>
      </c>
      <c r="E1982">
        <v>24570</v>
      </c>
      <c r="F1982">
        <v>1</v>
      </c>
      <c r="G1982">
        <v>0</v>
      </c>
      <c r="H1982" t="s">
        <v>422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>
        <v>8524</v>
      </c>
      <c r="B1983">
        <v>1974</v>
      </c>
      <c r="C1983" t="s">
        <v>33</v>
      </c>
      <c r="D1983" t="s">
        <v>37</v>
      </c>
      <c r="E1983">
        <v>25509</v>
      </c>
      <c r="F1983">
        <v>1</v>
      </c>
      <c r="G1983">
        <v>0</v>
      </c>
      <c r="H1983" t="s">
        <v>181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25">
      <c r="A1984">
        <v>3334</v>
      </c>
      <c r="B1984">
        <v>1951</v>
      </c>
      <c r="C1984" t="s">
        <v>29</v>
      </c>
      <c r="D1984" t="s">
        <v>34</v>
      </c>
      <c r="E1984">
        <v>94642</v>
      </c>
      <c r="F1984">
        <v>0</v>
      </c>
      <c r="G1984">
        <v>0</v>
      </c>
      <c r="H1984" s="2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>
        <v>4470</v>
      </c>
      <c r="B1985">
        <v>1962</v>
      </c>
      <c r="C1985" t="s">
        <v>36</v>
      </c>
      <c r="D1985" t="s">
        <v>34</v>
      </c>
      <c r="E1985">
        <v>58646</v>
      </c>
      <c r="F1985">
        <v>0</v>
      </c>
      <c r="G1985">
        <v>1</v>
      </c>
      <c r="H1985" s="2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s="2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>
        <v>8619</v>
      </c>
      <c r="B1987">
        <v>1957</v>
      </c>
      <c r="C1987" t="s">
        <v>29</v>
      </c>
      <c r="D1987" t="s">
        <v>31</v>
      </c>
      <c r="E1987">
        <v>21994</v>
      </c>
      <c r="F1987">
        <v>0</v>
      </c>
      <c r="G1987">
        <v>1</v>
      </c>
      <c r="H1987" t="s">
        <v>43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5">
      <c r="A1988">
        <v>10821</v>
      </c>
      <c r="B1988">
        <v>1978</v>
      </c>
      <c r="C1988" t="s">
        <v>29</v>
      </c>
      <c r="D1988" t="s">
        <v>34</v>
      </c>
      <c r="E1988">
        <v>57113</v>
      </c>
      <c r="F1988">
        <v>1</v>
      </c>
      <c r="G1988">
        <v>1</v>
      </c>
      <c r="H1988" s="2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>
        <v>4552</v>
      </c>
      <c r="B1989">
        <v>1991</v>
      </c>
      <c r="C1989" t="s">
        <v>29</v>
      </c>
      <c r="D1989" t="s">
        <v>34</v>
      </c>
      <c r="E1989">
        <v>51373</v>
      </c>
      <c r="F1989">
        <v>0</v>
      </c>
      <c r="G1989">
        <v>0</v>
      </c>
      <c r="H1989" t="s">
        <v>204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>
        <v>898</v>
      </c>
      <c r="B1990">
        <v>1986</v>
      </c>
      <c r="C1990" t="s">
        <v>29</v>
      </c>
      <c r="D1990" t="s">
        <v>34</v>
      </c>
      <c r="E1990">
        <v>23477</v>
      </c>
      <c r="F1990">
        <v>1</v>
      </c>
      <c r="G1990">
        <v>0</v>
      </c>
      <c r="H1990" t="s">
        <v>290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>
        <v>9797</v>
      </c>
      <c r="B1991">
        <v>1956</v>
      </c>
      <c r="C1991" t="s">
        <v>29</v>
      </c>
      <c r="D1991" t="s">
        <v>34</v>
      </c>
      <c r="E1991">
        <v>58116</v>
      </c>
      <c r="F1991">
        <v>0</v>
      </c>
      <c r="G1991">
        <v>1</v>
      </c>
      <c r="H1991" t="s">
        <v>180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>
        <v>10949</v>
      </c>
      <c r="B1992">
        <v>1963</v>
      </c>
      <c r="C1992" t="s">
        <v>33</v>
      </c>
      <c r="D1992" t="s">
        <v>37</v>
      </c>
      <c r="E1992">
        <v>72968</v>
      </c>
      <c r="F1992">
        <v>0</v>
      </c>
      <c r="G1992">
        <v>0</v>
      </c>
      <c r="H1992" t="s">
        <v>294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5">
      <c r="A1993">
        <v>8212</v>
      </c>
      <c r="B1993">
        <v>1971</v>
      </c>
      <c r="C1993" t="s">
        <v>36</v>
      </c>
      <c r="D1993" t="s">
        <v>34</v>
      </c>
      <c r="E1993">
        <v>39791</v>
      </c>
      <c r="F1993">
        <v>0</v>
      </c>
      <c r="G1993">
        <v>1</v>
      </c>
      <c r="H1993" t="s">
        <v>45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>
        <v>6248</v>
      </c>
      <c r="B1994">
        <v>1947</v>
      </c>
      <c r="C1994" t="s">
        <v>36</v>
      </c>
      <c r="D1994" t="s">
        <v>30</v>
      </c>
      <c r="E1994">
        <v>91712</v>
      </c>
      <c r="F1994">
        <v>0</v>
      </c>
      <c r="G1994">
        <v>0</v>
      </c>
      <c r="H1994" t="s">
        <v>112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25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s="2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>
        <v>4547</v>
      </c>
      <c r="B1996">
        <v>1960</v>
      </c>
      <c r="C1996" t="s">
        <v>29</v>
      </c>
      <c r="D1996" t="s">
        <v>31</v>
      </c>
      <c r="E1996">
        <v>13672</v>
      </c>
      <c r="F1996">
        <v>1</v>
      </c>
      <c r="G1996">
        <v>1</v>
      </c>
      <c r="H1996" t="s">
        <v>343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>
        <v>6815</v>
      </c>
      <c r="B1997">
        <v>1980</v>
      </c>
      <c r="C1997" t="s">
        <v>46</v>
      </c>
      <c r="D1997" t="s">
        <v>34</v>
      </c>
      <c r="E1997">
        <v>96547</v>
      </c>
      <c r="F1997">
        <v>0</v>
      </c>
      <c r="G1997">
        <v>0</v>
      </c>
      <c r="H1997" t="s">
        <v>120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25">
      <c r="A1998">
        <v>4122</v>
      </c>
      <c r="B1998">
        <v>1975</v>
      </c>
      <c r="C1998" t="s">
        <v>29</v>
      </c>
      <c r="D1998" t="s">
        <v>34</v>
      </c>
      <c r="E1998">
        <v>79205</v>
      </c>
      <c r="F1998">
        <v>0</v>
      </c>
      <c r="G1998">
        <v>0</v>
      </c>
      <c r="H1998" t="s">
        <v>73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5">
      <c r="A1999">
        <v>10841</v>
      </c>
      <c r="B1999">
        <v>1975</v>
      </c>
      <c r="C1999" t="s">
        <v>33</v>
      </c>
      <c r="D1999" t="s">
        <v>31</v>
      </c>
      <c r="E1999">
        <v>56559</v>
      </c>
      <c r="F1999">
        <v>0</v>
      </c>
      <c r="G1999">
        <v>1</v>
      </c>
      <c r="H1999" t="s">
        <v>193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>
        <v>5370</v>
      </c>
      <c r="B2000">
        <v>1973</v>
      </c>
      <c r="C2000" t="s">
        <v>33</v>
      </c>
      <c r="D2000" t="s">
        <v>34</v>
      </c>
      <c r="E2000">
        <v>32644</v>
      </c>
      <c r="F2000">
        <v>1</v>
      </c>
      <c r="G2000">
        <v>0</v>
      </c>
      <c r="H2000" t="s">
        <v>367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>
        <v>176</v>
      </c>
      <c r="B2001">
        <v>1980</v>
      </c>
      <c r="C2001" t="s">
        <v>46</v>
      </c>
      <c r="D2001" t="s">
        <v>30</v>
      </c>
      <c r="E2001">
        <v>67506</v>
      </c>
      <c r="F2001">
        <v>0</v>
      </c>
      <c r="G2001">
        <v>1</v>
      </c>
      <c r="H2001" s="2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s="2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5">
      <c r="A2003">
        <v>10757</v>
      </c>
      <c r="B2003">
        <v>1967</v>
      </c>
      <c r="C2003" t="s">
        <v>33</v>
      </c>
      <c r="D2003" t="s">
        <v>37</v>
      </c>
      <c r="E2003">
        <v>28420</v>
      </c>
      <c r="F2003">
        <v>1</v>
      </c>
      <c r="G2003">
        <v>0</v>
      </c>
      <c r="H2003" t="s">
        <v>368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>
        <v>4023</v>
      </c>
      <c r="B2004">
        <v>1970</v>
      </c>
      <c r="C2004" t="s">
        <v>29</v>
      </c>
      <c r="D2004" t="s">
        <v>34</v>
      </c>
      <c r="E2004">
        <v>22979</v>
      </c>
      <c r="F2004">
        <v>1</v>
      </c>
      <c r="G2004">
        <v>0</v>
      </c>
      <c r="H2004" s="2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5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s="2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>
        <v>9923</v>
      </c>
      <c r="B2006">
        <v>1972</v>
      </c>
      <c r="C2006" t="s">
        <v>36</v>
      </c>
      <c r="D2006" t="s">
        <v>30</v>
      </c>
      <c r="E2006">
        <v>46423</v>
      </c>
      <c r="F2006">
        <v>1</v>
      </c>
      <c r="G2006">
        <v>1</v>
      </c>
      <c r="H2006" t="s">
        <v>257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>
        <v>7181</v>
      </c>
      <c r="B2007">
        <v>1977</v>
      </c>
      <c r="C2007" t="s">
        <v>29</v>
      </c>
      <c r="D2007" t="s">
        <v>34</v>
      </c>
      <c r="E2007">
        <v>30368</v>
      </c>
      <c r="F2007">
        <v>0</v>
      </c>
      <c r="G2007">
        <v>1</v>
      </c>
      <c r="H2007" s="2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5">
      <c r="A2008">
        <v>3599</v>
      </c>
      <c r="B2008">
        <v>1970</v>
      </c>
      <c r="C2008" t="s">
        <v>29</v>
      </c>
      <c r="D2008" t="s">
        <v>34</v>
      </c>
      <c r="E2008">
        <v>63684</v>
      </c>
      <c r="F2008">
        <v>0</v>
      </c>
      <c r="G2008">
        <v>1</v>
      </c>
      <c r="H2008" t="s">
        <v>335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>
        <v>405</v>
      </c>
      <c r="B2009">
        <v>1964</v>
      </c>
      <c r="C2009" t="s">
        <v>29</v>
      </c>
      <c r="D2009" t="s">
        <v>37</v>
      </c>
      <c r="E2009">
        <v>41638</v>
      </c>
      <c r="F2009">
        <v>0</v>
      </c>
      <c r="G2009">
        <v>1</v>
      </c>
      <c r="H2009" t="s">
        <v>188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>
        <v>6870</v>
      </c>
      <c r="B2010">
        <v>1959</v>
      </c>
      <c r="C2010" t="s">
        <v>33</v>
      </c>
      <c r="D2010" t="s">
        <v>37</v>
      </c>
      <c r="E2010">
        <v>68805</v>
      </c>
      <c r="F2010">
        <v>0</v>
      </c>
      <c r="G2010">
        <v>1</v>
      </c>
      <c r="H2010" t="s">
        <v>275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5">
      <c r="A2011">
        <v>832</v>
      </c>
      <c r="B2011">
        <v>1966</v>
      </c>
      <c r="C2011" t="s">
        <v>33</v>
      </c>
      <c r="D2011" t="s">
        <v>31</v>
      </c>
      <c r="E2011">
        <v>65814</v>
      </c>
      <c r="F2011">
        <v>0</v>
      </c>
      <c r="G2011">
        <v>1</v>
      </c>
      <c r="H2011" s="2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>
        <v>2002</v>
      </c>
      <c r="B2012">
        <v>1958</v>
      </c>
      <c r="C2012" t="s">
        <v>29</v>
      </c>
      <c r="D2012" t="s">
        <v>37</v>
      </c>
      <c r="E2012">
        <v>71964</v>
      </c>
      <c r="F2012">
        <v>0</v>
      </c>
      <c r="G2012">
        <v>0</v>
      </c>
      <c r="H2012" t="s">
        <v>156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t="s">
        <v>326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>
        <v>500</v>
      </c>
      <c r="B2014">
        <v>1977</v>
      </c>
      <c r="C2014" t="s">
        <v>29</v>
      </c>
      <c r="D2014" t="s">
        <v>31</v>
      </c>
      <c r="E2014">
        <v>96876</v>
      </c>
      <c r="F2014">
        <v>0</v>
      </c>
      <c r="G2014">
        <v>0</v>
      </c>
      <c r="H2014" s="2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25">
      <c r="A2015">
        <v>1951</v>
      </c>
      <c r="B2015">
        <v>1981</v>
      </c>
      <c r="C2015" t="s">
        <v>41</v>
      </c>
      <c r="D2015" t="s">
        <v>34</v>
      </c>
      <c r="E2015">
        <v>34445</v>
      </c>
      <c r="F2015">
        <v>0</v>
      </c>
      <c r="G2015">
        <v>0</v>
      </c>
      <c r="H2015" t="s">
        <v>428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s="2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25">
      <c r="A2017">
        <v>4102</v>
      </c>
      <c r="B2017">
        <v>1975</v>
      </c>
      <c r="C2017" t="s">
        <v>46</v>
      </c>
      <c r="D2017" t="s">
        <v>34</v>
      </c>
      <c r="E2017">
        <v>37284</v>
      </c>
      <c r="F2017">
        <v>1</v>
      </c>
      <c r="G2017">
        <v>1</v>
      </c>
      <c r="H2017" t="s">
        <v>310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>
        <v>7042</v>
      </c>
      <c r="B2018">
        <v>1983</v>
      </c>
      <c r="C2018" t="s">
        <v>29</v>
      </c>
      <c r="D2018" t="s">
        <v>34</v>
      </c>
      <c r="E2018">
        <v>36790</v>
      </c>
      <c r="F2018">
        <v>0</v>
      </c>
      <c r="G2018">
        <v>0</v>
      </c>
      <c r="H2018" s="2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25">
      <c r="A2019">
        <v>10598</v>
      </c>
      <c r="B2019">
        <v>1967</v>
      </c>
      <c r="C2019" t="s">
        <v>29</v>
      </c>
      <c r="D2019" t="s">
        <v>31</v>
      </c>
      <c r="E2019">
        <v>27943</v>
      </c>
      <c r="F2019">
        <v>1</v>
      </c>
      <c r="G2019">
        <v>1</v>
      </c>
      <c r="H2019" t="s">
        <v>268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>
        <v>255</v>
      </c>
      <c r="B2020">
        <v>1951</v>
      </c>
      <c r="C2020" t="s">
        <v>29</v>
      </c>
      <c r="D2020" t="s">
        <v>37</v>
      </c>
      <c r="E2020">
        <v>22263</v>
      </c>
      <c r="F2020">
        <v>1</v>
      </c>
      <c r="G2020">
        <v>1</v>
      </c>
      <c r="H2020" t="s">
        <v>86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25">
      <c r="A2021">
        <v>2375</v>
      </c>
      <c r="B2021">
        <v>1972</v>
      </c>
      <c r="C2021" t="s">
        <v>29</v>
      </c>
      <c r="D2021" t="s">
        <v>31</v>
      </c>
      <c r="E2021">
        <v>30261</v>
      </c>
      <c r="F2021">
        <v>1</v>
      </c>
      <c r="G2021">
        <v>2</v>
      </c>
      <c r="H2021" t="s">
        <v>232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>
        <v>9829</v>
      </c>
      <c r="B2022">
        <v>1978</v>
      </c>
      <c r="C2022" t="s">
        <v>29</v>
      </c>
      <c r="D2022" t="s">
        <v>31</v>
      </c>
      <c r="E2022">
        <v>28587</v>
      </c>
      <c r="F2022">
        <v>1</v>
      </c>
      <c r="G2022">
        <v>0</v>
      </c>
      <c r="H2022" s="2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>
        <v>6214</v>
      </c>
      <c r="B2023">
        <v>1982</v>
      </c>
      <c r="C2023" t="s">
        <v>36</v>
      </c>
      <c r="D2023" t="s">
        <v>34</v>
      </c>
      <c r="E2023">
        <v>43815</v>
      </c>
      <c r="F2023">
        <v>1</v>
      </c>
      <c r="G2023">
        <v>0</v>
      </c>
      <c r="H2023" s="2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5">
      <c r="A2024">
        <v>4954</v>
      </c>
      <c r="B2024">
        <v>1956</v>
      </c>
      <c r="C2024" t="s">
        <v>29</v>
      </c>
      <c r="D2024" t="s">
        <v>34</v>
      </c>
      <c r="E2024">
        <v>48195</v>
      </c>
      <c r="F2024">
        <v>1</v>
      </c>
      <c r="G2024">
        <v>1</v>
      </c>
      <c r="H2024" t="s">
        <v>78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>
        <v>7861</v>
      </c>
      <c r="B2025">
        <v>1952</v>
      </c>
      <c r="C2025" t="s">
        <v>36</v>
      </c>
      <c r="D2025" t="s">
        <v>34</v>
      </c>
      <c r="E2025">
        <v>77027</v>
      </c>
      <c r="F2025">
        <v>0</v>
      </c>
      <c r="G2025">
        <v>1</v>
      </c>
      <c r="H2025" s="2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>
        <v>4837</v>
      </c>
      <c r="B2026">
        <v>1965</v>
      </c>
      <c r="C2026" t="s">
        <v>33</v>
      </c>
      <c r="D2026" t="s">
        <v>34</v>
      </c>
      <c r="E2026">
        <v>71322</v>
      </c>
      <c r="F2026">
        <v>0</v>
      </c>
      <c r="G2026">
        <v>1</v>
      </c>
      <c r="H2026" t="s">
        <v>229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>
        <v>9423</v>
      </c>
      <c r="B2027">
        <v>1979</v>
      </c>
      <c r="C2027" t="s">
        <v>36</v>
      </c>
      <c r="D2027" t="s">
        <v>34</v>
      </c>
      <c r="E2027">
        <v>32765</v>
      </c>
      <c r="F2027">
        <v>1</v>
      </c>
      <c r="G2027">
        <v>0</v>
      </c>
      <c r="H2027" t="s">
        <v>395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>
        <v>4198</v>
      </c>
      <c r="B2028">
        <v>1965</v>
      </c>
      <c r="C2028" t="s">
        <v>29</v>
      </c>
      <c r="D2028" t="s">
        <v>31</v>
      </c>
      <c r="E2028">
        <v>29672</v>
      </c>
      <c r="F2028">
        <v>1</v>
      </c>
      <c r="G2028">
        <v>1</v>
      </c>
      <c r="H2028" s="2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>
        <v>153</v>
      </c>
      <c r="B2029">
        <v>1953</v>
      </c>
      <c r="C2029" t="s">
        <v>29</v>
      </c>
      <c r="D2029" t="s">
        <v>37</v>
      </c>
      <c r="E2029">
        <v>23272</v>
      </c>
      <c r="F2029">
        <v>0</v>
      </c>
      <c r="G2029">
        <v>0</v>
      </c>
      <c r="H2029" t="s">
        <v>112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>
        <v>9323</v>
      </c>
      <c r="B2030">
        <v>1949</v>
      </c>
      <c r="C2030" t="s">
        <v>36</v>
      </c>
      <c r="D2030" t="s">
        <v>31</v>
      </c>
      <c r="E2030">
        <v>49912</v>
      </c>
      <c r="F2030">
        <v>0</v>
      </c>
      <c r="G2030">
        <v>1</v>
      </c>
      <c r="H2030" s="2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5">
      <c r="A2031">
        <v>10001</v>
      </c>
      <c r="B2031">
        <v>1985</v>
      </c>
      <c r="C2031" t="s">
        <v>46</v>
      </c>
      <c r="D2031" t="s">
        <v>31</v>
      </c>
      <c r="E2031">
        <v>7500</v>
      </c>
      <c r="F2031">
        <v>1</v>
      </c>
      <c r="G2031">
        <v>0</v>
      </c>
      <c r="H2031" s="2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>
        <v>3945</v>
      </c>
      <c r="B2032">
        <v>1947</v>
      </c>
      <c r="C2032" t="s">
        <v>33</v>
      </c>
      <c r="D2032" t="s">
        <v>57</v>
      </c>
      <c r="E2032">
        <v>68117</v>
      </c>
      <c r="F2032">
        <v>0</v>
      </c>
      <c r="G2032">
        <v>1</v>
      </c>
      <c r="H2032" s="2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25">
      <c r="A2033">
        <v>3799</v>
      </c>
      <c r="B2033">
        <v>1955</v>
      </c>
      <c r="C2033" t="s">
        <v>29</v>
      </c>
      <c r="D2033" t="s">
        <v>34</v>
      </c>
      <c r="E2033">
        <v>67225</v>
      </c>
      <c r="F2033">
        <v>0</v>
      </c>
      <c r="G2033">
        <v>1</v>
      </c>
      <c r="H2033" t="s">
        <v>423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>
        <v>8625</v>
      </c>
      <c r="B2034">
        <v>1976</v>
      </c>
      <c r="C2034" t="s">
        <v>29</v>
      </c>
      <c r="D2034" t="s">
        <v>34</v>
      </c>
      <c r="E2034">
        <v>17649</v>
      </c>
      <c r="F2034">
        <v>1</v>
      </c>
      <c r="G2034">
        <v>0</v>
      </c>
      <c r="H2034" s="2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5">
      <c r="A2035">
        <v>3491</v>
      </c>
      <c r="B2035">
        <v>1975</v>
      </c>
      <c r="C2035" t="s">
        <v>29</v>
      </c>
      <c r="D2035" t="s">
        <v>31</v>
      </c>
      <c r="E2035">
        <v>55914</v>
      </c>
      <c r="F2035">
        <v>0</v>
      </c>
      <c r="G2035">
        <v>1</v>
      </c>
      <c r="H2035" t="s">
        <v>58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>
        <v>983</v>
      </c>
      <c r="B2036">
        <v>1984</v>
      </c>
      <c r="C2036" t="s">
        <v>29</v>
      </c>
      <c r="D2036" t="s">
        <v>34</v>
      </c>
      <c r="E2036">
        <v>40059</v>
      </c>
      <c r="F2036">
        <v>1</v>
      </c>
      <c r="G2036">
        <v>0</v>
      </c>
      <c r="H2036" t="s">
        <v>122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5">
      <c r="A2037">
        <v>9119</v>
      </c>
      <c r="B2037">
        <v>1950</v>
      </c>
      <c r="C2037" t="s">
        <v>29</v>
      </c>
      <c r="D2037" t="s">
        <v>31</v>
      </c>
      <c r="E2037">
        <v>60905</v>
      </c>
      <c r="F2037">
        <v>0</v>
      </c>
      <c r="G2037">
        <v>1</v>
      </c>
      <c r="H2037" s="2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>
        <v>4786</v>
      </c>
      <c r="B2038">
        <v>1977</v>
      </c>
      <c r="C2038" t="s">
        <v>29</v>
      </c>
      <c r="D2038" t="s">
        <v>34</v>
      </c>
      <c r="E2038">
        <v>75330</v>
      </c>
      <c r="F2038">
        <v>1</v>
      </c>
      <c r="G2038">
        <v>1</v>
      </c>
      <c r="H2038" s="2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s="2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>
        <v>6568</v>
      </c>
      <c r="B2040">
        <v>1984</v>
      </c>
      <c r="C2040" t="s">
        <v>29</v>
      </c>
      <c r="D2040" t="s">
        <v>34</v>
      </c>
      <c r="E2040">
        <v>38680</v>
      </c>
      <c r="F2040">
        <v>1</v>
      </c>
      <c r="G2040">
        <v>0</v>
      </c>
      <c r="H2040" t="s">
        <v>45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>
        <v>5628</v>
      </c>
      <c r="B2041">
        <v>1982</v>
      </c>
      <c r="C2041" t="s">
        <v>29</v>
      </c>
      <c r="D2041" t="s">
        <v>31</v>
      </c>
      <c r="E2041">
        <v>61416</v>
      </c>
      <c r="F2041">
        <v>0</v>
      </c>
      <c r="G2041">
        <v>0</v>
      </c>
      <c r="H2041" s="2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5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s="2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t="s">
        <v>232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>
        <v>8416</v>
      </c>
      <c r="B2044">
        <v>1981</v>
      </c>
      <c r="C2044" t="s">
        <v>29</v>
      </c>
      <c r="D2044" t="s">
        <v>34</v>
      </c>
      <c r="E2044">
        <v>29009</v>
      </c>
      <c r="F2044">
        <v>1</v>
      </c>
      <c r="G2044">
        <v>0</v>
      </c>
      <c r="H2044" t="s">
        <v>196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>
        <v>5454</v>
      </c>
      <c r="B2045">
        <v>1979</v>
      </c>
      <c r="C2045" t="s">
        <v>36</v>
      </c>
      <c r="D2045" t="s">
        <v>34</v>
      </c>
      <c r="E2045">
        <v>45057</v>
      </c>
      <c r="F2045">
        <v>1</v>
      </c>
      <c r="G2045">
        <v>0</v>
      </c>
      <c r="H2045" s="2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>
        <v>4095</v>
      </c>
      <c r="B2046">
        <v>1971</v>
      </c>
      <c r="C2046" t="s">
        <v>29</v>
      </c>
      <c r="D2046" t="s">
        <v>34</v>
      </c>
      <c r="E2046">
        <v>37150</v>
      </c>
      <c r="F2046">
        <v>1</v>
      </c>
      <c r="G2046">
        <v>0</v>
      </c>
      <c r="H2046" s="2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t="s">
        <v>434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>
        <v>4268</v>
      </c>
      <c r="B2048">
        <v>1959</v>
      </c>
      <c r="C2048" t="s">
        <v>29</v>
      </c>
      <c r="D2048" t="s">
        <v>34</v>
      </c>
      <c r="E2048">
        <v>53154</v>
      </c>
      <c r="F2048">
        <v>0</v>
      </c>
      <c r="G2048">
        <v>1</v>
      </c>
      <c r="H2048" s="2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>
        <v>10701</v>
      </c>
      <c r="B2049">
        <v>1973</v>
      </c>
      <c r="C2049" t="s">
        <v>29</v>
      </c>
      <c r="D2049" t="s">
        <v>34</v>
      </c>
      <c r="E2049">
        <v>65308</v>
      </c>
      <c r="F2049">
        <v>0</v>
      </c>
      <c r="G2049">
        <v>0</v>
      </c>
      <c r="H2049" s="2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t="s">
        <v>155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25">
      <c r="A2051">
        <v>2079</v>
      </c>
      <c r="B2051">
        <v>1947</v>
      </c>
      <c r="C2051" t="s">
        <v>46</v>
      </c>
      <c r="D2051" t="s">
        <v>34</v>
      </c>
      <c r="E2051">
        <v>81044</v>
      </c>
      <c r="F2051">
        <v>0</v>
      </c>
      <c r="G2051">
        <v>0</v>
      </c>
      <c r="H2051" t="s">
        <v>174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>
        <v>626</v>
      </c>
      <c r="B2052">
        <v>1951</v>
      </c>
      <c r="C2052" t="s">
        <v>29</v>
      </c>
      <c r="D2052" t="s">
        <v>34</v>
      </c>
      <c r="E2052">
        <v>32871</v>
      </c>
      <c r="F2052">
        <v>1</v>
      </c>
      <c r="G2052">
        <v>1</v>
      </c>
      <c r="H2052" s="2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t="s">
        <v>233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>
        <v>2591</v>
      </c>
      <c r="B2054">
        <v>1959</v>
      </c>
      <c r="C2054" t="s">
        <v>29</v>
      </c>
      <c r="D2054" t="s">
        <v>57</v>
      </c>
      <c r="E2054">
        <v>76320</v>
      </c>
      <c r="F2054">
        <v>0</v>
      </c>
      <c r="G2054">
        <v>1</v>
      </c>
      <c r="H2054" t="s">
        <v>348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>
        <v>10509</v>
      </c>
      <c r="B2055">
        <v>1955</v>
      </c>
      <c r="C2055" t="s">
        <v>36</v>
      </c>
      <c r="D2055" t="s">
        <v>30</v>
      </c>
      <c r="E2055">
        <v>36927</v>
      </c>
      <c r="F2055">
        <v>1</v>
      </c>
      <c r="G2055">
        <v>1</v>
      </c>
      <c r="H2055" s="2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5">
      <c r="A2056">
        <v>6382</v>
      </c>
      <c r="B2056">
        <v>1953</v>
      </c>
      <c r="C2056" t="s">
        <v>29</v>
      </c>
      <c r="D2056" t="s">
        <v>31</v>
      </c>
      <c r="E2056">
        <v>48794</v>
      </c>
      <c r="F2056">
        <v>1</v>
      </c>
      <c r="G2056">
        <v>1</v>
      </c>
      <c r="H2056" t="s">
        <v>167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5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t="s">
        <v>105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>
        <v>7441</v>
      </c>
      <c r="B2058">
        <v>1973</v>
      </c>
      <c r="C2058" t="s">
        <v>29</v>
      </c>
      <c r="D2058" t="s">
        <v>37</v>
      </c>
      <c r="E2058">
        <v>71128</v>
      </c>
      <c r="F2058">
        <v>1</v>
      </c>
      <c r="G2058">
        <v>0</v>
      </c>
      <c r="H2058" s="2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>
        <v>1071</v>
      </c>
      <c r="B2059">
        <v>1976</v>
      </c>
      <c r="C2059" t="s">
        <v>33</v>
      </c>
      <c r="D2059" t="s">
        <v>37</v>
      </c>
      <c r="E2059">
        <v>70179</v>
      </c>
      <c r="F2059">
        <v>0</v>
      </c>
      <c r="G2059">
        <v>1</v>
      </c>
      <c r="H2059" t="s">
        <v>370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>
        <v>10061</v>
      </c>
      <c r="B2060">
        <v>1950</v>
      </c>
      <c r="C2060" t="s">
        <v>29</v>
      </c>
      <c r="D2060" t="s">
        <v>34</v>
      </c>
      <c r="E2060">
        <v>59462</v>
      </c>
      <c r="F2060">
        <v>0</v>
      </c>
      <c r="G2060">
        <v>1</v>
      </c>
      <c r="H2060" s="2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>
        <v>7187</v>
      </c>
      <c r="B2061">
        <v>1969</v>
      </c>
      <c r="C2061" t="s">
        <v>36</v>
      </c>
      <c r="D2061" t="s">
        <v>31</v>
      </c>
      <c r="F2061">
        <v>1</v>
      </c>
      <c r="G2061">
        <v>1</v>
      </c>
      <c r="H2061" t="s">
        <v>342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5">
      <c r="A2062">
        <v>8775</v>
      </c>
      <c r="B2062">
        <v>1969</v>
      </c>
      <c r="C2062" t="s">
        <v>29</v>
      </c>
      <c r="D2062" t="s">
        <v>31</v>
      </c>
      <c r="E2062">
        <v>38361</v>
      </c>
      <c r="F2062">
        <v>1</v>
      </c>
      <c r="G2062">
        <v>0</v>
      </c>
      <c r="H2062" t="s">
        <v>174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>
        <v>1612</v>
      </c>
      <c r="B2063">
        <v>1981</v>
      </c>
      <c r="C2063" t="s">
        <v>33</v>
      </c>
      <c r="D2063" t="s">
        <v>30</v>
      </c>
      <c r="F2063">
        <v>1</v>
      </c>
      <c r="G2063">
        <v>0</v>
      </c>
      <c r="H2063" t="s">
        <v>51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>
        <v>2345</v>
      </c>
      <c r="B2064">
        <v>1982</v>
      </c>
      <c r="C2064" t="s">
        <v>33</v>
      </c>
      <c r="D2064" t="s">
        <v>31</v>
      </c>
      <c r="E2064">
        <v>70038</v>
      </c>
      <c r="F2064">
        <v>0</v>
      </c>
      <c r="G2064">
        <v>0</v>
      </c>
      <c r="H2064" t="s">
        <v>349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>
        <v>322</v>
      </c>
      <c r="B2065">
        <v>1978</v>
      </c>
      <c r="C2065" t="s">
        <v>29</v>
      </c>
      <c r="D2065" t="s">
        <v>31</v>
      </c>
      <c r="E2065">
        <v>42554</v>
      </c>
      <c r="F2065">
        <v>1</v>
      </c>
      <c r="G2065">
        <v>1</v>
      </c>
      <c r="H2065" s="2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>
        <v>10897</v>
      </c>
      <c r="B2066">
        <v>1974</v>
      </c>
      <c r="C2066" t="s">
        <v>29</v>
      </c>
      <c r="D2066" t="s">
        <v>34</v>
      </c>
      <c r="E2066">
        <v>67445</v>
      </c>
      <c r="F2066">
        <v>0</v>
      </c>
      <c r="G2066">
        <v>1</v>
      </c>
      <c r="H2066" s="2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>
        <v>123</v>
      </c>
      <c r="B2067">
        <v>1951</v>
      </c>
      <c r="C2067" t="s">
        <v>29</v>
      </c>
      <c r="D2067" t="s">
        <v>57</v>
      </c>
      <c r="E2067">
        <v>67046</v>
      </c>
      <c r="F2067">
        <v>0</v>
      </c>
      <c r="G2067">
        <v>1</v>
      </c>
      <c r="H2067" s="2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>
        <v>6103</v>
      </c>
      <c r="B2068">
        <v>1948</v>
      </c>
      <c r="C2068" t="s">
        <v>29</v>
      </c>
      <c r="D2068" t="s">
        <v>34</v>
      </c>
      <c r="E2068">
        <v>42192</v>
      </c>
      <c r="F2068">
        <v>0</v>
      </c>
      <c r="G2068">
        <v>0</v>
      </c>
      <c r="H2068" s="2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>
        <v>7899</v>
      </c>
      <c r="B2069">
        <v>1952</v>
      </c>
      <c r="C2069" t="s">
        <v>33</v>
      </c>
      <c r="D2069" t="s">
        <v>34</v>
      </c>
      <c r="E2069">
        <v>77610</v>
      </c>
      <c r="F2069">
        <v>0</v>
      </c>
      <c r="G2069">
        <v>1</v>
      </c>
      <c r="H2069" t="s">
        <v>54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5">
      <c r="A2070">
        <v>10500</v>
      </c>
      <c r="B2070">
        <v>1984</v>
      </c>
      <c r="C2070" t="s">
        <v>29</v>
      </c>
      <c r="D2070" t="s">
        <v>34</v>
      </c>
      <c r="E2070">
        <v>31761</v>
      </c>
      <c r="F2070">
        <v>1</v>
      </c>
      <c r="G2070">
        <v>0</v>
      </c>
      <c r="H2070" s="2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>
        <v>1655</v>
      </c>
      <c r="B2071">
        <v>1979</v>
      </c>
      <c r="C2071" t="s">
        <v>29</v>
      </c>
      <c r="D2071" t="s">
        <v>31</v>
      </c>
      <c r="E2071">
        <v>34350</v>
      </c>
      <c r="F2071">
        <v>1</v>
      </c>
      <c r="G2071">
        <v>0</v>
      </c>
      <c r="H2071" t="s">
        <v>273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>
        <v>2406</v>
      </c>
      <c r="B2072">
        <v>1949</v>
      </c>
      <c r="C2072" t="s">
        <v>29</v>
      </c>
      <c r="D2072" t="s">
        <v>31</v>
      </c>
      <c r="E2072">
        <v>54591</v>
      </c>
      <c r="F2072">
        <v>0</v>
      </c>
      <c r="G2072">
        <v>1</v>
      </c>
      <c r="H2072" s="2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>
        <v>2712</v>
      </c>
      <c r="B2073">
        <v>1956</v>
      </c>
      <c r="C2073" t="s">
        <v>29</v>
      </c>
      <c r="D2073" t="s">
        <v>34</v>
      </c>
      <c r="E2073">
        <v>71866</v>
      </c>
      <c r="F2073">
        <v>0</v>
      </c>
      <c r="G2073">
        <v>1</v>
      </c>
      <c r="H2073" t="s">
        <v>291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>
        <v>5517</v>
      </c>
      <c r="B2074">
        <v>1969</v>
      </c>
      <c r="C2074" t="s">
        <v>29</v>
      </c>
      <c r="D2074" t="s">
        <v>34</v>
      </c>
      <c r="E2074">
        <v>25293</v>
      </c>
      <c r="F2074">
        <v>1</v>
      </c>
      <c r="G2074">
        <v>0</v>
      </c>
      <c r="H2074" t="s">
        <v>311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>
        <v>10643</v>
      </c>
      <c r="B2075">
        <v>1987</v>
      </c>
      <c r="C2075" t="s">
        <v>33</v>
      </c>
      <c r="D2075" t="s">
        <v>30</v>
      </c>
      <c r="E2075">
        <v>42000</v>
      </c>
      <c r="F2075">
        <v>0</v>
      </c>
      <c r="G2075">
        <v>0</v>
      </c>
      <c r="H2075" s="2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5">
      <c r="A2076">
        <v>2254</v>
      </c>
      <c r="B2076">
        <v>1983</v>
      </c>
      <c r="C2076" t="s">
        <v>29</v>
      </c>
      <c r="D2076" t="s">
        <v>34</v>
      </c>
      <c r="E2076">
        <v>69520</v>
      </c>
      <c r="F2076">
        <v>0</v>
      </c>
      <c r="G2076">
        <v>0</v>
      </c>
      <c r="H2076" s="2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>
        <v>10281</v>
      </c>
      <c r="B2077">
        <v>1970</v>
      </c>
      <c r="C2077" t="s">
        <v>29</v>
      </c>
      <c r="D2077" t="s">
        <v>37</v>
      </c>
      <c r="E2077">
        <v>64713</v>
      </c>
      <c r="F2077">
        <v>1</v>
      </c>
      <c r="G2077">
        <v>0</v>
      </c>
      <c r="H2077" s="2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25">
      <c r="A2078">
        <v>6958</v>
      </c>
      <c r="B2078">
        <v>1977</v>
      </c>
      <c r="C2078" t="s">
        <v>36</v>
      </c>
      <c r="D2078" t="s">
        <v>34</v>
      </c>
      <c r="E2078">
        <v>27889</v>
      </c>
      <c r="F2078">
        <v>1</v>
      </c>
      <c r="G2078">
        <v>0</v>
      </c>
      <c r="H2078" s="2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>
        <v>954</v>
      </c>
      <c r="B2079">
        <v>1960</v>
      </c>
      <c r="C2079" t="s">
        <v>41</v>
      </c>
      <c r="D2079" t="s">
        <v>57</v>
      </c>
      <c r="E2079">
        <v>22123</v>
      </c>
      <c r="F2079">
        <v>0</v>
      </c>
      <c r="G2079">
        <v>0</v>
      </c>
      <c r="H2079" t="s">
        <v>435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5">
      <c r="A2080">
        <v>5079</v>
      </c>
      <c r="B2080">
        <v>1971</v>
      </c>
      <c r="C2080" t="s">
        <v>29</v>
      </c>
      <c r="D2080" t="s">
        <v>34</v>
      </c>
      <c r="F2080">
        <v>1</v>
      </c>
      <c r="G2080">
        <v>1</v>
      </c>
      <c r="H2080" s="2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>
        <v>10339</v>
      </c>
      <c r="B2081">
        <v>1954</v>
      </c>
      <c r="C2081" t="s">
        <v>36</v>
      </c>
      <c r="D2081" t="s">
        <v>31</v>
      </c>
      <c r="F2081">
        <v>0</v>
      </c>
      <c r="G2081">
        <v>1</v>
      </c>
      <c r="H2081" t="s">
        <v>74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5">
      <c r="A2082">
        <v>4643</v>
      </c>
      <c r="B2082">
        <v>1973</v>
      </c>
      <c r="C2082" t="s">
        <v>29</v>
      </c>
      <c r="D2082" t="s">
        <v>34</v>
      </c>
      <c r="E2082">
        <v>27803</v>
      </c>
      <c r="F2082">
        <v>1</v>
      </c>
      <c r="G2082">
        <v>0</v>
      </c>
      <c r="H2082" t="s">
        <v>373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25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t="s">
        <v>296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>
        <v>6497</v>
      </c>
      <c r="B2084">
        <v>1960</v>
      </c>
      <c r="C2084" t="s">
        <v>29</v>
      </c>
      <c r="D2084" t="s">
        <v>34</v>
      </c>
      <c r="E2084">
        <v>51651</v>
      </c>
      <c r="F2084">
        <v>0</v>
      </c>
      <c r="G2084">
        <v>1</v>
      </c>
      <c r="H2084" s="2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>
        <v>5396</v>
      </c>
      <c r="B2085">
        <v>1988</v>
      </c>
      <c r="C2085" t="s">
        <v>29</v>
      </c>
      <c r="D2085" t="s">
        <v>34</v>
      </c>
      <c r="E2085">
        <v>68487</v>
      </c>
      <c r="F2085">
        <v>0</v>
      </c>
      <c r="G2085">
        <v>0</v>
      </c>
      <c r="H2085" t="s">
        <v>178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>
        <v>5250</v>
      </c>
      <c r="B2086">
        <v>1943</v>
      </c>
      <c r="C2086" t="s">
        <v>36</v>
      </c>
      <c r="D2086" t="s">
        <v>57</v>
      </c>
      <c r="F2086">
        <v>0</v>
      </c>
      <c r="G2086">
        <v>0</v>
      </c>
      <c r="H2086" t="s">
        <v>242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25">
      <c r="A2087">
        <v>1052</v>
      </c>
      <c r="B2087">
        <v>1969</v>
      </c>
      <c r="C2087" t="s">
        <v>29</v>
      </c>
      <c r="D2087" t="s">
        <v>34</v>
      </c>
      <c r="E2087">
        <v>56796</v>
      </c>
      <c r="F2087">
        <v>0</v>
      </c>
      <c r="G2087">
        <v>1</v>
      </c>
      <c r="H2087" t="s">
        <v>229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>
        <v>2802</v>
      </c>
      <c r="B2088">
        <v>1992</v>
      </c>
      <c r="C2088" t="s">
        <v>46</v>
      </c>
      <c r="D2088" t="s">
        <v>34</v>
      </c>
      <c r="E2088">
        <v>87000</v>
      </c>
      <c r="F2088">
        <v>0</v>
      </c>
      <c r="G2088">
        <v>0</v>
      </c>
      <c r="H2088" t="s">
        <v>436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>
        <v>6343</v>
      </c>
      <c r="B2089">
        <v>1959</v>
      </c>
      <c r="C2089" t="s">
        <v>29</v>
      </c>
      <c r="D2089" t="s">
        <v>34</v>
      </c>
      <c r="E2089">
        <v>79823</v>
      </c>
      <c r="F2089">
        <v>0</v>
      </c>
      <c r="G2089">
        <v>1</v>
      </c>
      <c r="H2089" t="s">
        <v>132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s="2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5">
      <c r="A2091">
        <v>7901</v>
      </c>
      <c r="B2091">
        <v>1971</v>
      </c>
      <c r="C2091" t="s">
        <v>36</v>
      </c>
      <c r="D2091" t="s">
        <v>34</v>
      </c>
      <c r="E2091">
        <v>34109</v>
      </c>
      <c r="F2091">
        <v>0</v>
      </c>
      <c r="G2091">
        <v>1</v>
      </c>
      <c r="H2091" s="2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>
        <v>4865</v>
      </c>
      <c r="B2092">
        <v>1974</v>
      </c>
      <c r="C2092" t="s">
        <v>36</v>
      </c>
      <c r="D2092" t="s">
        <v>37</v>
      </c>
      <c r="E2092">
        <v>53367</v>
      </c>
      <c r="F2092">
        <v>1</v>
      </c>
      <c r="G2092">
        <v>1</v>
      </c>
      <c r="H2092" t="s">
        <v>140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5">
      <c r="A2093">
        <v>2686</v>
      </c>
      <c r="B2093">
        <v>1969</v>
      </c>
      <c r="C2093" t="s">
        <v>41</v>
      </c>
      <c r="D2093" t="s">
        <v>31</v>
      </c>
      <c r="E2093">
        <v>22390</v>
      </c>
      <c r="F2093">
        <v>0</v>
      </c>
      <c r="G2093">
        <v>0</v>
      </c>
      <c r="H2093" t="s">
        <v>290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5">
      <c r="A2094">
        <v>3107</v>
      </c>
      <c r="B2094">
        <v>1976</v>
      </c>
      <c r="C2094" t="s">
        <v>29</v>
      </c>
      <c r="D2094" t="s">
        <v>31</v>
      </c>
      <c r="E2094">
        <v>71322</v>
      </c>
      <c r="F2094">
        <v>0</v>
      </c>
      <c r="G2094">
        <v>1</v>
      </c>
      <c r="H2094" s="2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>
        <v>7734</v>
      </c>
      <c r="B2095">
        <v>1993</v>
      </c>
      <c r="C2095" t="s">
        <v>29</v>
      </c>
      <c r="D2095" t="s">
        <v>437</v>
      </c>
      <c r="E2095">
        <v>79244</v>
      </c>
      <c r="F2095">
        <v>0</v>
      </c>
      <c r="G2095">
        <v>0</v>
      </c>
      <c r="H2095" t="s">
        <v>71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25">
      <c r="A2096">
        <v>1146</v>
      </c>
      <c r="B2096">
        <v>1949</v>
      </c>
      <c r="C2096" t="s">
        <v>36</v>
      </c>
      <c r="D2096" t="s">
        <v>31</v>
      </c>
      <c r="E2096">
        <v>49912</v>
      </c>
      <c r="F2096">
        <v>0</v>
      </c>
      <c r="G2096">
        <v>1</v>
      </c>
      <c r="H2096" s="2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25">
      <c r="A2097">
        <v>11031</v>
      </c>
      <c r="B2097">
        <v>1950</v>
      </c>
      <c r="C2097" t="s">
        <v>33</v>
      </c>
      <c r="D2097" t="s">
        <v>34</v>
      </c>
      <c r="E2097">
        <v>48699</v>
      </c>
      <c r="F2097">
        <v>1</v>
      </c>
      <c r="G2097">
        <v>1</v>
      </c>
      <c r="H2097" t="s">
        <v>65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>
        <v>7428</v>
      </c>
      <c r="B2098">
        <v>1975</v>
      </c>
      <c r="C2098" t="s">
        <v>29</v>
      </c>
      <c r="D2098" t="s">
        <v>31</v>
      </c>
      <c r="E2098">
        <v>80144</v>
      </c>
      <c r="F2098">
        <v>0</v>
      </c>
      <c r="G2098">
        <v>0</v>
      </c>
      <c r="H2098" t="s">
        <v>97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t="s">
        <v>346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>
        <v>1103</v>
      </c>
      <c r="B2100">
        <v>1976</v>
      </c>
      <c r="C2100" t="s">
        <v>36</v>
      </c>
      <c r="D2100" t="s">
        <v>34</v>
      </c>
      <c r="E2100">
        <v>81929</v>
      </c>
      <c r="F2100">
        <v>1</v>
      </c>
      <c r="G2100">
        <v>0</v>
      </c>
      <c r="H2100" t="s">
        <v>331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25">
      <c r="A2101">
        <v>3422</v>
      </c>
      <c r="B2101">
        <v>1975</v>
      </c>
      <c r="C2101" t="s">
        <v>29</v>
      </c>
      <c r="D2101" t="s">
        <v>34</v>
      </c>
      <c r="E2101">
        <v>76068</v>
      </c>
      <c r="F2101">
        <v>0</v>
      </c>
      <c r="G2101">
        <v>1</v>
      </c>
      <c r="H2101" t="s">
        <v>328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>
        <v>1055</v>
      </c>
      <c r="B2102">
        <v>1976</v>
      </c>
      <c r="C2102" t="s">
        <v>36</v>
      </c>
      <c r="D2102" t="s">
        <v>34</v>
      </c>
      <c r="E2102">
        <v>53204</v>
      </c>
      <c r="F2102">
        <v>1</v>
      </c>
      <c r="G2102">
        <v>1</v>
      </c>
      <c r="H2102" t="s">
        <v>170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>
        <v>6544</v>
      </c>
      <c r="B2103">
        <v>1949</v>
      </c>
      <c r="C2103" t="s">
        <v>33</v>
      </c>
      <c r="D2103" t="s">
        <v>31</v>
      </c>
      <c r="E2103">
        <v>67911</v>
      </c>
      <c r="F2103">
        <v>0</v>
      </c>
      <c r="G2103">
        <v>1</v>
      </c>
      <c r="H2103" t="s">
        <v>53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>
        <v>1241</v>
      </c>
      <c r="B2104">
        <v>1984</v>
      </c>
      <c r="C2104" t="s">
        <v>46</v>
      </c>
      <c r="D2104" t="s">
        <v>34</v>
      </c>
      <c r="E2104">
        <v>14796</v>
      </c>
      <c r="F2104">
        <v>1</v>
      </c>
      <c r="G2104">
        <v>0</v>
      </c>
      <c r="H2104" t="s">
        <v>438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25">
      <c r="A2105">
        <v>2909</v>
      </c>
      <c r="B2105">
        <v>1974</v>
      </c>
      <c r="C2105" t="s">
        <v>33</v>
      </c>
      <c r="D2105" t="s">
        <v>34</v>
      </c>
      <c r="E2105">
        <v>78128</v>
      </c>
      <c r="F2105">
        <v>0</v>
      </c>
      <c r="G2105">
        <v>1</v>
      </c>
      <c r="H2105" t="s">
        <v>386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>
        <v>5802</v>
      </c>
      <c r="B2106">
        <v>1972</v>
      </c>
      <c r="C2106" t="s">
        <v>41</v>
      </c>
      <c r="D2106" t="s">
        <v>34</v>
      </c>
      <c r="E2106">
        <v>14188</v>
      </c>
      <c r="F2106">
        <v>0</v>
      </c>
      <c r="G2106">
        <v>0</v>
      </c>
      <c r="H2106" t="s">
        <v>313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>
        <v>1407</v>
      </c>
      <c r="B2107">
        <v>1986</v>
      </c>
      <c r="C2107" t="s">
        <v>41</v>
      </c>
      <c r="D2107" t="s">
        <v>34</v>
      </c>
      <c r="E2107">
        <v>20425</v>
      </c>
      <c r="F2107">
        <v>1</v>
      </c>
      <c r="G2107">
        <v>0</v>
      </c>
      <c r="H2107" t="s">
        <v>54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>
        <v>6183</v>
      </c>
      <c r="B2108">
        <v>1962</v>
      </c>
      <c r="C2108" t="s">
        <v>36</v>
      </c>
      <c r="D2108" t="s">
        <v>34</v>
      </c>
      <c r="E2108">
        <v>58646</v>
      </c>
      <c r="F2108">
        <v>0</v>
      </c>
      <c r="G2108">
        <v>1</v>
      </c>
      <c r="H2108" s="2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>
        <v>340</v>
      </c>
      <c r="B2109">
        <v>1970</v>
      </c>
      <c r="C2109" t="s">
        <v>29</v>
      </c>
      <c r="D2109" t="s">
        <v>37</v>
      </c>
      <c r="E2109">
        <v>72967</v>
      </c>
      <c r="F2109">
        <v>0</v>
      </c>
      <c r="G2109">
        <v>1</v>
      </c>
      <c r="H2109" t="s">
        <v>436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25">
      <c r="A2110">
        <v>5991</v>
      </c>
      <c r="B2110">
        <v>1949</v>
      </c>
      <c r="C2110" t="s">
        <v>36</v>
      </c>
      <c r="D2110" t="s">
        <v>34</v>
      </c>
      <c r="E2110">
        <v>48150</v>
      </c>
      <c r="F2110">
        <v>0</v>
      </c>
      <c r="G2110">
        <v>1</v>
      </c>
      <c r="H2110" s="2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t="s">
        <v>438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25">
      <c r="A2112">
        <v>9729</v>
      </c>
      <c r="B2112">
        <v>1955</v>
      </c>
      <c r="C2112" t="s">
        <v>29</v>
      </c>
      <c r="D2112" t="s">
        <v>57</v>
      </c>
      <c r="E2112">
        <v>58275</v>
      </c>
      <c r="F2112">
        <v>1</v>
      </c>
      <c r="G2112">
        <v>1</v>
      </c>
      <c r="H2112" s="2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>
        <v>1008</v>
      </c>
      <c r="B2113">
        <v>1981</v>
      </c>
      <c r="C2113" t="s">
        <v>33</v>
      </c>
      <c r="D2113" t="s">
        <v>31</v>
      </c>
      <c r="E2113">
        <v>44953</v>
      </c>
      <c r="F2113">
        <v>0</v>
      </c>
      <c r="G2113">
        <v>0</v>
      </c>
      <c r="H2113" t="s">
        <v>439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5">
      <c r="A2114">
        <v>11091</v>
      </c>
      <c r="B2114">
        <v>1953</v>
      </c>
      <c r="C2114" t="s">
        <v>29</v>
      </c>
      <c r="D2114" t="s">
        <v>31</v>
      </c>
      <c r="E2114">
        <v>34587</v>
      </c>
      <c r="F2114">
        <v>1</v>
      </c>
      <c r="G2114">
        <v>1</v>
      </c>
      <c r="H2114" t="s">
        <v>300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>
        <v>3969</v>
      </c>
      <c r="B2115">
        <v>1974</v>
      </c>
      <c r="C2115" t="s">
        <v>36</v>
      </c>
      <c r="D2115" t="s">
        <v>31</v>
      </c>
      <c r="E2115">
        <v>43018</v>
      </c>
      <c r="F2115">
        <v>0</v>
      </c>
      <c r="G2115">
        <v>1</v>
      </c>
      <c r="H2115" s="2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>
        <v>1916</v>
      </c>
      <c r="B2116">
        <v>1954</v>
      </c>
      <c r="C2116" t="s">
        <v>36</v>
      </c>
      <c r="D2116" t="s">
        <v>34</v>
      </c>
      <c r="E2116">
        <v>45736</v>
      </c>
      <c r="F2116">
        <v>0</v>
      </c>
      <c r="G2116">
        <v>1</v>
      </c>
      <c r="H2116" t="s">
        <v>415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>
        <v>9907</v>
      </c>
      <c r="B2117">
        <v>1969</v>
      </c>
      <c r="C2117" t="s">
        <v>36</v>
      </c>
      <c r="D2117" t="s">
        <v>31</v>
      </c>
      <c r="E2117">
        <v>66476</v>
      </c>
      <c r="F2117">
        <v>0</v>
      </c>
      <c r="G2117">
        <v>1</v>
      </c>
      <c r="H2117" s="2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25">
      <c r="A2118">
        <v>87</v>
      </c>
      <c r="B2118">
        <v>1981</v>
      </c>
      <c r="C2118" t="s">
        <v>46</v>
      </c>
      <c r="D2118" t="s">
        <v>34</v>
      </c>
      <c r="E2118">
        <v>27733</v>
      </c>
      <c r="F2118">
        <v>1</v>
      </c>
      <c r="G2118">
        <v>0</v>
      </c>
      <c r="H2118" t="s">
        <v>390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>
        <v>8659</v>
      </c>
      <c r="B2119">
        <v>1952</v>
      </c>
      <c r="C2119" t="s">
        <v>33</v>
      </c>
      <c r="D2119" t="s">
        <v>31</v>
      </c>
      <c r="E2119">
        <v>69805</v>
      </c>
      <c r="F2119">
        <v>0</v>
      </c>
      <c r="G2119">
        <v>1</v>
      </c>
      <c r="H2119" t="s">
        <v>78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>
        <v>6262</v>
      </c>
      <c r="B2120">
        <v>1962</v>
      </c>
      <c r="C2120" t="s">
        <v>36</v>
      </c>
      <c r="D2120" t="s">
        <v>30</v>
      </c>
      <c r="E2120">
        <v>72217</v>
      </c>
      <c r="F2120">
        <v>0</v>
      </c>
      <c r="G2120">
        <v>0</v>
      </c>
      <c r="H2120" s="2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>
        <v>6147</v>
      </c>
      <c r="B2121">
        <v>1971</v>
      </c>
      <c r="C2121" t="s">
        <v>29</v>
      </c>
      <c r="D2121" t="s">
        <v>37</v>
      </c>
      <c r="E2121">
        <v>25818</v>
      </c>
      <c r="F2121">
        <v>1</v>
      </c>
      <c r="G2121">
        <v>0</v>
      </c>
      <c r="H2121" t="s">
        <v>106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5">
      <c r="A2122">
        <v>8832</v>
      </c>
      <c r="B2122">
        <v>1976</v>
      </c>
      <c r="C2122" t="s">
        <v>36</v>
      </c>
      <c r="D2122" t="s">
        <v>31</v>
      </c>
      <c r="E2122">
        <v>37509</v>
      </c>
      <c r="F2122">
        <v>1</v>
      </c>
      <c r="G2122">
        <v>0</v>
      </c>
      <c r="H2122" s="2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>
        <v>10067</v>
      </c>
      <c r="B2123">
        <v>1976</v>
      </c>
      <c r="C2123" t="s">
        <v>46</v>
      </c>
      <c r="D2123" t="s">
        <v>31</v>
      </c>
      <c r="E2123">
        <v>25176</v>
      </c>
      <c r="F2123">
        <v>1</v>
      </c>
      <c r="G2123">
        <v>1</v>
      </c>
      <c r="H2123" s="2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>
        <v>7532</v>
      </c>
      <c r="B2124">
        <v>1980</v>
      </c>
      <c r="C2124" t="s">
        <v>29</v>
      </c>
      <c r="D2124" t="s">
        <v>34</v>
      </c>
      <c r="E2124">
        <v>43586</v>
      </c>
      <c r="F2124">
        <v>0</v>
      </c>
      <c r="G2124">
        <v>1</v>
      </c>
      <c r="H2124" t="s">
        <v>209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>
        <v>4915</v>
      </c>
      <c r="B2125">
        <v>1956</v>
      </c>
      <c r="C2125" t="s">
        <v>46</v>
      </c>
      <c r="D2125" t="s">
        <v>34</v>
      </c>
      <c r="E2125">
        <v>53230</v>
      </c>
      <c r="F2125">
        <v>0</v>
      </c>
      <c r="G2125">
        <v>1</v>
      </c>
      <c r="H2125" s="2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5">
      <c r="A2126">
        <v>2115</v>
      </c>
      <c r="B2126">
        <v>1957</v>
      </c>
      <c r="C2126" t="s">
        <v>29</v>
      </c>
      <c r="D2126" t="s">
        <v>31</v>
      </c>
      <c r="E2126">
        <v>50116</v>
      </c>
      <c r="F2126">
        <v>1</v>
      </c>
      <c r="G2126">
        <v>1</v>
      </c>
      <c r="H2126" t="s">
        <v>431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>
        <v>2088</v>
      </c>
      <c r="B2127">
        <v>1972</v>
      </c>
      <c r="C2127" t="s">
        <v>29</v>
      </c>
      <c r="D2127" t="s">
        <v>31</v>
      </c>
      <c r="E2127">
        <v>84906</v>
      </c>
      <c r="F2127">
        <v>0</v>
      </c>
      <c r="G2127">
        <v>0</v>
      </c>
      <c r="H2127" s="2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>
        <v>2493</v>
      </c>
      <c r="B2128">
        <v>1966</v>
      </c>
      <c r="C2128" t="s">
        <v>29</v>
      </c>
      <c r="D2128" t="s">
        <v>34</v>
      </c>
      <c r="E2128">
        <v>61286</v>
      </c>
      <c r="F2128">
        <v>0</v>
      </c>
      <c r="G2128">
        <v>1</v>
      </c>
      <c r="H2128" s="2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>
        <v>6292</v>
      </c>
      <c r="B2129">
        <v>1986</v>
      </c>
      <c r="C2129" t="s">
        <v>33</v>
      </c>
      <c r="D2129" t="s">
        <v>34</v>
      </c>
      <c r="E2129">
        <v>82333</v>
      </c>
      <c r="F2129">
        <v>0</v>
      </c>
      <c r="G2129">
        <v>0</v>
      </c>
      <c r="H2129" t="s">
        <v>216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>
        <v>1631</v>
      </c>
      <c r="B2130">
        <v>1965</v>
      </c>
      <c r="C2130" t="s">
        <v>33</v>
      </c>
      <c r="D2130" t="s">
        <v>31</v>
      </c>
      <c r="E2130">
        <v>65220</v>
      </c>
      <c r="F2130">
        <v>0</v>
      </c>
      <c r="G2130">
        <v>0</v>
      </c>
      <c r="H2130" s="2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5">
      <c r="A2131">
        <v>10104</v>
      </c>
      <c r="B2131">
        <v>1974</v>
      </c>
      <c r="C2131" t="s">
        <v>29</v>
      </c>
      <c r="D2131" t="s">
        <v>31</v>
      </c>
      <c r="E2131">
        <v>33590</v>
      </c>
      <c r="F2131">
        <v>2</v>
      </c>
      <c r="G2131">
        <v>1</v>
      </c>
      <c r="H2131" s="2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>
        <v>3006</v>
      </c>
      <c r="B2132">
        <v>1976</v>
      </c>
      <c r="C2132" t="s">
        <v>29</v>
      </c>
      <c r="D2132" t="s">
        <v>37</v>
      </c>
      <c r="E2132">
        <v>30992</v>
      </c>
      <c r="F2132">
        <v>1</v>
      </c>
      <c r="G2132">
        <v>0</v>
      </c>
      <c r="H2132" t="s">
        <v>95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>
        <v>3919</v>
      </c>
      <c r="B2133">
        <v>1976</v>
      </c>
      <c r="C2133" t="s">
        <v>36</v>
      </c>
      <c r="D2133" t="s">
        <v>30</v>
      </c>
      <c r="E2133">
        <v>72309</v>
      </c>
      <c r="F2133">
        <v>0</v>
      </c>
      <c r="G2133">
        <v>0</v>
      </c>
      <c r="H2133" s="2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25">
      <c r="A2134">
        <v>11181</v>
      </c>
      <c r="B2134">
        <v>1949</v>
      </c>
      <c r="C2134" t="s">
        <v>33</v>
      </c>
      <c r="D2134" t="s">
        <v>34</v>
      </c>
      <c r="E2134">
        <v>156924</v>
      </c>
      <c r="F2134">
        <v>0</v>
      </c>
      <c r="G2134">
        <v>0</v>
      </c>
      <c r="H2134" t="s">
        <v>55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>
        <v>642</v>
      </c>
      <c r="B2135">
        <v>1980</v>
      </c>
      <c r="C2135" t="s">
        <v>41</v>
      </c>
      <c r="D2135" t="s">
        <v>34</v>
      </c>
      <c r="E2135">
        <v>16005</v>
      </c>
      <c r="F2135">
        <v>1</v>
      </c>
      <c r="G2135">
        <v>0</v>
      </c>
      <c r="H2135" t="s">
        <v>186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>
        <v>4369</v>
      </c>
      <c r="B2136">
        <v>1957</v>
      </c>
      <c r="C2136" t="s">
        <v>36</v>
      </c>
      <c r="D2136" t="s">
        <v>437</v>
      </c>
      <c r="E2136">
        <v>65487</v>
      </c>
      <c r="F2136">
        <v>0</v>
      </c>
      <c r="G2136">
        <v>0</v>
      </c>
      <c r="H2136" s="2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>
        <v>10127</v>
      </c>
      <c r="B2137">
        <v>1965</v>
      </c>
      <c r="C2137" t="s">
        <v>29</v>
      </c>
      <c r="D2137" t="s">
        <v>34</v>
      </c>
      <c r="E2137">
        <v>58692</v>
      </c>
      <c r="F2137">
        <v>0</v>
      </c>
      <c r="G2137">
        <v>1</v>
      </c>
      <c r="H2137" s="2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>
        <v>271</v>
      </c>
      <c r="B2138">
        <v>1969</v>
      </c>
      <c r="C2138" t="s">
        <v>29</v>
      </c>
      <c r="D2138" t="s">
        <v>57</v>
      </c>
      <c r="E2138">
        <v>40590</v>
      </c>
      <c r="F2138">
        <v>1</v>
      </c>
      <c r="G2138">
        <v>1</v>
      </c>
      <c r="H2138" s="2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s="2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>
        <v>2948</v>
      </c>
      <c r="B2140">
        <v>1954</v>
      </c>
      <c r="C2140" t="s">
        <v>36</v>
      </c>
      <c r="D2140" t="s">
        <v>37</v>
      </c>
      <c r="E2140">
        <v>62637</v>
      </c>
      <c r="F2140">
        <v>0</v>
      </c>
      <c r="G2140">
        <v>1</v>
      </c>
      <c r="H2140" s="2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>
        <v>2715</v>
      </c>
      <c r="B2141">
        <v>1966</v>
      </c>
      <c r="C2141" t="s">
        <v>36</v>
      </c>
      <c r="D2141" t="s">
        <v>37</v>
      </c>
      <c r="E2141">
        <v>29435</v>
      </c>
      <c r="F2141">
        <v>1</v>
      </c>
      <c r="G2141">
        <v>1</v>
      </c>
      <c r="H2141" s="2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25">
      <c r="A2142">
        <v>10432</v>
      </c>
      <c r="B2142">
        <v>1974</v>
      </c>
      <c r="C2142" t="s">
        <v>29</v>
      </c>
      <c r="D2142" t="s">
        <v>37</v>
      </c>
      <c r="E2142">
        <v>19346</v>
      </c>
      <c r="F2142">
        <v>1</v>
      </c>
      <c r="G2142">
        <v>0</v>
      </c>
      <c r="H2142" t="s">
        <v>118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>
        <v>9216</v>
      </c>
      <c r="B2143">
        <v>1971</v>
      </c>
      <c r="C2143" t="s">
        <v>29</v>
      </c>
      <c r="D2143" t="s">
        <v>34</v>
      </c>
      <c r="E2143">
        <v>35788</v>
      </c>
      <c r="F2143">
        <v>1</v>
      </c>
      <c r="G2143">
        <v>1</v>
      </c>
      <c r="H2143" t="s">
        <v>337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>
        <v>7124</v>
      </c>
      <c r="B2144">
        <v>1968</v>
      </c>
      <c r="C2144" t="s">
        <v>29</v>
      </c>
      <c r="D2144" t="s">
        <v>37</v>
      </c>
      <c r="E2144">
        <v>36997</v>
      </c>
      <c r="F2144">
        <v>1</v>
      </c>
      <c r="G2144">
        <v>1</v>
      </c>
      <c r="H2144" s="2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>
        <v>9727</v>
      </c>
      <c r="B2145">
        <v>1957</v>
      </c>
      <c r="C2145" t="s">
        <v>29</v>
      </c>
      <c r="D2145" t="s">
        <v>34</v>
      </c>
      <c r="E2145">
        <v>23539</v>
      </c>
      <c r="F2145">
        <v>0</v>
      </c>
      <c r="G2145">
        <v>0</v>
      </c>
      <c r="H2145" t="s">
        <v>433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t="s">
        <v>418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t="s">
        <v>80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25">
      <c r="A2148">
        <v>1818</v>
      </c>
      <c r="B2148">
        <v>1971</v>
      </c>
      <c r="C2148" t="s">
        <v>33</v>
      </c>
      <c r="D2148" t="s">
        <v>31</v>
      </c>
      <c r="E2148">
        <v>29732</v>
      </c>
      <c r="F2148">
        <v>1</v>
      </c>
      <c r="G2148">
        <v>0</v>
      </c>
      <c r="H2148" t="s">
        <v>419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>
        <v>1100</v>
      </c>
      <c r="B2149">
        <v>1960</v>
      </c>
      <c r="C2149" t="s">
        <v>36</v>
      </c>
      <c r="D2149" t="s">
        <v>31</v>
      </c>
      <c r="E2149">
        <v>41275</v>
      </c>
      <c r="F2149">
        <v>1</v>
      </c>
      <c r="G2149">
        <v>2</v>
      </c>
      <c r="H2149" t="s">
        <v>364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>
        <v>7873</v>
      </c>
      <c r="B2150">
        <v>1973</v>
      </c>
      <c r="C2150" t="s">
        <v>33</v>
      </c>
      <c r="D2150" t="s">
        <v>31</v>
      </c>
      <c r="E2150">
        <v>63516</v>
      </c>
      <c r="F2150">
        <v>1</v>
      </c>
      <c r="G2150">
        <v>1</v>
      </c>
      <c r="H2150" s="2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>
        <v>10609</v>
      </c>
      <c r="B2151">
        <v>1962</v>
      </c>
      <c r="C2151" t="s">
        <v>33</v>
      </c>
      <c r="D2151" t="s">
        <v>34</v>
      </c>
      <c r="E2151">
        <v>42769</v>
      </c>
      <c r="F2151">
        <v>0</v>
      </c>
      <c r="G2151">
        <v>1</v>
      </c>
      <c r="H2151" s="2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>
        <v>6950</v>
      </c>
      <c r="B2152">
        <v>1958</v>
      </c>
      <c r="C2152" t="s">
        <v>36</v>
      </c>
      <c r="D2152" t="s">
        <v>34</v>
      </c>
      <c r="E2152">
        <v>49572</v>
      </c>
      <c r="F2152">
        <v>1</v>
      </c>
      <c r="G2152">
        <v>1</v>
      </c>
      <c r="H2152" t="s">
        <v>426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>
        <v>7233</v>
      </c>
      <c r="B2153">
        <v>1972</v>
      </c>
      <c r="C2153" t="s">
        <v>29</v>
      </c>
      <c r="D2153" t="s">
        <v>34</v>
      </c>
      <c r="E2153">
        <v>69209</v>
      </c>
      <c r="F2153">
        <v>0</v>
      </c>
      <c r="G2153">
        <v>0</v>
      </c>
      <c r="H2153" t="s">
        <v>438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>
        <v>9481</v>
      </c>
      <c r="B2154">
        <v>1976</v>
      </c>
      <c r="C2154" t="s">
        <v>29</v>
      </c>
      <c r="D2154" t="s">
        <v>34</v>
      </c>
      <c r="E2154">
        <v>17148</v>
      </c>
      <c r="F2154">
        <v>1</v>
      </c>
      <c r="G2154">
        <v>0</v>
      </c>
      <c r="H2154" t="s">
        <v>234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>
        <v>7699</v>
      </c>
      <c r="B2155">
        <v>1969</v>
      </c>
      <c r="C2155" t="s">
        <v>29</v>
      </c>
      <c r="D2155" t="s">
        <v>57</v>
      </c>
      <c r="E2155">
        <v>40590</v>
      </c>
      <c r="F2155">
        <v>1</v>
      </c>
      <c r="G2155">
        <v>1</v>
      </c>
      <c r="H2155" s="2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5">
      <c r="A2156">
        <v>2711</v>
      </c>
      <c r="B2156">
        <v>1976</v>
      </c>
      <c r="C2156" t="s">
        <v>36</v>
      </c>
      <c r="D2156" t="s">
        <v>31</v>
      </c>
      <c r="E2156">
        <v>30560</v>
      </c>
      <c r="F2156">
        <v>1</v>
      </c>
      <c r="G2156">
        <v>0</v>
      </c>
      <c r="H2156" t="s">
        <v>412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>
        <v>8933</v>
      </c>
      <c r="B2157">
        <v>1983</v>
      </c>
      <c r="C2157" t="s">
        <v>46</v>
      </c>
      <c r="D2157" t="s">
        <v>34</v>
      </c>
      <c r="E2157">
        <v>32146</v>
      </c>
      <c r="F2157">
        <v>1</v>
      </c>
      <c r="G2157">
        <v>0</v>
      </c>
      <c r="H2157" s="2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>
        <v>8726</v>
      </c>
      <c r="B2158">
        <v>1964</v>
      </c>
      <c r="C2158" t="s">
        <v>46</v>
      </c>
      <c r="D2158" t="s">
        <v>37</v>
      </c>
      <c r="E2158">
        <v>41713</v>
      </c>
      <c r="F2158">
        <v>1</v>
      </c>
      <c r="G2158">
        <v>1</v>
      </c>
      <c r="H2158" t="s">
        <v>304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>
        <v>1515</v>
      </c>
      <c r="B2159">
        <v>1975</v>
      </c>
      <c r="C2159" t="s">
        <v>36</v>
      </c>
      <c r="D2159" t="s">
        <v>31</v>
      </c>
      <c r="E2159">
        <v>34176</v>
      </c>
      <c r="F2159">
        <v>0</v>
      </c>
      <c r="G2159">
        <v>1</v>
      </c>
      <c r="H2159" t="s">
        <v>123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5">
      <c r="A2160">
        <v>5186</v>
      </c>
      <c r="B2160">
        <v>1955</v>
      </c>
      <c r="C2160" t="s">
        <v>33</v>
      </c>
      <c r="D2160" t="s">
        <v>34</v>
      </c>
      <c r="E2160">
        <v>58482</v>
      </c>
      <c r="F2160">
        <v>0</v>
      </c>
      <c r="G2160">
        <v>1</v>
      </c>
      <c r="H2160" s="2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t="s">
        <v>309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>
        <v>5667</v>
      </c>
      <c r="B2162">
        <v>1964</v>
      </c>
      <c r="C2162" t="s">
        <v>33</v>
      </c>
      <c r="D2162" t="s">
        <v>34</v>
      </c>
      <c r="E2162">
        <v>60896</v>
      </c>
      <c r="F2162">
        <v>0</v>
      </c>
      <c r="G2162">
        <v>1</v>
      </c>
      <c r="H2162" s="2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25">
      <c r="A2163">
        <v>902</v>
      </c>
      <c r="B2163">
        <v>1980</v>
      </c>
      <c r="C2163" t="s">
        <v>29</v>
      </c>
      <c r="D2163" t="s">
        <v>31</v>
      </c>
      <c r="E2163">
        <v>62994</v>
      </c>
      <c r="F2163">
        <v>1</v>
      </c>
      <c r="G2163">
        <v>0</v>
      </c>
      <c r="H2163" s="2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>
        <v>977</v>
      </c>
      <c r="B2164">
        <v>1957</v>
      </c>
      <c r="C2164" t="s">
        <v>29</v>
      </c>
      <c r="D2164" t="s">
        <v>31</v>
      </c>
      <c r="E2164">
        <v>47320</v>
      </c>
      <c r="F2164">
        <v>0</v>
      </c>
      <c r="G2164">
        <v>1</v>
      </c>
      <c r="H2164" s="2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5">
      <c r="A2165">
        <v>7313</v>
      </c>
      <c r="B2165">
        <v>1949</v>
      </c>
      <c r="C2165" t="s">
        <v>46</v>
      </c>
      <c r="D2165" t="s">
        <v>57</v>
      </c>
      <c r="E2165">
        <v>74859</v>
      </c>
      <c r="F2165">
        <v>0</v>
      </c>
      <c r="G2165">
        <v>0</v>
      </c>
      <c r="H2165" s="2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5">
      <c r="A2166">
        <v>7600</v>
      </c>
      <c r="B2166">
        <v>1992</v>
      </c>
      <c r="C2166" t="s">
        <v>41</v>
      </c>
      <c r="D2166" t="s">
        <v>30</v>
      </c>
      <c r="E2166">
        <v>15253</v>
      </c>
      <c r="F2166">
        <v>1</v>
      </c>
      <c r="G2166">
        <v>0</v>
      </c>
      <c r="H2166" t="s">
        <v>152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>
        <v>9706</v>
      </c>
      <c r="B2167">
        <v>1974</v>
      </c>
      <c r="C2167" t="s">
        <v>33</v>
      </c>
      <c r="D2167" t="s">
        <v>30</v>
      </c>
      <c r="E2167">
        <v>31560</v>
      </c>
      <c r="F2167">
        <v>1</v>
      </c>
      <c r="G2167">
        <v>0</v>
      </c>
      <c r="H2167" t="s">
        <v>385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>
        <v>2429</v>
      </c>
      <c r="B2168">
        <v>1954</v>
      </c>
      <c r="C2168" t="s">
        <v>29</v>
      </c>
      <c r="D2168" t="s">
        <v>37</v>
      </c>
      <c r="E2168">
        <v>72071</v>
      </c>
      <c r="F2168">
        <v>0</v>
      </c>
      <c r="G2168">
        <v>1</v>
      </c>
      <c r="H2168" t="s">
        <v>326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>
        <v>3520</v>
      </c>
      <c r="B2169">
        <v>1990</v>
      </c>
      <c r="C2169" t="s">
        <v>36</v>
      </c>
      <c r="D2169" t="s">
        <v>30</v>
      </c>
      <c r="E2169">
        <v>91172</v>
      </c>
      <c r="F2169">
        <v>0</v>
      </c>
      <c r="G2169">
        <v>0</v>
      </c>
      <c r="H2169" t="s">
        <v>237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25">
      <c r="A2170">
        <v>10394</v>
      </c>
      <c r="B2170">
        <v>1984</v>
      </c>
      <c r="C2170" t="s">
        <v>29</v>
      </c>
      <c r="D2170" t="s">
        <v>34</v>
      </c>
      <c r="E2170">
        <v>90000</v>
      </c>
      <c r="F2170">
        <v>0</v>
      </c>
      <c r="G2170">
        <v>0</v>
      </c>
      <c r="H2170" t="s">
        <v>261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25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t="s">
        <v>80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s="2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>
        <v>3968</v>
      </c>
      <c r="B2173">
        <v>1970</v>
      </c>
      <c r="C2173" t="s">
        <v>46</v>
      </c>
      <c r="D2173" t="s">
        <v>37</v>
      </c>
      <c r="E2173">
        <v>65706</v>
      </c>
      <c r="F2173">
        <v>0</v>
      </c>
      <c r="G2173">
        <v>0</v>
      </c>
      <c r="H2173" t="s">
        <v>377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25">
      <c r="A2174">
        <v>4084</v>
      </c>
      <c r="B2174">
        <v>1975</v>
      </c>
      <c r="C2174" t="s">
        <v>29</v>
      </c>
      <c r="D2174" t="s">
        <v>31</v>
      </c>
      <c r="E2174">
        <v>60934</v>
      </c>
      <c r="F2174">
        <v>0</v>
      </c>
      <c r="G2174">
        <v>1</v>
      </c>
      <c r="H2174" t="s">
        <v>418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>
        <v>6721</v>
      </c>
      <c r="B2175">
        <v>1951</v>
      </c>
      <c r="C2175" t="s">
        <v>29</v>
      </c>
      <c r="D2175" t="s">
        <v>34</v>
      </c>
      <c r="E2175">
        <v>71965</v>
      </c>
      <c r="F2175">
        <v>0</v>
      </c>
      <c r="G2175">
        <v>1</v>
      </c>
      <c r="H2175" t="s">
        <v>185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>
        <v>2829</v>
      </c>
      <c r="B2176">
        <v>1955</v>
      </c>
      <c r="C2176" t="s">
        <v>29</v>
      </c>
      <c r="D2176" t="s">
        <v>34</v>
      </c>
      <c r="E2176">
        <v>65210</v>
      </c>
      <c r="F2176">
        <v>0</v>
      </c>
      <c r="G2176">
        <v>1</v>
      </c>
      <c r="H2176" s="2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>
        <v>1772</v>
      </c>
      <c r="B2177">
        <v>1975</v>
      </c>
      <c r="C2177" t="s">
        <v>33</v>
      </c>
      <c r="D2177" t="s">
        <v>34</v>
      </c>
      <c r="E2177">
        <v>79174</v>
      </c>
      <c r="F2177">
        <v>0</v>
      </c>
      <c r="G2177">
        <v>0</v>
      </c>
      <c r="H2177" s="2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25">
      <c r="A2178">
        <v>1544</v>
      </c>
      <c r="B2178">
        <v>1967</v>
      </c>
      <c r="C2178" t="s">
        <v>36</v>
      </c>
      <c r="D2178" t="s">
        <v>37</v>
      </c>
      <c r="E2178">
        <v>81380</v>
      </c>
      <c r="F2178">
        <v>0</v>
      </c>
      <c r="G2178">
        <v>0</v>
      </c>
      <c r="H2178" t="s">
        <v>195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>
        <v>492</v>
      </c>
      <c r="B2179">
        <v>1973</v>
      </c>
      <c r="C2179" t="s">
        <v>33</v>
      </c>
      <c r="D2179" t="s">
        <v>440</v>
      </c>
      <c r="E2179">
        <v>48432</v>
      </c>
      <c r="F2179">
        <v>0</v>
      </c>
      <c r="G2179">
        <v>1</v>
      </c>
      <c r="H2179" t="s">
        <v>106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>
        <v>4377</v>
      </c>
      <c r="B2180">
        <v>1971</v>
      </c>
      <c r="C2180" t="s">
        <v>29</v>
      </c>
      <c r="D2180" t="s">
        <v>34</v>
      </c>
      <c r="E2180">
        <v>52914</v>
      </c>
      <c r="F2180">
        <v>0</v>
      </c>
      <c r="G2180">
        <v>1</v>
      </c>
      <c r="H2180" s="2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>
        <v>4541</v>
      </c>
      <c r="B2181">
        <v>1955</v>
      </c>
      <c r="C2181" t="s">
        <v>29</v>
      </c>
      <c r="D2181" t="s">
        <v>31</v>
      </c>
      <c r="E2181">
        <v>38946</v>
      </c>
      <c r="F2181">
        <v>0</v>
      </c>
      <c r="G2181">
        <v>1</v>
      </c>
      <c r="H2181" t="s">
        <v>298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>
        <v>1321</v>
      </c>
      <c r="B2182">
        <v>1974</v>
      </c>
      <c r="C2182" t="s">
        <v>29</v>
      </c>
      <c r="D2182" t="s">
        <v>34</v>
      </c>
      <c r="E2182">
        <v>26067</v>
      </c>
      <c r="F2182">
        <v>1</v>
      </c>
      <c r="G2182">
        <v>0</v>
      </c>
      <c r="H2182" s="2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>
        <v>8858</v>
      </c>
      <c r="B2183">
        <v>1972</v>
      </c>
      <c r="C2183" t="s">
        <v>33</v>
      </c>
      <c r="D2183" t="s">
        <v>34</v>
      </c>
      <c r="E2183">
        <v>44325</v>
      </c>
      <c r="F2183">
        <v>0</v>
      </c>
      <c r="G2183">
        <v>1</v>
      </c>
      <c r="H2183" s="2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>
        <v>3266</v>
      </c>
      <c r="B2184">
        <v>1964</v>
      </c>
      <c r="C2184" t="s">
        <v>29</v>
      </c>
      <c r="D2184" t="s">
        <v>34</v>
      </c>
      <c r="E2184">
        <v>42523</v>
      </c>
      <c r="F2184">
        <v>0</v>
      </c>
      <c r="G2184">
        <v>0</v>
      </c>
      <c r="H2184" t="s">
        <v>356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>
        <v>11187</v>
      </c>
      <c r="B2185">
        <v>1978</v>
      </c>
      <c r="C2185" t="s">
        <v>41</v>
      </c>
      <c r="D2185" t="s">
        <v>30</v>
      </c>
      <c r="E2185">
        <v>26487</v>
      </c>
      <c r="F2185">
        <v>1</v>
      </c>
      <c r="G2185">
        <v>0</v>
      </c>
      <c r="H2185" t="s">
        <v>156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25">
      <c r="A2186">
        <v>8207</v>
      </c>
      <c r="B2186">
        <v>1957</v>
      </c>
      <c r="C2186" t="s">
        <v>46</v>
      </c>
      <c r="D2186" t="s">
        <v>34</v>
      </c>
      <c r="E2186">
        <v>53233</v>
      </c>
      <c r="F2186">
        <v>0</v>
      </c>
      <c r="G2186">
        <v>1</v>
      </c>
      <c r="H2186" t="s">
        <v>138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>
        <v>9723</v>
      </c>
      <c r="B2187">
        <v>1960</v>
      </c>
      <c r="C2187" t="s">
        <v>29</v>
      </c>
      <c r="D2187" t="s">
        <v>34</v>
      </c>
      <c r="E2187">
        <v>67716</v>
      </c>
      <c r="F2187">
        <v>0</v>
      </c>
      <c r="G2187">
        <v>1</v>
      </c>
      <c r="H2187" s="2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>
        <v>2666</v>
      </c>
      <c r="B2188">
        <v>1972</v>
      </c>
      <c r="C2188" t="s">
        <v>36</v>
      </c>
      <c r="D2188" t="s">
        <v>34</v>
      </c>
      <c r="E2188">
        <v>76234</v>
      </c>
      <c r="F2188">
        <v>0</v>
      </c>
      <c r="G2188">
        <v>1</v>
      </c>
      <c r="H2188" s="2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5">
      <c r="A2189">
        <v>5721</v>
      </c>
      <c r="B2189">
        <v>1956</v>
      </c>
      <c r="C2189" t="s">
        <v>33</v>
      </c>
      <c r="D2189" t="s">
        <v>34</v>
      </c>
      <c r="E2189">
        <v>84117</v>
      </c>
      <c r="F2189">
        <v>0</v>
      </c>
      <c r="G2189">
        <v>0</v>
      </c>
      <c r="H2189" s="2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>
        <v>10652</v>
      </c>
      <c r="B2190">
        <v>1957</v>
      </c>
      <c r="C2190" t="s">
        <v>36</v>
      </c>
      <c r="D2190" t="s">
        <v>31</v>
      </c>
      <c r="E2190">
        <v>65487</v>
      </c>
      <c r="F2190">
        <v>0</v>
      </c>
      <c r="G2190">
        <v>0</v>
      </c>
      <c r="H2190" s="2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>
        <v>1646</v>
      </c>
      <c r="B2191">
        <v>1972</v>
      </c>
      <c r="C2191" t="s">
        <v>41</v>
      </c>
      <c r="D2191" t="s">
        <v>34</v>
      </c>
      <c r="E2191">
        <v>25224</v>
      </c>
      <c r="F2191">
        <v>1</v>
      </c>
      <c r="G2191">
        <v>0</v>
      </c>
      <c r="H2191" t="s">
        <v>396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>
        <v>4418</v>
      </c>
      <c r="B2192">
        <v>1983</v>
      </c>
      <c r="C2192" t="s">
        <v>36</v>
      </c>
      <c r="D2192" t="s">
        <v>30</v>
      </c>
      <c r="E2192">
        <v>89616</v>
      </c>
      <c r="F2192">
        <v>0</v>
      </c>
      <c r="G2192">
        <v>0</v>
      </c>
      <c r="H2192" t="s">
        <v>365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25">
      <c r="A2193">
        <v>2656</v>
      </c>
      <c r="B2193">
        <v>1971</v>
      </c>
      <c r="C2193" t="s">
        <v>29</v>
      </c>
      <c r="D2193" t="s">
        <v>37</v>
      </c>
      <c r="E2193">
        <v>40851</v>
      </c>
      <c r="F2193">
        <v>1</v>
      </c>
      <c r="G2193">
        <v>1</v>
      </c>
      <c r="H2193" t="s">
        <v>274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25">
      <c r="A2194">
        <v>7990</v>
      </c>
      <c r="B2194">
        <v>1947</v>
      </c>
      <c r="C2194" t="s">
        <v>29</v>
      </c>
      <c r="D2194" t="s">
        <v>34</v>
      </c>
      <c r="E2194">
        <v>27469</v>
      </c>
      <c r="F2194">
        <v>0</v>
      </c>
      <c r="G2194">
        <v>0</v>
      </c>
      <c r="H2194" s="2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>
        <v>8722</v>
      </c>
      <c r="B2195">
        <v>1957</v>
      </c>
      <c r="C2195" t="s">
        <v>46</v>
      </c>
      <c r="D2195" t="s">
        <v>34</v>
      </c>
      <c r="E2195">
        <v>82347</v>
      </c>
      <c r="F2195">
        <v>0</v>
      </c>
      <c r="G2195">
        <v>0</v>
      </c>
      <c r="H2195" s="2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>
        <v>7118</v>
      </c>
      <c r="B2196">
        <v>1957</v>
      </c>
      <c r="C2196" t="s">
        <v>29</v>
      </c>
      <c r="D2196" t="s">
        <v>34</v>
      </c>
      <c r="E2196">
        <v>73803</v>
      </c>
      <c r="F2196">
        <v>0</v>
      </c>
      <c r="G2196">
        <v>1</v>
      </c>
      <c r="H2196" s="2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25">
      <c r="A2197">
        <v>2980</v>
      </c>
      <c r="B2197">
        <v>1952</v>
      </c>
      <c r="C2197" t="s">
        <v>36</v>
      </c>
      <c r="D2197" t="s">
        <v>30</v>
      </c>
      <c r="E2197">
        <v>8820</v>
      </c>
      <c r="F2197">
        <v>1</v>
      </c>
      <c r="G2197">
        <v>1</v>
      </c>
      <c r="H2197" t="s">
        <v>324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5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t="s">
        <v>116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>
        <v>10722</v>
      </c>
      <c r="B2199">
        <v>1973</v>
      </c>
      <c r="C2199" t="s">
        <v>29</v>
      </c>
      <c r="D2199" t="s">
        <v>31</v>
      </c>
      <c r="E2199">
        <v>55593</v>
      </c>
      <c r="F2199">
        <v>0</v>
      </c>
      <c r="G2199">
        <v>1</v>
      </c>
      <c r="H2199" t="s">
        <v>32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>
        <v>2632</v>
      </c>
      <c r="B2200">
        <v>1954</v>
      </c>
      <c r="C2200" t="s">
        <v>29</v>
      </c>
      <c r="D2200" t="s">
        <v>34</v>
      </c>
      <c r="E2200">
        <v>50501</v>
      </c>
      <c r="F2200">
        <v>1</v>
      </c>
      <c r="G2200">
        <v>1</v>
      </c>
      <c r="H2200" t="s">
        <v>318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25">
      <c r="A2201">
        <v>9014</v>
      </c>
      <c r="B2201">
        <v>1975</v>
      </c>
      <c r="C2201" t="s">
        <v>29</v>
      </c>
      <c r="D2201" t="s">
        <v>34</v>
      </c>
      <c r="E2201">
        <v>37085</v>
      </c>
      <c r="F2201">
        <v>1</v>
      </c>
      <c r="G2201">
        <v>1</v>
      </c>
      <c r="H2201" t="s">
        <v>167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>
        <v>7620</v>
      </c>
      <c r="B2202">
        <v>1990</v>
      </c>
      <c r="C2202" t="s">
        <v>41</v>
      </c>
      <c r="D2202" t="s">
        <v>30</v>
      </c>
      <c r="E2202">
        <v>16185</v>
      </c>
      <c r="F2202">
        <v>1</v>
      </c>
      <c r="G2202">
        <v>0</v>
      </c>
      <c r="H2202" s="2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t="s">
        <v>165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>
        <v>11133</v>
      </c>
      <c r="B2204">
        <v>1973</v>
      </c>
      <c r="C2204" t="s">
        <v>33</v>
      </c>
      <c r="D2204" t="s">
        <v>440</v>
      </c>
      <c r="E2204">
        <v>48432</v>
      </c>
      <c r="F2204">
        <v>0</v>
      </c>
      <c r="G2204">
        <v>1</v>
      </c>
      <c r="H2204" t="s">
        <v>106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25">
      <c r="A2205">
        <v>2736</v>
      </c>
      <c r="B2205">
        <v>1978</v>
      </c>
      <c r="C2205" t="s">
        <v>29</v>
      </c>
      <c r="D2205" t="s">
        <v>34</v>
      </c>
      <c r="E2205">
        <v>73807</v>
      </c>
      <c r="F2205">
        <v>0</v>
      </c>
      <c r="G2205">
        <v>1</v>
      </c>
      <c r="H2205" s="2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5">
      <c r="A2206">
        <v>1876</v>
      </c>
      <c r="B2206">
        <v>1990</v>
      </c>
      <c r="C2206" t="s">
        <v>29</v>
      </c>
      <c r="D2206" t="s">
        <v>34</v>
      </c>
      <c r="E2206">
        <v>18929</v>
      </c>
      <c r="F2206">
        <v>0</v>
      </c>
      <c r="G2206">
        <v>0</v>
      </c>
      <c r="H2206" t="s">
        <v>229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t="s">
        <v>168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>
        <v>1092</v>
      </c>
      <c r="B2208">
        <v>1980</v>
      </c>
      <c r="C2208" t="s">
        <v>29</v>
      </c>
      <c r="D2208" t="s">
        <v>34</v>
      </c>
      <c r="E2208">
        <v>61014</v>
      </c>
      <c r="F2208">
        <v>0</v>
      </c>
      <c r="G2208">
        <v>1</v>
      </c>
      <c r="H2208" s="2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>
        <v>4333</v>
      </c>
      <c r="B2209">
        <v>1954</v>
      </c>
      <c r="C2209" t="s">
        <v>29</v>
      </c>
      <c r="D2209" t="s">
        <v>31</v>
      </c>
      <c r="E2209">
        <v>32144</v>
      </c>
      <c r="F2209">
        <v>1</v>
      </c>
      <c r="G2209">
        <v>1</v>
      </c>
      <c r="H2209" t="s">
        <v>81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>
        <v>3850</v>
      </c>
      <c r="B2210">
        <v>1963</v>
      </c>
      <c r="C2210" t="s">
        <v>41</v>
      </c>
      <c r="D2210" t="s">
        <v>31</v>
      </c>
      <c r="E2210">
        <v>14918</v>
      </c>
      <c r="F2210">
        <v>0</v>
      </c>
      <c r="G2210">
        <v>1</v>
      </c>
      <c r="H2210" s="2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>
        <v>6168</v>
      </c>
      <c r="B2211">
        <v>1963</v>
      </c>
      <c r="C2211" t="s">
        <v>29</v>
      </c>
      <c r="D2211" t="s">
        <v>37</v>
      </c>
      <c r="E2211">
        <v>45146</v>
      </c>
      <c r="F2211">
        <v>1</v>
      </c>
      <c r="G2211">
        <v>1</v>
      </c>
      <c r="H2211" t="s">
        <v>427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>
        <v>607</v>
      </c>
      <c r="B2212">
        <v>1955</v>
      </c>
      <c r="C2212" t="s">
        <v>46</v>
      </c>
      <c r="D2212" t="s">
        <v>37</v>
      </c>
      <c r="E2212">
        <v>41769</v>
      </c>
      <c r="F2212">
        <v>0</v>
      </c>
      <c r="G2212">
        <v>1</v>
      </c>
      <c r="H2212" t="s">
        <v>188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>
        <v>10469</v>
      </c>
      <c r="B2213">
        <v>1981</v>
      </c>
      <c r="C2213" t="s">
        <v>29</v>
      </c>
      <c r="D2213" t="s">
        <v>31</v>
      </c>
      <c r="E2213">
        <v>88325</v>
      </c>
      <c r="F2213">
        <v>0</v>
      </c>
      <c r="G2213">
        <v>0</v>
      </c>
      <c r="H2213" s="2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>
        <v>6983</v>
      </c>
      <c r="B2214">
        <v>1950</v>
      </c>
      <c r="C2214" t="s">
        <v>36</v>
      </c>
      <c r="D2214" t="s">
        <v>37</v>
      </c>
      <c r="E2214">
        <v>38054</v>
      </c>
      <c r="F2214">
        <v>1</v>
      </c>
      <c r="G2214">
        <v>1</v>
      </c>
      <c r="H2214" s="2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>
        <v>3661</v>
      </c>
      <c r="B2215">
        <v>1995</v>
      </c>
      <c r="C2215" t="s">
        <v>46</v>
      </c>
      <c r="D2215" t="s">
        <v>30</v>
      </c>
      <c r="E2215">
        <v>80617</v>
      </c>
      <c r="F2215">
        <v>0</v>
      </c>
      <c r="G2215">
        <v>0</v>
      </c>
      <c r="H2215" s="2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>
        <v>9303</v>
      </c>
      <c r="B2216">
        <v>1976</v>
      </c>
      <c r="C2216" t="s">
        <v>29</v>
      </c>
      <c r="D2216" t="s">
        <v>34</v>
      </c>
      <c r="E2216">
        <v>5305</v>
      </c>
      <c r="F2216">
        <v>0</v>
      </c>
      <c r="G2216">
        <v>1</v>
      </c>
      <c r="H2216" t="s">
        <v>357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>
        <v>692</v>
      </c>
      <c r="B2217">
        <v>1954</v>
      </c>
      <c r="C2217" t="s">
        <v>29</v>
      </c>
      <c r="D2217" t="s">
        <v>31</v>
      </c>
      <c r="E2217">
        <v>36807</v>
      </c>
      <c r="F2217">
        <v>1</v>
      </c>
      <c r="G2217">
        <v>1</v>
      </c>
      <c r="H2217" t="s">
        <v>441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5">
      <c r="A2218">
        <v>736</v>
      </c>
      <c r="B2218">
        <v>1983</v>
      </c>
      <c r="C2218" t="s">
        <v>29</v>
      </c>
      <c r="D2218" t="s">
        <v>31</v>
      </c>
      <c r="E2218">
        <v>28427</v>
      </c>
      <c r="F2218">
        <v>1</v>
      </c>
      <c r="G2218">
        <v>0</v>
      </c>
      <c r="H2218" t="s">
        <v>379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>
        <v>9589</v>
      </c>
      <c r="B2219">
        <v>1948</v>
      </c>
      <c r="C2219" t="s">
        <v>33</v>
      </c>
      <c r="D2219" t="s">
        <v>57</v>
      </c>
      <c r="E2219">
        <v>82032</v>
      </c>
      <c r="F2219">
        <v>0</v>
      </c>
      <c r="G2219">
        <v>0</v>
      </c>
      <c r="H2219" s="2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>
        <v>4838</v>
      </c>
      <c r="B2220">
        <v>1978</v>
      </c>
      <c r="C2220" t="s">
        <v>29</v>
      </c>
      <c r="D2220" t="s">
        <v>31</v>
      </c>
      <c r="E2220">
        <v>22775</v>
      </c>
      <c r="F2220">
        <v>1</v>
      </c>
      <c r="G2220">
        <v>0</v>
      </c>
      <c r="H2220" t="s">
        <v>169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25">
      <c r="A2221">
        <v>9246</v>
      </c>
      <c r="B2221">
        <v>1985</v>
      </c>
      <c r="C2221" t="s">
        <v>36</v>
      </c>
      <c r="D2221" t="s">
        <v>31</v>
      </c>
      <c r="E2221">
        <v>40101</v>
      </c>
      <c r="F2221">
        <v>1</v>
      </c>
      <c r="G2221">
        <v>0</v>
      </c>
      <c r="H2221" t="s">
        <v>347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5">
      <c r="A2222">
        <v>6261</v>
      </c>
      <c r="B2222">
        <v>1979</v>
      </c>
      <c r="C2222" t="s">
        <v>29</v>
      </c>
      <c r="D2222" t="s">
        <v>34</v>
      </c>
      <c r="E2222">
        <v>58025</v>
      </c>
      <c r="F2222">
        <v>0</v>
      </c>
      <c r="G2222">
        <v>1</v>
      </c>
      <c r="H2222" t="s">
        <v>423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>
        <v>7366</v>
      </c>
      <c r="B2223">
        <v>1982</v>
      </c>
      <c r="C2223" t="s">
        <v>36</v>
      </c>
      <c r="D2223" t="s">
        <v>30</v>
      </c>
      <c r="E2223">
        <v>75777</v>
      </c>
      <c r="F2223">
        <v>0</v>
      </c>
      <c r="G2223">
        <v>0</v>
      </c>
      <c r="H2223" s="2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25">
      <c r="A2224">
        <v>10659</v>
      </c>
      <c r="B2224">
        <v>1979</v>
      </c>
      <c r="C2224" t="s">
        <v>46</v>
      </c>
      <c r="D2224" t="s">
        <v>31</v>
      </c>
      <c r="E2224">
        <v>7500</v>
      </c>
      <c r="F2224">
        <v>1</v>
      </c>
      <c r="G2224">
        <v>0</v>
      </c>
      <c r="H2224" s="2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>
        <v>1448</v>
      </c>
      <c r="B2225">
        <v>1963</v>
      </c>
      <c r="C2225" t="s">
        <v>36</v>
      </c>
      <c r="D2225" t="s">
        <v>34</v>
      </c>
      <c r="E2225">
        <v>33562</v>
      </c>
      <c r="F2225">
        <v>1</v>
      </c>
      <c r="G2225">
        <v>2</v>
      </c>
      <c r="H2225" t="s">
        <v>90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>
        <v>4286</v>
      </c>
      <c r="B2226">
        <v>1970</v>
      </c>
      <c r="C2226" t="s">
        <v>33</v>
      </c>
      <c r="D2226" t="s">
        <v>30</v>
      </c>
      <c r="E2226">
        <v>57642</v>
      </c>
      <c r="F2226">
        <v>0</v>
      </c>
      <c r="G2226">
        <v>1</v>
      </c>
      <c r="H2226" s="2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>
        <v>4749</v>
      </c>
      <c r="B2227">
        <v>1968</v>
      </c>
      <c r="C2227" t="s">
        <v>29</v>
      </c>
      <c r="D2227" t="s">
        <v>31</v>
      </c>
      <c r="E2227">
        <v>58554</v>
      </c>
      <c r="F2227">
        <v>1</v>
      </c>
      <c r="G2227">
        <v>1</v>
      </c>
      <c r="H2227" t="s">
        <v>391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>
        <v>4478</v>
      </c>
      <c r="B2228">
        <v>1979</v>
      </c>
      <c r="C2228" t="s">
        <v>29</v>
      </c>
      <c r="D2228" t="s">
        <v>34</v>
      </c>
      <c r="E2228">
        <v>63777</v>
      </c>
      <c r="F2228">
        <v>1</v>
      </c>
      <c r="G2228">
        <v>1</v>
      </c>
      <c r="H2228" t="s">
        <v>338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s="2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5">
      <c r="A2230">
        <v>8720</v>
      </c>
      <c r="B2230">
        <v>1978</v>
      </c>
      <c r="C2230" t="s">
        <v>46</v>
      </c>
      <c r="D2230" t="s">
        <v>31</v>
      </c>
      <c r="F2230">
        <v>0</v>
      </c>
      <c r="G2230">
        <v>0</v>
      </c>
      <c r="H2230" s="2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>
        <v>10084</v>
      </c>
      <c r="B2231">
        <v>1972</v>
      </c>
      <c r="C2231" t="s">
        <v>29</v>
      </c>
      <c r="D2231" t="s">
        <v>34</v>
      </c>
      <c r="E2231">
        <v>24434</v>
      </c>
      <c r="F2231">
        <v>2</v>
      </c>
      <c r="G2231">
        <v>0</v>
      </c>
      <c r="H2231" t="s">
        <v>238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t="s">
        <v>201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5">
      <c r="A2233">
        <v>9817</v>
      </c>
      <c r="B2233">
        <v>1970</v>
      </c>
      <c r="C2233" t="s">
        <v>36</v>
      </c>
      <c r="D2233" t="s">
        <v>30</v>
      </c>
      <c r="E2233">
        <v>44802</v>
      </c>
      <c r="F2233">
        <v>0</v>
      </c>
      <c r="G2233">
        <v>0</v>
      </c>
      <c r="H2233" t="s">
        <v>200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t="s">
        <v>155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>
        <v>9432</v>
      </c>
      <c r="B2235">
        <v>1977</v>
      </c>
      <c r="C2235" t="s">
        <v>29</v>
      </c>
      <c r="D2235" t="s">
        <v>31</v>
      </c>
      <c r="E2235">
        <v>666666</v>
      </c>
      <c r="F2235">
        <v>1</v>
      </c>
      <c r="G2235">
        <v>0</v>
      </c>
      <c r="H2235" s="2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>
        <v>8372</v>
      </c>
      <c r="B2236">
        <v>1974</v>
      </c>
      <c r="C2236" t="s">
        <v>29</v>
      </c>
      <c r="D2236" t="s">
        <v>34</v>
      </c>
      <c r="E2236">
        <v>34421</v>
      </c>
      <c r="F2236">
        <v>1</v>
      </c>
      <c r="G2236">
        <v>0</v>
      </c>
      <c r="H2236" s="2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>
        <v>10870</v>
      </c>
      <c r="B2237">
        <v>1967</v>
      </c>
      <c r="C2237" t="s">
        <v>29</v>
      </c>
      <c r="D2237" t="s">
        <v>34</v>
      </c>
      <c r="E2237">
        <v>61223</v>
      </c>
      <c r="F2237">
        <v>0</v>
      </c>
      <c r="G2237">
        <v>1</v>
      </c>
      <c r="H2237" t="s">
        <v>173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>
        <v>4001</v>
      </c>
      <c r="B2238">
        <v>1946</v>
      </c>
      <c r="C2238" t="s">
        <v>33</v>
      </c>
      <c r="D2238" t="s">
        <v>31</v>
      </c>
      <c r="E2238">
        <v>64014</v>
      </c>
      <c r="F2238">
        <v>2</v>
      </c>
      <c r="G2238">
        <v>1</v>
      </c>
      <c r="H2238" s="2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>
        <v>7270</v>
      </c>
      <c r="B2239">
        <v>1981</v>
      </c>
      <c r="C2239" t="s">
        <v>29</v>
      </c>
      <c r="D2239" t="s">
        <v>37</v>
      </c>
      <c r="E2239">
        <v>56981</v>
      </c>
      <c r="F2239">
        <v>0</v>
      </c>
      <c r="G2239">
        <v>0</v>
      </c>
      <c r="H2239" t="s">
        <v>309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>
        <v>8235</v>
      </c>
      <c r="B2240">
        <v>1956</v>
      </c>
      <c r="C2240" t="s">
        <v>36</v>
      </c>
      <c r="D2240" t="s">
        <v>31</v>
      </c>
      <c r="E2240">
        <v>69245</v>
      </c>
      <c r="F2240">
        <v>0</v>
      </c>
      <c r="G2240">
        <v>1</v>
      </c>
      <c r="H2240" t="s">
        <v>91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>
        <v>9405</v>
      </c>
      <c r="B2241">
        <v>1954</v>
      </c>
      <c r="C2241" t="s">
        <v>33</v>
      </c>
      <c r="D2241" t="s">
        <v>34</v>
      </c>
      <c r="E2241">
        <v>52869</v>
      </c>
      <c r="F2241">
        <v>1</v>
      </c>
      <c r="G2241">
        <v>1</v>
      </c>
      <c r="H2241" t="s">
        <v>168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conditionalFormatting sqref="A2:A2241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6912-FBAA-4B50-8263-F9E2D1A73F1C}">
  <dimension ref="A1:AE2241"/>
  <sheetViews>
    <sheetView workbookViewId="0">
      <selection activeCell="A11" sqref="A11"/>
    </sheetView>
  </sheetViews>
  <sheetFormatPr defaultRowHeight="15" x14ac:dyDescent="0.25"/>
  <cols>
    <col min="2" max="2" width="12" customWidth="1"/>
    <col min="3" max="3" width="14.28515625" bestFit="1" customWidth="1"/>
    <col min="4" max="4" width="15.7109375" customWidth="1"/>
    <col min="5" max="5" width="24.140625" bestFit="1" customWidth="1"/>
    <col min="6" max="6" width="12.5703125" style="7" bestFit="1" customWidth="1"/>
    <col min="7" max="7" width="7" style="8" bestFit="1" customWidth="1"/>
    <col min="8" max="8" width="8.42578125" style="8" bestFit="1" customWidth="1"/>
    <col min="9" max="9" width="21.85546875" style="8" bestFit="1" customWidth="1"/>
    <col min="10" max="10" width="22.28515625" style="9" bestFit="1" customWidth="1"/>
    <col min="11" max="11" width="26" style="8" bestFit="1" customWidth="1"/>
    <col min="12" max="12" width="10.5703125" style="6" bestFit="1" customWidth="1"/>
    <col min="13" max="13" width="8.42578125" style="5" bestFit="1" customWidth="1"/>
    <col min="14" max="14" width="9.140625" style="5" bestFit="1" customWidth="1"/>
    <col min="15" max="15" width="7.5703125" style="5" bestFit="1" customWidth="1"/>
    <col min="16" max="16" width="17.7109375" style="5" bestFit="1" customWidth="1"/>
    <col min="17" max="17" width="7.5703125" style="5" bestFit="1" customWidth="1"/>
    <col min="18" max="18" width="21.5703125" style="8" bestFit="1" customWidth="1"/>
    <col min="19" max="19" width="20.85546875" style="8" bestFit="1" customWidth="1"/>
    <col min="20" max="20" width="20.140625" style="8" bestFit="1" customWidth="1"/>
    <col min="21" max="21" width="18.28515625" style="8" bestFit="1" customWidth="1"/>
    <col min="22" max="22" width="16.28515625" style="8" bestFit="1" customWidth="1"/>
    <col min="23" max="26" width="22.28515625" bestFit="1" customWidth="1"/>
    <col min="27" max="27" width="23.28515625" bestFit="1" customWidth="1"/>
    <col min="28" max="28" width="11.7109375" customWidth="1"/>
    <col min="29" max="29" width="15.5703125" style="10" customWidth="1"/>
    <col min="30" max="30" width="12.28515625" style="10" customWidth="1"/>
    <col min="31" max="31" width="11.7109375" customWidth="1"/>
  </cols>
  <sheetData>
    <row r="1" spans="1:31" x14ac:dyDescent="0.25">
      <c r="A1" s="3" t="s">
        <v>443</v>
      </c>
      <c r="B1" s="4" t="s">
        <v>442</v>
      </c>
      <c r="C1" s="1" t="s">
        <v>444</v>
      </c>
      <c r="D1" s="1" t="s">
        <v>445</v>
      </c>
      <c r="E1" s="1" t="s">
        <v>467</v>
      </c>
      <c r="F1" s="7" t="s">
        <v>446</v>
      </c>
      <c r="G1" s="8" t="s">
        <v>447</v>
      </c>
      <c r="H1" s="8" t="s">
        <v>448</v>
      </c>
      <c r="I1" s="8" t="s">
        <v>476</v>
      </c>
      <c r="J1" s="9" t="s">
        <v>449</v>
      </c>
      <c r="K1" s="8" t="s">
        <v>465</v>
      </c>
      <c r="L1" s="6" t="s">
        <v>450</v>
      </c>
      <c r="M1" s="5" t="s">
        <v>451</v>
      </c>
      <c r="N1" s="5" t="s">
        <v>452</v>
      </c>
      <c r="O1" s="5" t="s">
        <v>453</v>
      </c>
      <c r="P1" s="5" t="s">
        <v>454</v>
      </c>
      <c r="Q1" s="5" t="s">
        <v>455</v>
      </c>
      <c r="R1" s="8" t="s">
        <v>456</v>
      </c>
      <c r="S1" s="8" t="s">
        <v>457</v>
      </c>
      <c r="T1" s="8" t="s">
        <v>458</v>
      </c>
      <c r="U1" s="8" t="s">
        <v>459</v>
      </c>
      <c r="V1" s="8" t="s">
        <v>468</v>
      </c>
      <c r="W1" t="s">
        <v>460</v>
      </c>
      <c r="X1" t="s">
        <v>461</v>
      </c>
      <c r="Y1" t="s">
        <v>462</v>
      </c>
      <c r="Z1" t="s">
        <v>475</v>
      </c>
      <c r="AA1" t="s">
        <v>463</v>
      </c>
      <c r="AB1" t="s">
        <v>471</v>
      </c>
      <c r="AC1" s="10" t="s">
        <v>470</v>
      </c>
      <c r="AD1" s="10" t="s">
        <v>469</v>
      </c>
      <c r="AE1" t="s">
        <v>472</v>
      </c>
    </row>
    <row r="2" spans="1:31" x14ac:dyDescent="0.25">
      <c r="A2">
        <v>5524</v>
      </c>
      <c r="B2">
        <v>1957</v>
      </c>
      <c r="C2" t="s">
        <v>466</v>
      </c>
      <c r="D2" t="s">
        <v>30</v>
      </c>
      <c r="E2" t="str">
        <f>IF(OR(Table1[[#This Row],[marital_status]]="Married", Table1[[#This Row],[marital_status]]="Together"), "Partnered", "Single")</f>
        <v>Single</v>
      </c>
      <c r="F2" s="7">
        <v>58138</v>
      </c>
      <c r="G2" s="8">
        <v>0</v>
      </c>
      <c r="H2" s="8">
        <v>0</v>
      </c>
      <c r="I2" s="8">
        <f>Table1[[#This Row],[kids]]+Table1[[#This Row],[teens]]</f>
        <v>0</v>
      </c>
      <c r="J2" s="9">
        <v>41156</v>
      </c>
      <c r="K2" s="8">
        <v>58</v>
      </c>
      <c r="L2" s="6">
        <v>635</v>
      </c>
      <c r="M2" s="5">
        <v>88</v>
      </c>
      <c r="N2" s="5">
        <v>546</v>
      </c>
      <c r="O2" s="5">
        <v>172</v>
      </c>
      <c r="P2" s="5">
        <v>88</v>
      </c>
      <c r="Q2" s="5">
        <v>88</v>
      </c>
      <c r="R2" s="8">
        <v>3</v>
      </c>
      <c r="S2" s="8">
        <v>8</v>
      </c>
      <c r="T2" s="8">
        <v>10</v>
      </c>
      <c r="U2" s="8">
        <v>4</v>
      </c>
      <c r="V2" s="8">
        <v>7</v>
      </c>
      <c r="W2" t="s">
        <v>473</v>
      </c>
      <c r="X2" t="s">
        <v>473</v>
      </c>
      <c r="Y2" t="s">
        <v>473</v>
      </c>
      <c r="Z2" t="s">
        <v>473</v>
      </c>
      <c r="AA2" t="s">
        <v>473</v>
      </c>
      <c r="AB2" t="s">
        <v>473</v>
      </c>
      <c r="AC2" s="10">
        <v>3</v>
      </c>
      <c r="AD2" s="10">
        <v>11</v>
      </c>
      <c r="AE2" t="s">
        <v>474</v>
      </c>
    </row>
    <row r="3" spans="1:31" x14ac:dyDescent="0.25">
      <c r="A3">
        <v>2174</v>
      </c>
      <c r="B3">
        <v>1954</v>
      </c>
      <c r="C3" t="s">
        <v>466</v>
      </c>
      <c r="D3" t="s">
        <v>30</v>
      </c>
      <c r="E3" t="str">
        <f>IF(OR(Table1[[#This Row],[marital_status]]="Married", Table1[[#This Row],[marital_status]]="Together"), "Partnered", "Single")</f>
        <v>Single</v>
      </c>
      <c r="F3" s="7">
        <v>46344</v>
      </c>
      <c r="G3" s="8">
        <v>1</v>
      </c>
      <c r="H3" s="8">
        <v>1</v>
      </c>
      <c r="I3" s="8">
        <f>Table1[[#This Row],[kids]]+Table1[[#This Row],[teens]]</f>
        <v>2</v>
      </c>
      <c r="J3" s="9">
        <v>41706</v>
      </c>
      <c r="K3" s="8">
        <v>38</v>
      </c>
      <c r="L3" s="6">
        <v>11</v>
      </c>
      <c r="M3" s="5">
        <v>1</v>
      </c>
      <c r="N3" s="5">
        <v>6</v>
      </c>
      <c r="O3" s="5">
        <v>2</v>
      </c>
      <c r="P3" s="5">
        <v>1</v>
      </c>
      <c r="Q3" s="5">
        <v>6</v>
      </c>
      <c r="R3" s="8">
        <v>2</v>
      </c>
      <c r="S3" s="8">
        <v>1</v>
      </c>
      <c r="T3" s="8">
        <v>1</v>
      </c>
      <c r="U3" s="8">
        <v>2</v>
      </c>
      <c r="V3" s="8">
        <v>5</v>
      </c>
      <c r="W3" t="s">
        <v>473</v>
      </c>
      <c r="X3" t="s">
        <v>473</v>
      </c>
      <c r="Y3" t="s">
        <v>473</v>
      </c>
      <c r="Z3" t="s">
        <v>473</v>
      </c>
      <c r="AA3" t="s">
        <v>473</v>
      </c>
      <c r="AB3" t="s">
        <v>473</v>
      </c>
      <c r="AC3" s="10">
        <v>3</v>
      </c>
      <c r="AD3" s="10">
        <v>11</v>
      </c>
      <c r="AE3" t="s">
        <v>473</v>
      </c>
    </row>
    <row r="4" spans="1:31" x14ac:dyDescent="0.25">
      <c r="A4">
        <v>4141</v>
      </c>
      <c r="B4">
        <v>1965</v>
      </c>
      <c r="C4" t="s">
        <v>466</v>
      </c>
      <c r="D4" t="s">
        <v>31</v>
      </c>
      <c r="E4" t="str">
        <f>IF(OR(Table1[[#This Row],[marital_status]]="Married", Table1[[#This Row],[marital_status]]="Together"), "Partnered", "Single")</f>
        <v>Partnered</v>
      </c>
      <c r="F4" s="7">
        <v>71613</v>
      </c>
      <c r="G4" s="8">
        <v>0</v>
      </c>
      <c r="H4" s="8">
        <v>0</v>
      </c>
      <c r="I4" s="8">
        <f>Table1[[#This Row],[kids]]+Table1[[#This Row],[teens]]</f>
        <v>0</v>
      </c>
      <c r="J4" s="9">
        <v>41507</v>
      </c>
      <c r="K4" s="8">
        <v>26</v>
      </c>
      <c r="L4" s="6">
        <v>426</v>
      </c>
      <c r="M4" s="5">
        <v>49</v>
      </c>
      <c r="N4" s="5">
        <v>127</v>
      </c>
      <c r="O4" s="5">
        <v>111</v>
      </c>
      <c r="P4" s="5">
        <v>21</v>
      </c>
      <c r="Q4" s="5">
        <v>42</v>
      </c>
      <c r="R4" s="8">
        <v>1</v>
      </c>
      <c r="S4" s="8">
        <v>8</v>
      </c>
      <c r="T4" s="8">
        <v>2</v>
      </c>
      <c r="U4" s="8">
        <v>10</v>
      </c>
      <c r="V4" s="8">
        <v>4</v>
      </c>
      <c r="W4" t="s">
        <v>473</v>
      </c>
      <c r="X4" t="s">
        <v>473</v>
      </c>
      <c r="Y4" t="s">
        <v>473</v>
      </c>
      <c r="Z4" t="s">
        <v>473</v>
      </c>
      <c r="AA4" t="s">
        <v>473</v>
      </c>
      <c r="AB4" t="s">
        <v>473</v>
      </c>
      <c r="AC4" s="10">
        <v>3</v>
      </c>
      <c r="AD4" s="10">
        <v>11</v>
      </c>
      <c r="AE4" t="s">
        <v>473</v>
      </c>
    </row>
    <row r="5" spans="1:31" x14ac:dyDescent="0.25">
      <c r="A5">
        <v>6182</v>
      </c>
      <c r="B5">
        <v>1984</v>
      </c>
      <c r="C5" t="s">
        <v>466</v>
      </c>
      <c r="D5" t="s">
        <v>31</v>
      </c>
      <c r="E5" t="str">
        <f>IF(OR(Table1[[#This Row],[marital_status]]="Married", Table1[[#This Row],[marital_status]]="Together"), "Partnered", "Single")</f>
        <v>Partnered</v>
      </c>
      <c r="F5" s="7">
        <v>26646</v>
      </c>
      <c r="G5" s="8">
        <v>1</v>
      </c>
      <c r="H5" s="8">
        <v>0</v>
      </c>
      <c r="I5" s="8">
        <f>Table1[[#This Row],[kids]]+Table1[[#This Row],[teens]]</f>
        <v>1</v>
      </c>
      <c r="J5" s="9">
        <v>41680</v>
      </c>
      <c r="K5" s="8">
        <v>26</v>
      </c>
      <c r="L5" s="6">
        <v>11</v>
      </c>
      <c r="M5" s="5">
        <v>4</v>
      </c>
      <c r="N5" s="5">
        <v>20</v>
      </c>
      <c r="O5" s="5">
        <v>10</v>
      </c>
      <c r="P5" s="5">
        <v>3</v>
      </c>
      <c r="Q5" s="5">
        <v>5</v>
      </c>
      <c r="R5" s="8">
        <v>2</v>
      </c>
      <c r="S5" s="8">
        <v>2</v>
      </c>
      <c r="T5" s="8">
        <v>0</v>
      </c>
      <c r="U5" s="8">
        <v>4</v>
      </c>
      <c r="V5" s="8">
        <v>6</v>
      </c>
      <c r="W5" t="s">
        <v>473</v>
      </c>
      <c r="X5" t="s">
        <v>473</v>
      </c>
      <c r="Y5" t="s">
        <v>473</v>
      </c>
      <c r="Z5" t="s">
        <v>473</v>
      </c>
      <c r="AA5" t="s">
        <v>473</v>
      </c>
      <c r="AB5" t="s">
        <v>473</v>
      </c>
      <c r="AC5" s="10">
        <v>3</v>
      </c>
      <c r="AD5" s="10">
        <v>11</v>
      </c>
      <c r="AE5" t="s">
        <v>473</v>
      </c>
    </row>
    <row r="6" spans="1:31" x14ac:dyDescent="0.25">
      <c r="A6">
        <v>5324</v>
      </c>
      <c r="B6">
        <v>1981</v>
      </c>
      <c r="C6" t="s">
        <v>33</v>
      </c>
      <c r="D6" t="s">
        <v>34</v>
      </c>
      <c r="E6" t="str">
        <f>IF(OR(Table1[[#This Row],[marital_status]]="Married", Table1[[#This Row],[marital_status]]="Together"), "Partnered", "Single")</f>
        <v>Partnered</v>
      </c>
      <c r="F6" s="7">
        <v>58293</v>
      </c>
      <c r="G6" s="8">
        <v>1</v>
      </c>
      <c r="H6" s="8">
        <v>0</v>
      </c>
      <c r="I6" s="8">
        <f>Table1[[#This Row],[kids]]+Table1[[#This Row],[teens]]</f>
        <v>1</v>
      </c>
      <c r="J6" s="9">
        <v>41658</v>
      </c>
      <c r="K6" s="8">
        <v>94</v>
      </c>
      <c r="L6" s="6">
        <v>173</v>
      </c>
      <c r="M6" s="5">
        <v>43</v>
      </c>
      <c r="N6" s="5">
        <v>118</v>
      </c>
      <c r="O6" s="5">
        <v>46</v>
      </c>
      <c r="P6" s="5">
        <v>27</v>
      </c>
      <c r="Q6" s="5">
        <v>15</v>
      </c>
      <c r="R6" s="8">
        <v>5</v>
      </c>
      <c r="S6" s="8">
        <v>5</v>
      </c>
      <c r="T6" s="8">
        <v>3</v>
      </c>
      <c r="U6" s="8">
        <v>6</v>
      </c>
      <c r="V6" s="8">
        <v>5</v>
      </c>
      <c r="W6" t="s">
        <v>473</v>
      </c>
      <c r="X6" t="s">
        <v>473</v>
      </c>
      <c r="Y6" t="s">
        <v>473</v>
      </c>
      <c r="Z6" t="s">
        <v>473</v>
      </c>
      <c r="AA6" t="s">
        <v>473</v>
      </c>
      <c r="AB6" t="s">
        <v>473</v>
      </c>
      <c r="AC6" s="10">
        <v>3</v>
      </c>
      <c r="AD6" s="10">
        <v>11</v>
      </c>
      <c r="AE6" t="s">
        <v>473</v>
      </c>
    </row>
    <row r="7" spans="1:31" x14ac:dyDescent="0.25">
      <c r="A7">
        <v>7446</v>
      </c>
      <c r="B7">
        <v>1967</v>
      </c>
      <c r="C7" t="s">
        <v>36</v>
      </c>
      <c r="D7" t="s">
        <v>31</v>
      </c>
      <c r="E7" t="str">
        <f>IF(OR(Table1[[#This Row],[marital_status]]="Married", Table1[[#This Row],[marital_status]]="Together"), "Partnered", "Single")</f>
        <v>Partnered</v>
      </c>
      <c r="F7" s="7">
        <v>62513</v>
      </c>
      <c r="G7" s="8">
        <v>0</v>
      </c>
      <c r="H7" s="8">
        <v>1</v>
      </c>
      <c r="I7" s="8">
        <f>Table1[[#This Row],[kids]]+Table1[[#This Row],[teens]]</f>
        <v>1</v>
      </c>
      <c r="J7" s="9">
        <v>41526</v>
      </c>
      <c r="K7" s="8">
        <v>16</v>
      </c>
      <c r="L7" s="6">
        <v>520</v>
      </c>
      <c r="M7" s="5">
        <v>42</v>
      </c>
      <c r="N7" s="5">
        <v>98</v>
      </c>
      <c r="O7" s="5">
        <v>0</v>
      </c>
      <c r="P7" s="5">
        <v>42</v>
      </c>
      <c r="Q7" s="5">
        <v>14</v>
      </c>
      <c r="R7" s="8">
        <v>2</v>
      </c>
      <c r="S7" s="8">
        <v>6</v>
      </c>
      <c r="T7" s="8">
        <v>4</v>
      </c>
      <c r="U7" s="8">
        <v>10</v>
      </c>
      <c r="V7" s="8">
        <v>6</v>
      </c>
      <c r="W7" t="s">
        <v>473</v>
      </c>
      <c r="X7" t="s">
        <v>473</v>
      </c>
      <c r="Y7" t="s">
        <v>473</v>
      </c>
      <c r="Z7" t="s">
        <v>473</v>
      </c>
      <c r="AA7" t="s">
        <v>473</v>
      </c>
      <c r="AB7" t="s">
        <v>473</v>
      </c>
      <c r="AC7" s="10">
        <v>3</v>
      </c>
      <c r="AD7" s="10">
        <v>11</v>
      </c>
      <c r="AE7" t="s">
        <v>473</v>
      </c>
    </row>
    <row r="8" spans="1:31" x14ac:dyDescent="0.25">
      <c r="A8">
        <v>965</v>
      </c>
      <c r="B8">
        <v>1971</v>
      </c>
      <c r="C8" t="s">
        <v>466</v>
      </c>
      <c r="D8" t="s">
        <v>37</v>
      </c>
      <c r="E8" t="str">
        <f>IF(OR(Table1[[#This Row],[marital_status]]="Married", Table1[[#This Row],[marital_status]]="Together"), "Partnered", "Single")</f>
        <v>Single</v>
      </c>
      <c r="F8" s="7">
        <v>55635</v>
      </c>
      <c r="G8" s="8">
        <v>0</v>
      </c>
      <c r="H8" s="8">
        <v>1</v>
      </c>
      <c r="I8" s="8">
        <f>Table1[[#This Row],[kids]]+Table1[[#This Row],[teens]]</f>
        <v>1</v>
      </c>
      <c r="J8" s="9">
        <v>41226</v>
      </c>
      <c r="K8" s="8">
        <v>34</v>
      </c>
      <c r="L8" s="6">
        <v>235</v>
      </c>
      <c r="M8" s="5">
        <v>65</v>
      </c>
      <c r="N8" s="5">
        <v>164</v>
      </c>
      <c r="O8" s="5">
        <v>50</v>
      </c>
      <c r="P8" s="5">
        <v>49</v>
      </c>
      <c r="Q8" s="5">
        <v>27</v>
      </c>
      <c r="R8" s="8">
        <v>4</v>
      </c>
      <c r="S8" s="8">
        <v>7</v>
      </c>
      <c r="T8" s="8">
        <v>3</v>
      </c>
      <c r="U8" s="8">
        <v>7</v>
      </c>
      <c r="V8" s="8">
        <v>6</v>
      </c>
      <c r="W8" t="s">
        <v>473</v>
      </c>
      <c r="X8" t="s">
        <v>473</v>
      </c>
      <c r="Y8" t="s">
        <v>473</v>
      </c>
      <c r="Z8" t="s">
        <v>473</v>
      </c>
      <c r="AA8" t="s">
        <v>473</v>
      </c>
      <c r="AB8" t="s">
        <v>473</v>
      </c>
      <c r="AC8" s="10">
        <v>3</v>
      </c>
      <c r="AD8" s="10">
        <v>11</v>
      </c>
      <c r="AE8" t="s">
        <v>473</v>
      </c>
    </row>
    <row r="9" spans="1:31" x14ac:dyDescent="0.25">
      <c r="A9">
        <v>6177</v>
      </c>
      <c r="B9">
        <v>1985</v>
      </c>
      <c r="C9" t="s">
        <v>33</v>
      </c>
      <c r="D9" t="s">
        <v>34</v>
      </c>
      <c r="E9" t="str">
        <f>IF(OR(Table1[[#This Row],[marital_status]]="Married", Table1[[#This Row],[marital_status]]="Together"), "Partnered", "Single")</f>
        <v>Partnered</v>
      </c>
      <c r="F9" s="7">
        <v>33454</v>
      </c>
      <c r="G9" s="8">
        <v>1</v>
      </c>
      <c r="H9" s="8">
        <v>0</v>
      </c>
      <c r="I9" s="8">
        <f>Table1[[#This Row],[kids]]+Table1[[#This Row],[teens]]</f>
        <v>1</v>
      </c>
      <c r="J9" s="9">
        <v>41402</v>
      </c>
      <c r="K9" s="8">
        <v>32</v>
      </c>
      <c r="L9" s="6">
        <v>76</v>
      </c>
      <c r="M9" s="5">
        <v>10</v>
      </c>
      <c r="N9" s="5">
        <v>56</v>
      </c>
      <c r="O9" s="5">
        <v>3</v>
      </c>
      <c r="P9" s="5">
        <v>1</v>
      </c>
      <c r="Q9" s="5">
        <v>23</v>
      </c>
      <c r="R9" s="8">
        <v>2</v>
      </c>
      <c r="S9" s="8">
        <v>4</v>
      </c>
      <c r="T9" s="8">
        <v>0</v>
      </c>
      <c r="U9" s="8">
        <v>4</v>
      </c>
      <c r="V9" s="8">
        <v>8</v>
      </c>
      <c r="W9" t="s">
        <v>473</v>
      </c>
      <c r="X9" t="s">
        <v>473</v>
      </c>
      <c r="Y9" t="s">
        <v>473</v>
      </c>
      <c r="Z9" t="s">
        <v>473</v>
      </c>
      <c r="AA9" t="s">
        <v>473</v>
      </c>
      <c r="AB9" t="s">
        <v>473</v>
      </c>
      <c r="AC9" s="10">
        <v>3</v>
      </c>
      <c r="AD9" s="10">
        <v>11</v>
      </c>
      <c r="AE9" t="s">
        <v>473</v>
      </c>
    </row>
    <row r="10" spans="1:31" x14ac:dyDescent="0.25">
      <c r="A10">
        <v>4855</v>
      </c>
      <c r="B10">
        <v>1974</v>
      </c>
      <c r="C10" t="s">
        <v>33</v>
      </c>
      <c r="D10" t="s">
        <v>31</v>
      </c>
      <c r="E10" t="str">
        <f>IF(OR(Table1[[#This Row],[marital_status]]="Married", Table1[[#This Row],[marital_status]]="Together"), "Partnered", "Single")</f>
        <v>Partnered</v>
      </c>
      <c r="F10" s="7">
        <v>30351</v>
      </c>
      <c r="G10" s="8">
        <v>1</v>
      </c>
      <c r="H10" s="8">
        <v>0</v>
      </c>
      <c r="I10" s="8">
        <f>Table1[[#This Row],[kids]]+Table1[[#This Row],[teens]]</f>
        <v>1</v>
      </c>
      <c r="J10" s="9">
        <v>41431</v>
      </c>
      <c r="K10" s="8">
        <v>19</v>
      </c>
      <c r="L10" s="6">
        <v>14</v>
      </c>
      <c r="M10" s="5">
        <v>0</v>
      </c>
      <c r="N10" s="5">
        <v>24</v>
      </c>
      <c r="O10" s="5">
        <v>3</v>
      </c>
      <c r="P10" s="5">
        <v>3</v>
      </c>
      <c r="Q10" s="5">
        <v>2</v>
      </c>
      <c r="R10" s="8">
        <v>1</v>
      </c>
      <c r="S10" s="8">
        <v>3</v>
      </c>
      <c r="T10" s="8">
        <v>0</v>
      </c>
      <c r="U10" s="8">
        <v>2</v>
      </c>
      <c r="V10" s="8">
        <v>9</v>
      </c>
      <c r="W10" t="s">
        <v>473</v>
      </c>
      <c r="X10" t="s">
        <v>473</v>
      </c>
      <c r="Y10" t="s">
        <v>473</v>
      </c>
      <c r="Z10" t="s">
        <v>473</v>
      </c>
      <c r="AA10" t="s">
        <v>473</v>
      </c>
      <c r="AB10" t="s">
        <v>473</v>
      </c>
      <c r="AC10" s="10">
        <v>3</v>
      </c>
      <c r="AD10" s="10">
        <v>11</v>
      </c>
      <c r="AE10" t="s">
        <v>474</v>
      </c>
    </row>
    <row r="11" spans="1:31" x14ac:dyDescent="0.25">
      <c r="A11">
        <v>5899</v>
      </c>
      <c r="B11">
        <v>1950</v>
      </c>
      <c r="C11" t="s">
        <v>33</v>
      </c>
      <c r="D11" t="s">
        <v>31</v>
      </c>
      <c r="E11" t="str">
        <f>IF(OR(Table1[[#This Row],[marital_status]]="Married", Table1[[#This Row],[marital_status]]="Together"), "Partnered", "Single")</f>
        <v>Partnered</v>
      </c>
      <c r="F11" s="7">
        <v>5648</v>
      </c>
      <c r="G11" s="8">
        <v>1</v>
      </c>
      <c r="H11" s="8">
        <v>1</v>
      </c>
      <c r="I11" s="8">
        <f>Table1[[#This Row],[kids]]+Table1[[#This Row],[teens]]</f>
        <v>2</v>
      </c>
      <c r="J11" s="9">
        <v>41711</v>
      </c>
      <c r="K11" s="8">
        <v>68</v>
      </c>
      <c r="L11" s="6">
        <v>28</v>
      </c>
      <c r="M11" s="5">
        <v>0</v>
      </c>
      <c r="N11" s="5">
        <v>6</v>
      </c>
      <c r="O11" s="5">
        <v>1</v>
      </c>
      <c r="P11" s="5">
        <v>1</v>
      </c>
      <c r="Q11" s="5">
        <v>13</v>
      </c>
      <c r="R11" s="8">
        <v>1</v>
      </c>
      <c r="S11" s="8">
        <v>1</v>
      </c>
      <c r="T11" s="8">
        <v>0</v>
      </c>
      <c r="U11" s="8">
        <v>0</v>
      </c>
      <c r="V11" s="8">
        <v>20</v>
      </c>
      <c r="W11" t="s">
        <v>474</v>
      </c>
      <c r="X11" t="s">
        <v>473</v>
      </c>
      <c r="Y11" t="s">
        <v>473</v>
      </c>
      <c r="Z11" t="s">
        <v>473</v>
      </c>
      <c r="AA11" t="s">
        <v>473</v>
      </c>
      <c r="AB11" t="s">
        <v>473</v>
      </c>
      <c r="AC11" s="10">
        <v>3</v>
      </c>
      <c r="AD11" s="10">
        <v>11</v>
      </c>
      <c r="AE11" t="s">
        <v>473</v>
      </c>
    </row>
    <row r="12" spans="1:31" x14ac:dyDescent="0.25">
      <c r="A12">
        <v>1994</v>
      </c>
      <c r="B12">
        <v>1983</v>
      </c>
      <c r="C12" t="s">
        <v>466</v>
      </c>
      <c r="D12" t="s">
        <v>34</v>
      </c>
      <c r="E12" t="str">
        <f>IF(OR(Table1[[#This Row],[marital_status]]="Married", Table1[[#This Row],[marital_status]]="Together"), "Partnered", "Single")</f>
        <v>Partnered</v>
      </c>
      <c r="F12" s="7" t="s">
        <v>464</v>
      </c>
      <c r="G12" s="8">
        <v>1</v>
      </c>
      <c r="H12" s="8">
        <v>0</v>
      </c>
      <c r="I12" s="8">
        <f>Table1[[#This Row],[kids]]+Table1[[#This Row],[teens]]</f>
        <v>1</v>
      </c>
      <c r="J12" s="9">
        <v>41593</v>
      </c>
      <c r="K12" s="8">
        <v>11</v>
      </c>
      <c r="L12" s="6">
        <v>5</v>
      </c>
      <c r="M12" s="5">
        <v>5</v>
      </c>
      <c r="N12" s="5">
        <v>6</v>
      </c>
      <c r="O12" s="5">
        <v>0</v>
      </c>
      <c r="P12" s="5">
        <v>2</v>
      </c>
      <c r="Q12" s="5">
        <v>1</v>
      </c>
      <c r="R12" s="8">
        <v>1</v>
      </c>
      <c r="S12" s="8">
        <v>1</v>
      </c>
      <c r="T12" s="8">
        <v>0</v>
      </c>
      <c r="U12" s="8">
        <v>2</v>
      </c>
      <c r="V12" s="8">
        <v>7</v>
      </c>
      <c r="W12" t="s">
        <v>473</v>
      </c>
      <c r="X12" t="s">
        <v>473</v>
      </c>
      <c r="Y12" t="s">
        <v>473</v>
      </c>
      <c r="Z12" t="s">
        <v>473</v>
      </c>
      <c r="AA12" t="s">
        <v>473</v>
      </c>
      <c r="AB12" t="s">
        <v>473</v>
      </c>
      <c r="AC12" s="10">
        <v>3</v>
      </c>
      <c r="AD12" s="10">
        <v>11</v>
      </c>
      <c r="AE12" t="s">
        <v>473</v>
      </c>
    </row>
    <row r="13" spans="1:31" x14ac:dyDescent="0.25">
      <c r="A13">
        <v>387</v>
      </c>
      <c r="B13">
        <v>1976</v>
      </c>
      <c r="C13" t="s">
        <v>41</v>
      </c>
      <c r="D13" t="s">
        <v>34</v>
      </c>
      <c r="E13" t="str">
        <f>IF(OR(Table1[[#This Row],[marital_status]]="Married", Table1[[#This Row],[marital_status]]="Together"), "Partnered", "Single")</f>
        <v>Partnered</v>
      </c>
      <c r="F13" s="7">
        <v>7500</v>
      </c>
      <c r="G13" s="8">
        <v>0</v>
      </c>
      <c r="H13" s="8">
        <v>0</v>
      </c>
      <c r="I13" s="8">
        <f>Table1[[#This Row],[kids]]+Table1[[#This Row],[teens]]</f>
        <v>0</v>
      </c>
      <c r="J13" s="9">
        <v>41226</v>
      </c>
      <c r="K13" s="8">
        <v>59</v>
      </c>
      <c r="L13" s="6">
        <v>6</v>
      </c>
      <c r="M13" s="5">
        <v>16</v>
      </c>
      <c r="N13" s="5">
        <v>11</v>
      </c>
      <c r="O13" s="5">
        <v>11</v>
      </c>
      <c r="P13" s="5">
        <v>1</v>
      </c>
      <c r="Q13" s="5">
        <v>16</v>
      </c>
      <c r="R13" s="8">
        <v>1</v>
      </c>
      <c r="S13" s="8">
        <v>2</v>
      </c>
      <c r="T13" s="8">
        <v>0</v>
      </c>
      <c r="U13" s="8">
        <v>3</v>
      </c>
      <c r="V13" s="8">
        <v>8</v>
      </c>
      <c r="W13" t="s">
        <v>473</v>
      </c>
      <c r="X13" t="s">
        <v>473</v>
      </c>
      <c r="Y13" t="s">
        <v>473</v>
      </c>
      <c r="Z13" t="s">
        <v>473</v>
      </c>
      <c r="AA13" t="s">
        <v>473</v>
      </c>
      <c r="AB13" t="s">
        <v>473</v>
      </c>
      <c r="AC13" s="10">
        <v>3</v>
      </c>
      <c r="AD13" s="10">
        <v>11</v>
      </c>
      <c r="AE13" t="s">
        <v>473</v>
      </c>
    </row>
    <row r="14" spans="1:31" x14ac:dyDescent="0.25">
      <c r="A14">
        <v>2125</v>
      </c>
      <c r="B14">
        <v>1959</v>
      </c>
      <c r="C14" t="s">
        <v>466</v>
      </c>
      <c r="D14" t="s">
        <v>37</v>
      </c>
      <c r="E14" t="str">
        <f>IF(OR(Table1[[#This Row],[marital_status]]="Married", Table1[[#This Row],[marital_status]]="Together"), "Partnered", "Single")</f>
        <v>Single</v>
      </c>
      <c r="F14" s="7">
        <v>63033</v>
      </c>
      <c r="G14" s="8">
        <v>0</v>
      </c>
      <c r="H14" s="8">
        <v>0</v>
      </c>
      <c r="I14" s="8">
        <f>Table1[[#This Row],[kids]]+Table1[[#This Row],[teens]]</f>
        <v>0</v>
      </c>
      <c r="J14" s="9">
        <v>41593</v>
      </c>
      <c r="K14" s="8">
        <v>82</v>
      </c>
      <c r="L14" s="6">
        <v>194</v>
      </c>
      <c r="M14" s="5">
        <v>61</v>
      </c>
      <c r="N14" s="5">
        <v>480</v>
      </c>
      <c r="O14" s="5">
        <v>225</v>
      </c>
      <c r="P14" s="5">
        <v>112</v>
      </c>
      <c r="Q14" s="5">
        <v>30</v>
      </c>
      <c r="R14" s="8">
        <v>1</v>
      </c>
      <c r="S14" s="8">
        <v>3</v>
      </c>
      <c r="T14" s="8">
        <v>4</v>
      </c>
      <c r="U14" s="8">
        <v>8</v>
      </c>
      <c r="V14" s="8">
        <v>2</v>
      </c>
      <c r="W14" t="s">
        <v>473</v>
      </c>
      <c r="X14" t="s">
        <v>473</v>
      </c>
      <c r="Y14" t="s">
        <v>473</v>
      </c>
      <c r="Z14" t="s">
        <v>473</v>
      </c>
      <c r="AA14" t="s">
        <v>473</v>
      </c>
      <c r="AB14" t="s">
        <v>473</v>
      </c>
      <c r="AC14" s="10">
        <v>3</v>
      </c>
      <c r="AD14" s="10">
        <v>11</v>
      </c>
      <c r="AE14" t="s">
        <v>473</v>
      </c>
    </row>
    <row r="15" spans="1:31" x14ac:dyDescent="0.25">
      <c r="A15">
        <v>8180</v>
      </c>
      <c r="B15">
        <v>1952</v>
      </c>
      <c r="C15" t="s">
        <v>36</v>
      </c>
      <c r="D15" t="s">
        <v>37</v>
      </c>
      <c r="E15" t="str">
        <f>IF(OR(Table1[[#This Row],[marital_status]]="Married", Table1[[#This Row],[marital_status]]="Together"), "Partnered", "Single")</f>
        <v>Single</v>
      </c>
      <c r="F15" s="7">
        <v>59354</v>
      </c>
      <c r="G15" s="8">
        <v>1</v>
      </c>
      <c r="H15" s="8">
        <v>1</v>
      </c>
      <c r="I15" s="8">
        <f>Table1[[#This Row],[kids]]+Table1[[#This Row],[teens]]</f>
        <v>2</v>
      </c>
      <c r="J15" s="9">
        <v>41593</v>
      </c>
      <c r="K15" s="8">
        <v>53</v>
      </c>
      <c r="L15" s="6">
        <v>233</v>
      </c>
      <c r="M15" s="5">
        <v>2</v>
      </c>
      <c r="N15" s="5">
        <v>53</v>
      </c>
      <c r="O15" s="5">
        <v>3</v>
      </c>
      <c r="P15" s="5">
        <v>5</v>
      </c>
      <c r="Q15" s="5">
        <v>14</v>
      </c>
      <c r="R15" s="8">
        <v>3</v>
      </c>
      <c r="S15" s="8">
        <v>6</v>
      </c>
      <c r="T15" s="8">
        <v>1</v>
      </c>
      <c r="U15" s="8">
        <v>5</v>
      </c>
      <c r="V15" s="8">
        <v>6</v>
      </c>
      <c r="W15" t="s">
        <v>473</v>
      </c>
      <c r="X15" t="s">
        <v>473</v>
      </c>
      <c r="Y15" t="s">
        <v>473</v>
      </c>
      <c r="Z15" t="s">
        <v>473</v>
      </c>
      <c r="AA15" t="s">
        <v>473</v>
      </c>
      <c r="AB15" t="s">
        <v>473</v>
      </c>
      <c r="AC15" s="10">
        <v>3</v>
      </c>
      <c r="AD15" s="10">
        <v>11</v>
      </c>
      <c r="AE15" t="s">
        <v>473</v>
      </c>
    </row>
    <row r="16" spans="1:31" x14ac:dyDescent="0.25">
      <c r="A16">
        <v>2569</v>
      </c>
      <c r="B16">
        <v>1987</v>
      </c>
      <c r="C16" t="s">
        <v>466</v>
      </c>
      <c r="D16" t="s">
        <v>34</v>
      </c>
      <c r="E16" t="str">
        <f>IF(OR(Table1[[#This Row],[marital_status]]="Married", Table1[[#This Row],[marital_status]]="Together"), "Partnered", "Single")</f>
        <v>Partnered</v>
      </c>
      <c r="F16" s="7">
        <v>17323</v>
      </c>
      <c r="G16" s="8">
        <v>0</v>
      </c>
      <c r="H16" s="8">
        <v>0</v>
      </c>
      <c r="I16" s="8">
        <f>Table1[[#This Row],[kids]]+Table1[[#This Row],[teens]]</f>
        <v>0</v>
      </c>
      <c r="J16" s="9">
        <v>41192</v>
      </c>
      <c r="K16" s="8">
        <v>38</v>
      </c>
      <c r="L16" s="6">
        <v>3</v>
      </c>
      <c r="M16" s="5">
        <v>14</v>
      </c>
      <c r="N16" s="5">
        <v>17</v>
      </c>
      <c r="O16" s="5">
        <v>6</v>
      </c>
      <c r="P16" s="5">
        <v>1</v>
      </c>
      <c r="Q16" s="5">
        <v>5</v>
      </c>
      <c r="R16" s="8">
        <v>1</v>
      </c>
      <c r="S16" s="8">
        <v>1</v>
      </c>
      <c r="T16" s="8">
        <v>0</v>
      </c>
      <c r="U16" s="8">
        <v>3</v>
      </c>
      <c r="V16" s="8">
        <v>8</v>
      </c>
      <c r="W16" t="s">
        <v>473</v>
      </c>
      <c r="X16" t="s">
        <v>473</v>
      </c>
      <c r="Y16" t="s">
        <v>473</v>
      </c>
      <c r="Z16" t="s">
        <v>473</v>
      </c>
      <c r="AA16" t="s">
        <v>473</v>
      </c>
      <c r="AB16" t="s">
        <v>473</v>
      </c>
      <c r="AC16" s="10">
        <v>3</v>
      </c>
      <c r="AD16" s="10">
        <v>11</v>
      </c>
      <c r="AE16" t="s">
        <v>473</v>
      </c>
    </row>
    <row r="17" spans="1:31" x14ac:dyDescent="0.25">
      <c r="A17">
        <v>2114</v>
      </c>
      <c r="B17">
        <v>1946</v>
      </c>
      <c r="C17" t="s">
        <v>33</v>
      </c>
      <c r="D17" t="s">
        <v>30</v>
      </c>
      <c r="E17" t="str">
        <f>IF(OR(Table1[[#This Row],[marital_status]]="Married", Table1[[#This Row],[marital_status]]="Together"), "Partnered", "Single")</f>
        <v>Single</v>
      </c>
      <c r="F17" s="7">
        <v>82800</v>
      </c>
      <c r="G17" s="8">
        <v>0</v>
      </c>
      <c r="H17" s="8">
        <v>0</v>
      </c>
      <c r="I17" s="8">
        <f>Table1[[#This Row],[kids]]+Table1[[#This Row],[teens]]</f>
        <v>0</v>
      </c>
      <c r="J17" s="9">
        <v>41237</v>
      </c>
      <c r="K17" s="8">
        <v>23</v>
      </c>
      <c r="L17" s="6">
        <v>1006</v>
      </c>
      <c r="M17" s="5">
        <v>22</v>
      </c>
      <c r="N17" s="5">
        <v>115</v>
      </c>
      <c r="O17" s="5">
        <v>59</v>
      </c>
      <c r="P17" s="5">
        <v>68</v>
      </c>
      <c r="Q17" s="5">
        <v>45</v>
      </c>
      <c r="R17" s="8">
        <v>1</v>
      </c>
      <c r="S17" s="8">
        <v>7</v>
      </c>
      <c r="T17" s="8">
        <v>6</v>
      </c>
      <c r="U17" s="8">
        <v>12</v>
      </c>
      <c r="V17" s="8">
        <v>3</v>
      </c>
      <c r="W17" t="s">
        <v>473</v>
      </c>
      <c r="X17" t="s">
        <v>473</v>
      </c>
      <c r="Y17" t="s">
        <v>474</v>
      </c>
      <c r="Z17" t="s">
        <v>474</v>
      </c>
      <c r="AA17" t="s">
        <v>473</v>
      </c>
      <c r="AB17" t="s">
        <v>473</v>
      </c>
      <c r="AC17" s="10">
        <v>3</v>
      </c>
      <c r="AD17" s="10">
        <v>11</v>
      </c>
      <c r="AE17" t="s">
        <v>474</v>
      </c>
    </row>
    <row r="18" spans="1:31" x14ac:dyDescent="0.25">
      <c r="A18">
        <v>9736</v>
      </c>
      <c r="B18">
        <v>1980</v>
      </c>
      <c r="C18" t="s">
        <v>466</v>
      </c>
      <c r="D18" t="s">
        <v>34</v>
      </c>
      <c r="E18" t="str">
        <f>IF(OR(Table1[[#This Row],[marital_status]]="Married", Table1[[#This Row],[marital_status]]="Together"), "Partnered", "Single")</f>
        <v>Partnered</v>
      </c>
      <c r="F18" s="7">
        <v>41850</v>
      </c>
      <c r="G18" s="8">
        <v>1</v>
      </c>
      <c r="H18" s="8">
        <v>1</v>
      </c>
      <c r="I18" s="8">
        <f>Table1[[#This Row],[kids]]+Table1[[#This Row],[teens]]</f>
        <v>2</v>
      </c>
      <c r="J18" s="9">
        <v>41267</v>
      </c>
      <c r="K18" s="8">
        <v>51</v>
      </c>
      <c r="L18" s="6">
        <v>53</v>
      </c>
      <c r="M18" s="5">
        <v>5</v>
      </c>
      <c r="N18" s="5">
        <v>19</v>
      </c>
      <c r="O18" s="5">
        <v>2</v>
      </c>
      <c r="P18" s="5">
        <v>13</v>
      </c>
      <c r="Q18" s="5">
        <v>4</v>
      </c>
      <c r="R18" s="8">
        <v>3</v>
      </c>
      <c r="S18" s="8">
        <v>3</v>
      </c>
      <c r="T18" s="8">
        <v>0</v>
      </c>
      <c r="U18" s="8">
        <v>3</v>
      </c>
      <c r="V18" s="8">
        <v>8</v>
      </c>
      <c r="W18" t="s">
        <v>473</v>
      </c>
      <c r="X18" t="s">
        <v>473</v>
      </c>
      <c r="Y18" t="s">
        <v>473</v>
      </c>
      <c r="Z18" t="s">
        <v>473</v>
      </c>
      <c r="AA18" t="s">
        <v>473</v>
      </c>
      <c r="AB18" t="s">
        <v>473</v>
      </c>
      <c r="AC18" s="10">
        <v>3</v>
      </c>
      <c r="AD18" s="10">
        <v>11</v>
      </c>
      <c r="AE18" t="s">
        <v>473</v>
      </c>
    </row>
    <row r="19" spans="1:31" x14ac:dyDescent="0.25">
      <c r="A19">
        <v>4939</v>
      </c>
      <c r="B19">
        <v>1946</v>
      </c>
      <c r="C19" t="s">
        <v>466</v>
      </c>
      <c r="D19" t="s">
        <v>31</v>
      </c>
      <c r="E19" t="str">
        <f>IF(OR(Table1[[#This Row],[marital_status]]="Married", Table1[[#This Row],[marital_status]]="Together"), "Partnered", "Single")</f>
        <v>Partnered</v>
      </c>
      <c r="F19" s="7">
        <v>37760</v>
      </c>
      <c r="G19" s="8">
        <v>0</v>
      </c>
      <c r="H19" s="8">
        <v>0</v>
      </c>
      <c r="I19" s="8">
        <f>Table1[[#This Row],[kids]]+Table1[[#This Row],[teens]]</f>
        <v>0</v>
      </c>
      <c r="J19" s="9">
        <v>41152</v>
      </c>
      <c r="K19" s="8">
        <v>20</v>
      </c>
      <c r="L19" s="6">
        <v>84</v>
      </c>
      <c r="M19" s="5">
        <v>5</v>
      </c>
      <c r="N19" s="5">
        <v>38</v>
      </c>
      <c r="O19" s="5">
        <v>150</v>
      </c>
      <c r="P19" s="5">
        <v>12</v>
      </c>
      <c r="Q19" s="5">
        <v>28</v>
      </c>
      <c r="R19" s="8">
        <v>2</v>
      </c>
      <c r="S19" s="8">
        <v>4</v>
      </c>
      <c r="T19" s="8">
        <v>1</v>
      </c>
      <c r="U19" s="8">
        <v>6</v>
      </c>
      <c r="V19" s="8">
        <v>7</v>
      </c>
      <c r="W19" t="s">
        <v>473</v>
      </c>
      <c r="X19" t="s">
        <v>473</v>
      </c>
      <c r="Y19" t="s">
        <v>473</v>
      </c>
      <c r="Z19" t="s">
        <v>473</v>
      </c>
      <c r="AA19" t="s">
        <v>473</v>
      </c>
      <c r="AB19" t="s">
        <v>473</v>
      </c>
      <c r="AC19" s="10">
        <v>3</v>
      </c>
      <c r="AD19" s="10">
        <v>11</v>
      </c>
      <c r="AE19" t="s">
        <v>473</v>
      </c>
    </row>
    <row r="20" spans="1:31" x14ac:dyDescent="0.25">
      <c r="A20">
        <v>6565</v>
      </c>
      <c r="B20">
        <v>1949</v>
      </c>
      <c r="C20" t="s">
        <v>36</v>
      </c>
      <c r="D20" t="s">
        <v>34</v>
      </c>
      <c r="E20" t="str">
        <f>IF(OR(Table1[[#This Row],[marital_status]]="Married", Table1[[#This Row],[marital_status]]="Together"), "Partnered", "Single")</f>
        <v>Partnered</v>
      </c>
      <c r="F20" s="7">
        <v>76995</v>
      </c>
      <c r="G20" s="8">
        <v>0</v>
      </c>
      <c r="H20" s="8">
        <v>1</v>
      </c>
      <c r="I20" s="8">
        <f>Table1[[#This Row],[kids]]+Table1[[#This Row],[teens]]</f>
        <v>1</v>
      </c>
      <c r="J20" s="9">
        <v>41361</v>
      </c>
      <c r="K20" s="8">
        <v>91</v>
      </c>
      <c r="L20" s="6">
        <v>1012</v>
      </c>
      <c r="M20" s="5">
        <v>80</v>
      </c>
      <c r="N20" s="5">
        <v>498</v>
      </c>
      <c r="O20" s="5">
        <v>0</v>
      </c>
      <c r="P20" s="5">
        <v>16</v>
      </c>
      <c r="Q20" s="5">
        <v>176</v>
      </c>
      <c r="R20" s="8">
        <v>2</v>
      </c>
      <c r="S20" s="8">
        <v>11</v>
      </c>
      <c r="T20" s="8">
        <v>4</v>
      </c>
      <c r="U20" s="8">
        <v>9</v>
      </c>
      <c r="V20" s="8">
        <v>5</v>
      </c>
      <c r="W20" t="s">
        <v>473</v>
      </c>
      <c r="X20" t="s">
        <v>473</v>
      </c>
      <c r="Y20" t="s">
        <v>473</v>
      </c>
      <c r="Z20" t="s">
        <v>474</v>
      </c>
      <c r="AA20" t="s">
        <v>473</v>
      </c>
      <c r="AB20" t="s">
        <v>473</v>
      </c>
      <c r="AC20" s="10">
        <v>3</v>
      </c>
      <c r="AD20" s="10">
        <v>11</v>
      </c>
      <c r="AE20" t="s">
        <v>473</v>
      </c>
    </row>
    <row r="21" spans="1:31" x14ac:dyDescent="0.25">
      <c r="A21">
        <v>2278</v>
      </c>
      <c r="B21">
        <v>1985</v>
      </c>
      <c r="C21" t="s">
        <v>46</v>
      </c>
      <c r="D21" t="s">
        <v>30</v>
      </c>
      <c r="E21" t="str">
        <f>IF(OR(Table1[[#This Row],[marital_status]]="Married", Table1[[#This Row],[marital_status]]="Together"), "Partnered", "Single")</f>
        <v>Single</v>
      </c>
      <c r="F21" s="7">
        <v>33812</v>
      </c>
      <c r="G21" s="8">
        <v>1</v>
      </c>
      <c r="H21" s="8">
        <v>0</v>
      </c>
      <c r="I21" s="8">
        <f>Table1[[#This Row],[kids]]+Table1[[#This Row],[teens]]</f>
        <v>1</v>
      </c>
      <c r="J21" s="9">
        <v>41216</v>
      </c>
      <c r="K21" s="8">
        <v>86</v>
      </c>
      <c r="L21" s="6">
        <v>4</v>
      </c>
      <c r="M21" s="5">
        <v>17</v>
      </c>
      <c r="N21" s="5">
        <v>19</v>
      </c>
      <c r="O21" s="5">
        <v>30</v>
      </c>
      <c r="P21" s="5">
        <v>24</v>
      </c>
      <c r="Q21" s="5">
        <v>39</v>
      </c>
      <c r="R21" s="8">
        <v>2</v>
      </c>
      <c r="S21" s="8">
        <v>2</v>
      </c>
      <c r="T21" s="8">
        <v>1</v>
      </c>
      <c r="U21" s="8">
        <v>3</v>
      </c>
      <c r="V21" s="8">
        <v>6</v>
      </c>
      <c r="W21" t="s">
        <v>473</v>
      </c>
      <c r="X21" t="s">
        <v>473</v>
      </c>
      <c r="Y21" t="s">
        <v>473</v>
      </c>
      <c r="Z21" t="s">
        <v>473</v>
      </c>
      <c r="AA21" t="s">
        <v>473</v>
      </c>
      <c r="AB21" t="s">
        <v>473</v>
      </c>
      <c r="AC21" s="10">
        <v>3</v>
      </c>
      <c r="AD21" s="10">
        <v>11</v>
      </c>
      <c r="AE21" t="s">
        <v>473</v>
      </c>
    </row>
    <row r="22" spans="1:31" x14ac:dyDescent="0.25">
      <c r="A22">
        <v>9360</v>
      </c>
      <c r="B22">
        <v>1982</v>
      </c>
      <c r="C22" t="s">
        <v>466</v>
      </c>
      <c r="D22" t="s">
        <v>34</v>
      </c>
      <c r="E22" t="str">
        <f>IF(OR(Table1[[#This Row],[marital_status]]="Married", Table1[[#This Row],[marital_status]]="Together"), "Partnered", "Single")</f>
        <v>Partnered</v>
      </c>
      <c r="F22" s="7">
        <v>37040</v>
      </c>
      <c r="G22" s="8">
        <v>0</v>
      </c>
      <c r="H22" s="8">
        <v>0</v>
      </c>
      <c r="I22" s="8">
        <f>Table1[[#This Row],[kids]]+Table1[[#This Row],[teens]]</f>
        <v>0</v>
      </c>
      <c r="J22" s="9">
        <v>41129</v>
      </c>
      <c r="K22" s="8">
        <v>41</v>
      </c>
      <c r="L22" s="6">
        <v>86</v>
      </c>
      <c r="M22" s="5">
        <v>2</v>
      </c>
      <c r="N22" s="5">
        <v>73</v>
      </c>
      <c r="O22" s="5">
        <v>69</v>
      </c>
      <c r="P22" s="5">
        <v>38</v>
      </c>
      <c r="Q22" s="5">
        <v>48</v>
      </c>
      <c r="R22" s="8">
        <v>1</v>
      </c>
      <c r="S22" s="8">
        <v>4</v>
      </c>
      <c r="T22" s="8">
        <v>2</v>
      </c>
      <c r="U22" s="8">
        <v>5</v>
      </c>
      <c r="V22" s="8">
        <v>8</v>
      </c>
      <c r="W22" t="s">
        <v>473</v>
      </c>
      <c r="X22" t="s">
        <v>473</v>
      </c>
      <c r="Y22" t="s">
        <v>473</v>
      </c>
      <c r="Z22" t="s">
        <v>473</v>
      </c>
      <c r="AA22" t="s">
        <v>473</v>
      </c>
      <c r="AB22" t="s">
        <v>473</v>
      </c>
      <c r="AC22" s="10">
        <v>3</v>
      </c>
      <c r="AD22" s="10">
        <v>11</v>
      </c>
      <c r="AE22" t="s">
        <v>473</v>
      </c>
    </row>
    <row r="23" spans="1:31" x14ac:dyDescent="0.25">
      <c r="A23">
        <v>5376</v>
      </c>
      <c r="B23">
        <v>1979</v>
      </c>
      <c r="C23" t="s">
        <v>466</v>
      </c>
      <c r="D23" t="s">
        <v>34</v>
      </c>
      <c r="E23" t="str">
        <f>IF(OR(Table1[[#This Row],[marital_status]]="Married", Table1[[#This Row],[marital_status]]="Together"), "Partnered", "Single")</f>
        <v>Partnered</v>
      </c>
      <c r="F23" s="7">
        <v>2447</v>
      </c>
      <c r="G23" s="8">
        <v>1</v>
      </c>
      <c r="H23" s="8">
        <v>0</v>
      </c>
      <c r="I23" s="8">
        <f>Table1[[#This Row],[kids]]+Table1[[#This Row],[teens]]</f>
        <v>1</v>
      </c>
      <c r="J23" s="9">
        <v>41280</v>
      </c>
      <c r="K23" s="8">
        <v>42</v>
      </c>
      <c r="L23" s="6">
        <v>1</v>
      </c>
      <c r="M23" s="5">
        <v>1</v>
      </c>
      <c r="N23" s="5">
        <v>1725</v>
      </c>
      <c r="O23" s="5">
        <v>1</v>
      </c>
      <c r="P23" s="5">
        <v>1</v>
      </c>
      <c r="Q23" s="5">
        <v>1</v>
      </c>
      <c r="R23" s="8">
        <v>15</v>
      </c>
      <c r="S23" s="8">
        <v>0</v>
      </c>
      <c r="T23" s="8">
        <v>28</v>
      </c>
      <c r="U23" s="8">
        <v>0</v>
      </c>
      <c r="V23" s="8">
        <v>1</v>
      </c>
      <c r="W23" t="s">
        <v>473</v>
      </c>
      <c r="X23" t="s">
        <v>473</v>
      </c>
      <c r="Y23" t="s">
        <v>473</v>
      </c>
      <c r="Z23" t="s">
        <v>473</v>
      </c>
      <c r="AA23" t="s">
        <v>473</v>
      </c>
      <c r="AB23" t="s">
        <v>473</v>
      </c>
      <c r="AC23" s="10">
        <v>3</v>
      </c>
      <c r="AD23" s="10">
        <v>11</v>
      </c>
      <c r="AE23" t="s">
        <v>473</v>
      </c>
    </row>
    <row r="24" spans="1:31" x14ac:dyDescent="0.25">
      <c r="A24">
        <v>1993</v>
      </c>
      <c r="B24">
        <v>1949</v>
      </c>
      <c r="C24" t="s">
        <v>33</v>
      </c>
      <c r="D24" t="s">
        <v>34</v>
      </c>
      <c r="E24" t="str">
        <f>IF(OR(Table1[[#This Row],[marital_status]]="Married", Table1[[#This Row],[marital_status]]="Together"), "Partnered", "Single")</f>
        <v>Partnered</v>
      </c>
      <c r="F24" s="7">
        <v>58607</v>
      </c>
      <c r="G24" s="8">
        <v>0</v>
      </c>
      <c r="H24" s="8">
        <v>1</v>
      </c>
      <c r="I24" s="8">
        <f>Table1[[#This Row],[kids]]+Table1[[#This Row],[teens]]</f>
        <v>1</v>
      </c>
      <c r="J24" s="9">
        <v>41266</v>
      </c>
      <c r="K24" s="8">
        <v>63</v>
      </c>
      <c r="L24" s="6">
        <v>867</v>
      </c>
      <c r="M24" s="5">
        <v>0</v>
      </c>
      <c r="N24" s="5">
        <v>86</v>
      </c>
      <c r="O24" s="5">
        <v>0</v>
      </c>
      <c r="P24" s="5">
        <v>0</v>
      </c>
      <c r="Q24" s="5">
        <v>19</v>
      </c>
      <c r="R24" s="8">
        <v>3</v>
      </c>
      <c r="S24" s="8">
        <v>2</v>
      </c>
      <c r="T24" s="8">
        <v>3</v>
      </c>
      <c r="U24" s="8">
        <v>9</v>
      </c>
      <c r="V24" s="8">
        <v>8</v>
      </c>
      <c r="W24" t="s">
        <v>473</v>
      </c>
      <c r="X24" t="s">
        <v>474</v>
      </c>
      <c r="Y24" t="s">
        <v>473</v>
      </c>
      <c r="Z24" t="s">
        <v>473</v>
      </c>
      <c r="AA24" t="s">
        <v>473</v>
      </c>
      <c r="AB24" t="s">
        <v>473</v>
      </c>
      <c r="AC24" s="10">
        <v>3</v>
      </c>
      <c r="AD24" s="10">
        <v>11</v>
      </c>
      <c r="AE24" t="s">
        <v>473</v>
      </c>
    </row>
    <row r="25" spans="1:31" x14ac:dyDescent="0.25">
      <c r="A25">
        <v>4047</v>
      </c>
      <c r="B25">
        <v>1954</v>
      </c>
      <c r="C25" t="s">
        <v>33</v>
      </c>
      <c r="D25" t="s">
        <v>34</v>
      </c>
      <c r="E25" t="str">
        <f>IF(OR(Table1[[#This Row],[marital_status]]="Married", Table1[[#This Row],[marital_status]]="Together"), "Partnered", "Single")</f>
        <v>Partnered</v>
      </c>
      <c r="F25" s="7">
        <v>65324</v>
      </c>
      <c r="G25" s="8">
        <v>0</v>
      </c>
      <c r="H25" s="8">
        <v>1</v>
      </c>
      <c r="I25" s="8">
        <f>Table1[[#This Row],[kids]]+Table1[[#This Row],[teens]]</f>
        <v>1</v>
      </c>
      <c r="J25" s="9">
        <v>41650</v>
      </c>
      <c r="K25" s="8">
        <v>0</v>
      </c>
      <c r="L25" s="6">
        <v>384</v>
      </c>
      <c r="M25" s="5">
        <v>0</v>
      </c>
      <c r="N25" s="5">
        <v>102</v>
      </c>
      <c r="O25" s="5">
        <v>21</v>
      </c>
      <c r="P25" s="5">
        <v>32</v>
      </c>
      <c r="Q25" s="5">
        <v>5</v>
      </c>
      <c r="R25" s="8">
        <v>3</v>
      </c>
      <c r="S25" s="8">
        <v>6</v>
      </c>
      <c r="T25" s="8">
        <v>2</v>
      </c>
      <c r="U25" s="8">
        <v>9</v>
      </c>
      <c r="V25" s="8">
        <v>4</v>
      </c>
      <c r="W25" t="s">
        <v>473</v>
      </c>
      <c r="X25" t="s">
        <v>473</v>
      </c>
      <c r="Y25" t="s">
        <v>473</v>
      </c>
      <c r="Z25" t="s">
        <v>473</v>
      </c>
      <c r="AA25" t="s">
        <v>473</v>
      </c>
      <c r="AB25" t="s">
        <v>473</v>
      </c>
      <c r="AC25" s="10">
        <v>3</v>
      </c>
      <c r="AD25" s="10">
        <v>11</v>
      </c>
      <c r="AE25" t="s">
        <v>473</v>
      </c>
    </row>
    <row r="26" spans="1:31" x14ac:dyDescent="0.25">
      <c r="A26">
        <v>1409</v>
      </c>
      <c r="B26">
        <v>1951</v>
      </c>
      <c r="C26" t="s">
        <v>466</v>
      </c>
      <c r="D26" t="s">
        <v>31</v>
      </c>
      <c r="E26" t="str">
        <f>IF(OR(Table1[[#This Row],[marital_status]]="Married", Table1[[#This Row],[marital_status]]="Together"), "Partnered", "Single")</f>
        <v>Partnered</v>
      </c>
      <c r="F26" s="7">
        <v>40689</v>
      </c>
      <c r="G26" s="8">
        <v>0</v>
      </c>
      <c r="H26" s="8">
        <v>1</v>
      </c>
      <c r="I26" s="8">
        <f>Table1[[#This Row],[kids]]+Table1[[#This Row],[teens]]</f>
        <v>1</v>
      </c>
      <c r="J26" s="9">
        <v>41351</v>
      </c>
      <c r="K26" s="8">
        <v>69</v>
      </c>
      <c r="L26" s="6">
        <v>270</v>
      </c>
      <c r="M26" s="5">
        <v>3</v>
      </c>
      <c r="N26" s="5">
        <v>27</v>
      </c>
      <c r="O26" s="5">
        <v>39</v>
      </c>
      <c r="P26" s="5">
        <v>6</v>
      </c>
      <c r="Q26" s="5">
        <v>99</v>
      </c>
      <c r="R26" s="8">
        <v>7</v>
      </c>
      <c r="S26" s="8">
        <v>7</v>
      </c>
      <c r="T26" s="8">
        <v>1</v>
      </c>
      <c r="U26" s="8">
        <v>5</v>
      </c>
      <c r="V26" s="8">
        <v>8</v>
      </c>
      <c r="W26" t="s">
        <v>473</v>
      </c>
      <c r="X26" t="s">
        <v>473</v>
      </c>
      <c r="Y26" t="s">
        <v>473</v>
      </c>
      <c r="Z26" t="s">
        <v>473</v>
      </c>
      <c r="AA26" t="s">
        <v>473</v>
      </c>
      <c r="AB26" t="s">
        <v>473</v>
      </c>
      <c r="AC26" s="10">
        <v>3</v>
      </c>
      <c r="AD26" s="10">
        <v>11</v>
      </c>
      <c r="AE26" t="s">
        <v>473</v>
      </c>
    </row>
    <row r="27" spans="1:31" x14ac:dyDescent="0.25">
      <c r="A27">
        <v>7892</v>
      </c>
      <c r="B27">
        <v>1969</v>
      </c>
      <c r="C27" t="s">
        <v>466</v>
      </c>
      <c r="D27" t="s">
        <v>30</v>
      </c>
      <c r="E27" t="str">
        <f>IF(OR(Table1[[#This Row],[marital_status]]="Married", Table1[[#This Row],[marital_status]]="Together"), "Partnered", "Single")</f>
        <v>Single</v>
      </c>
      <c r="F27" s="7">
        <v>18589</v>
      </c>
      <c r="G27" s="8">
        <v>0</v>
      </c>
      <c r="H27" s="8">
        <v>0</v>
      </c>
      <c r="I27" s="8">
        <f>Table1[[#This Row],[kids]]+Table1[[#This Row],[teens]]</f>
        <v>0</v>
      </c>
      <c r="J27" s="9">
        <v>41276</v>
      </c>
      <c r="K27" s="8">
        <v>89</v>
      </c>
      <c r="L27" s="6">
        <v>6</v>
      </c>
      <c r="M27" s="5">
        <v>4</v>
      </c>
      <c r="N27" s="5">
        <v>25</v>
      </c>
      <c r="O27" s="5">
        <v>15</v>
      </c>
      <c r="P27" s="5">
        <v>12</v>
      </c>
      <c r="Q27" s="5">
        <v>13</v>
      </c>
      <c r="R27" s="8">
        <v>2</v>
      </c>
      <c r="S27" s="8">
        <v>2</v>
      </c>
      <c r="T27" s="8">
        <v>1</v>
      </c>
      <c r="U27" s="8">
        <v>3</v>
      </c>
      <c r="V27" s="8">
        <v>7</v>
      </c>
      <c r="W27" t="s">
        <v>473</v>
      </c>
      <c r="X27" t="s">
        <v>473</v>
      </c>
      <c r="Y27" t="s">
        <v>473</v>
      </c>
      <c r="Z27" t="s">
        <v>473</v>
      </c>
      <c r="AA27" t="s">
        <v>473</v>
      </c>
      <c r="AB27" t="s">
        <v>473</v>
      </c>
      <c r="AC27" s="10">
        <v>3</v>
      </c>
      <c r="AD27" s="10">
        <v>11</v>
      </c>
      <c r="AE27" t="s">
        <v>473</v>
      </c>
    </row>
    <row r="28" spans="1:31" x14ac:dyDescent="0.25">
      <c r="A28">
        <v>2404</v>
      </c>
      <c r="B28">
        <v>1976</v>
      </c>
      <c r="C28" t="s">
        <v>466</v>
      </c>
      <c r="D28" t="s">
        <v>34</v>
      </c>
      <c r="E28" t="str">
        <f>IF(OR(Table1[[#This Row],[marital_status]]="Married", Table1[[#This Row],[marital_status]]="Together"), "Partnered", "Single")</f>
        <v>Partnered</v>
      </c>
      <c r="F28" s="7">
        <v>53359</v>
      </c>
      <c r="G28" s="8">
        <v>1</v>
      </c>
      <c r="H28" s="8">
        <v>1</v>
      </c>
      <c r="I28" s="8">
        <f>Table1[[#This Row],[kids]]+Table1[[#This Row],[teens]]</f>
        <v>2</v>
      </c>
      <c r="J28" s="9">
        <v>41421</v>
      </c>
      <c r="K28" s="8">
        <v>4</v>
      </c>
      <c r="L28" s="6">
        <v>173</v>
      </c>
      <c r="M28" s="5">
        <v>4</v>
      </c>
      <c r="N28" s="5">
        <v>30</v>
      </c>
      <c r="O28" s="5">
        <v>3</v>
      </c>
      <c r="P28" s="5">
        <v>6</v>
      </c>
      <c r="Q28" s="5">
        <v>41</v>
      </c>
      <c r="R28" s="8">
        <v>4</v>
      </c>
      <c r="S28" s="8">
        <v>5</v>
      </c>
      <c r="T28" s="8">
        <v>1</v>
      </c>
      <c r="U28" s="8">
        <v>4</v>
      </c>
      <c r="V28" s="8">
        <v>7</v>
      </c>
      <c r="W28" t="s">
        <v>473</v>
      </c>
      <c r="X28" t="s">
        <v>473</v>
      </c>
      <c r="Y28" t="s">
        <v>473</v>
      </c>
      <c r="Z28" t="s">
        <v>473</v>
      </c>
      <c r="AA28" t="s">
        <v>473</v>
      </c>
      <c r="AB28" t="s">
        <v>473</v>
      </c>
      <c r="AC28" s="10">
        <v>3</v>
      </c>
      <c r="AD28" s="10">
        <v>11</v>
      </c>
      <c r="AE28" t="s">
        <v>473</v>
      </c>
    </row>
    <row r="29" spans="1:31" x14ac:dyDescent="0.25">
      <c r="A29">
        <v>5255</v>
      </c>
      <c r="B29">
        <v>1986</v>
      </c>
      <c r="C29" t="s">
        <v>466</v>
      </c>
      <c r="D29" t="s">
        <v>30</v>
      </c>
      <c r="E29" t="str">
        <f>IF(OR(Table1[[#This Row],[marital_status]]="Married", Table1[[#This Row],[marital_status]]="Together"), "Partnered", "Single")</f>
        <v>Single</v>
      </c>
      <c r="F29" s="7" t="s">
        <v>464</v>
      </c>
      <c r="G29" s="8">
        <v>1</v>
      </c>
      <c r="H29" s="8">
        <v>0</v>
      </c>
      <c r="I29" s="8">
        <f>Table1[[#This Row],[kids]]+Table1[[#This Row],[teens]]</f>
        <v>1</v>
      </c>
      <c r="J29" s="9">
        <v>41325</v>
      </c>
      <c r="K29" s="8">
        <v>19</v>
      </c>
      <c r="L29" s="6">
        <v>5</v>
      </c>
      <c r="M29" s="5">
        <v>1</v>
      </c>
      <c r="N29" s="5">
        <v>3</v>
      </c>
      <c r="O29" s="5">
        <v>3</v>
      </c>
      <c r="P29" s="5">
        <v>263</v>
      </c>
      <c r="Q29" s="5">
        <v>362</v>
      </c>
      <c r="R29" s="8">
        <v>0</v>
      </c>
      <c r="S29" s="8">
        <v>27</v>
      </c>
      <c r="T29" s="8">
        <v>0</v>
      </c>
      <c r="U29" s="8">
        <v>0</v>
      </c>
      <c r="V29" s="8">
        <v>1</v>
      </c>
      <c r="W29" t="s">
        <v>473</v>
      </c>
      <c r="X29" t="s">
        <v>473</v>
      </c>
      <c r="Y29" t="s">
        <v>473</v>
      </c>
      <c r="Z29" t="s">
        <v>473</v>
      </c>
      <c r="AA29" t="s">
        <v>473</v>
      </c>
      <c r="AB29" t="s">
        <v>473</v>
      </c>
      <c r="AC29" s="10">
        <v>3</v>
      </c>
      <c r="AD29" s="10">
        <v>11</v>
      </c>
      <c r="AE29" t="s">
        <v>473</v>
      </c>
    </row>
    <row r="30" spans="1:31" x14ac:dyDescent="0.25">
      <c r="A30">
        <v>9422</v>
      </c>
      <c r="B30">
        <v>1989</v>
      </c>
      <c r="C30" t="s">
        <v>466</v>
      </c>
      <c r="D30" t="s">
        <v>34</v>
      </c>
      <c r="E30" t="str">
        <f>IF(OR(Table1[[#This Row],[marital_status]]="Married", Table1[[#This Row],[marital_status]]="Together"), "Partnered", "Single")</f>
        <v>Partnered</v>
      </c>
      <c r="F30" s="7">
        <v>38360</v>
      </c>
      <c r="G30" s="8">
        <v>1</v>
      </c>
      <c r="H30" s="8">
        <v>0</v>
      </c>
      <c r="I30" s="8">
        <f>Table1[[#This Row],[kids]]+Table1[[#This Row],[teens]]</f>
        <v>1</v>
      </c>
      <c r="J30" s="9">
        <v>41425</v>
      </c>
      <c r="K30" s="8">
        <v>26</v>
      </c>
      <c r="L30" s="6">
        <v>36</v>
      </c>
      <c r="M30" s="5">
        <v>2</v>
      </c>
      <c r="N30" s="5">
        <v>42</v>
      </c>
      <c r="O30" s="5">
        <v>20</v>
      </c>
      <c r="P30" s="5">
        <v>21</v>
      </c>
      <c r="Q30" s="5">
        <v>10</v>
      </c>
      <c r="R30" s="8">
        <v>2</v>
      </c>
      <c r="S30" s="8">
        <v>2</v>
      </c>
      <c r="T30" s="8">
        <v>1</v>
      </c>
      <c r="U30" s="8">
        <v>4</v>
      </c>
      <c r="V30" s="8">
        <v>3</v>
      </c>
      <c r="W30" t="s">
        <v>473</v>
      </c>
      <c r="X30" t="s">
        <v>473</v>
      </c>
      <c r="Y30" t="s">
        <v>473</v>
      </c>
      <c r="Z30" t="s">
        <v>473</v>
      </c>
      <c r="AA30" t="s">
        <v>473</v>
      </c>
      <c r="AB30" t="s">
        <v>473</v>
      </c>
      <c r="AC30" s="10">
        <v>3</v>
      </c>
      <c r="AD30" s="10">
        <v>11</v>
      </c>
      <c r="AE30" t="s">
        <v>473</v>
      </c>
    </row>
    <row r="31" spans="1:31" x14ac:dyDescent="0.25">
      <c r="A31">
        <v>1966</v>
      </c>
      <c r="B31">
        <v>1965</v>
      </c>
      <c r="C31" t="s">
        <v>33</v>
      </c>
      <c r="D31" t="s">
        <v>34</v>
      </c>
      <c r="E31" t="str">
        <f>IF(OR(Table1[[#This Row],[marital_status]]="Married", Table1[[#This Row],[marital_status]]="Together"), "Partnered", "Single")</f>
        <v>Partnered</v>
      </c>
      <c r="F31" s="7">
        <v>84618</v>
      </c>
      <c r="G31" s="8">
        <v>0</v>
      </c>
      <c r="H31" s="8">
        <v>0</v>
      </c>
      <c r="I31" s="8">
        <f>Table1[[#This Row],[kids]]+Table1[[#This Row],[teens]]</f>
        <v>0</v>
      </c>
      <c r="J31" s="9">
        <v>41600</v>
      </c>
      <c r="K31" s="8">
        <v>96</v>
      </c>
      <c r="L31" s="6">
        <v>684</v>
      </c>
      <c r="M31" s="5">
        <v>100</v>
      </c>
      <c r="N31" s="5">
        <v>801</v>
      </c>
      <c r="O31" s="5">
        <v>21</v>
      </c>
      <c r="P31" s="5">
        <v>66</v>
      </c>
      <c r="Q31" s="5">
        <v>0</v>
      </c>
      <c r="R31" s="8">
        <v>1</v>
      </c>
      <c r="S31" s="8">
        <v>6</v>
      </c>
      <c r="T31" s="8">
        <v>9</v>
      </c>
      <c r="U31" s="8">
        <v>10</v>
      </c>
      <c r="V31" s="8">
        <v>2</v>
      </c>
      <c r="W31" t="s">
        <v>473</v>
      </c>
      <c r="X31" t="s">
        <v>473</v>
      </c>
      <c r="Y31" t="s">
        <v>474</v>
      </c>
      <c r="Z31" t="s">
        <v>473</v>
      </c>
      <c r="AA31" t="s">
        <v>473</v>
      </c>
      <c r="AB31" t="s">
        <v>473</v>
      </c>
      <c r="AC31" s="10">
        <v>3</v>
      </c>
      <c r="AD31" s="10">
        <v>11</v>
      </c>
      <c r="AE31" t="s">
        <v>473</v>
      </c>
    </row>
    <row r="32" spans="1:31" x14ac:dyDescent="0.25">
      <c r="A32">
        <v>6864</v>
      </c>
      <c r="B32">
        <v>1989</v>
      </c>
      <c r="C32" t="s">
        <v>36</v>
      </c>
      <c r="D32" t="s">
        <v>37</v>
      </c>
      <c r="E32" t="str">
        <f>IF(OR(Table1[[#This Row],[marital_status]]="Married", Table1[[#This Row],[marital_status]]="Together"), "Partnered", "Single")</f>
        <v>Single</v>
      </c>
      <c r="F32" s="7">
        <v>10979</v>
      </c>
      <c r="G32" s="8">
        <v>0</v>
      </c>
      <c r="H32" s="8">
        <v>0</v>
      </c>
      <c r="I32" s="8">
        <f>Table1[[#This Row],[kids]]+Table1[[#This Row],[teens]]</f>
        <v>0</v>
      </c>
      <c r="J32" s="9">
        <v>41781</v>
      </c>
      <c r="K32" s="8">
        <v>34</v>
      </c>
      <c r="L32" s="6">
        <v>8</v>
      </c>
      <c r="M32" s="5">
        <v>4</v>
      </c>
      <c r="N32" s="5">
        <v>10</v>
      </c>
      <c r="O32" s="5">
        <v>2</v>
      </c>
      <c r="P32" s="5">
        <v>2</v>
      </c>
      <c r="Q32" s="5">
        <v>4</v>
      </c>
      <c r="R32" s="8">
        <v>2</v>
      </c>
      <c r="S32" s="8">
        <v>3</v>
      </c>
      <c r="T32" s="8">
        <v>0</v>
      </c>
      <c r="U32" s="8">
        <v>3</v>
      </c>
      <c r="V32" s="8">
        <v>5</v>
      </c>
      <c r="W32" t="s">
        <v>473</v>
      </c>
      <c r="X32" t="s">
        <v>473</v>
      </c>
      <c r="Y32" t="s">
        <v>473</v>
      </c>
      <c r="Z32" t="s">
        <v>473</v>
      </c>
      <c r="AA32" t="s">
        <v>473</v>
      </c>
      <c r="AB32" t="s">
        <v>473</v>
      </c>
      <c r="AC32" s="10">
        <v>3</v>
      </c>
      <c r="AD32" s="10">
        <v>11</v>
      </c>
      <c r="AE32" t="s">
        <v>473</v>
      </c>
    </row>
    <row r="33" spans="1:31" x14ac:dyDescent="0.25">
      <c r="A33">
        <v>3033</v>
      </c>
      <c r="B33">
        <v>1963</v>
      </c>
      <c r="C33" t="s">
        <v>36</v>
      </c>
      <c r="D33" t="s">
        <v>31</v>
      </c>
      <c r="E33" t="str">
        <f>IF(OR(Table1[[#This Row],[marital_status]]="Married", Table1[[#This Row],[marital_status]]="Together"), "Partnered", "Single")</f>
        <v>Partnered</v>
      </c>
      <c r="F33" s="7">
        <v>38620</v>
      </c>
      <c r="G33" s="8">
        <v>0</v>
      </c>
      <c r="H33" s="8">
        <v>0</v>
      </c>
      <c r="I33" s="8">
        <f>Table1[[#This Row],[kids]]+Table1[[#This Row],[teens]]</f>
        <v>0</v>
      </c>
      <c r="J33" s="9">
        <v>41405</v>
      </c>
      <c r="K33" s="8">
        <v>56</v>
      </c>
      <c r="L33" s="6">
        <v>112</v>
      </c>
      <c r="M33" s="5">
        <v>17</v>
      </c>
      <c r="N33" s="5">
        <v>44</v>
      </c>
      <c r="O33" s="5">
        <v>34</v>
      </c>
      <c r="P33" s="5">
        <v>22</v>
      </c>
      <c r="Q33" s="5">
        <v>89</v>
      </c>
      <c r="R33" s="8">
        <v>1</v>
      </c>
      <c r="S33" s="8">
        <v>2</v>
      </c>
      <c r="T33" s="8">
        <v>5</v>
      </c>
      <c r="U33" s="8">
        <v>3</v>
      </c>
      <c r="V33" s="8">
        <v>3</v>
      </c>
      <c r="W33" t="s">
        <v>473</v>
      </c>
      <c r="X33" t="s">
        <v>473</v>
      </c>
      <c r="Y33" t="s">
        <v>473</v>
      </c>
      <c r="Z33" t="s">
        <v>473</v>
      </c>
      <c r="AA33" t="s">
        <v>473</v>
      </c>
      <c r="AB33" t="s">
        <v>473</v>
      </c>
      <c r="AC33" s="10">
        <v>3</v>
      </c>
      <c r="AD33" s="10">
        <v>11</v>
      </c>
      <c r="AE33" t="s">
        <v>473</v>
      </c>
    </row>
    <row r="34" spans="1:31" x14ac:dyDescent="0.25">
      <c r="A34">
        <v>5710</v>
      </c>
      <c r="B34">
        <v>1970</v>
      </c>
      <c r="C34" t="s">
        <v>466</v>
      </c>
      <c r="D34" t="s">
        <v>31</v>
      </c>
      <c r="E34" t="str">
        <f>IF(OR(Table1[[#This Row],[marital_status]]="Married", Table1[[#This Row],[marital_status]]="Together"), "Partnered", "Single")</f>
        <v>Partnered</v>
      </c>
      <c r="F34" s="7">
        <v>40548</v>
      </c>
      <c r="G34" s="8">
        <v>0</v>
      </c>
      <c r="H34" s="8">
        <v>1</v>
      </c>
      <c r="I34" s="8">
        <f>Table1[[#This Row],[kids]]+Table1[[#This Row],[teens]]</f>
        <v>1</v>
      </c>
      <c r="J34" s="9">
        <v>41192</v>
      </c>
      <c r="K34" s="8">
        <v>31</v>
      </c>
      <c r="L34" s="6">
        <v>110</v>
      </c>
      <c r="M34" s="5">
        <v>0</v>
      </c>
      <c r="N34" s="5">
        <v>5</v>
      </c>
      <c r="O34" s="5">
        <v>2</v>
      </c>
      <c r="P34" s="5">
        <v>0</v>
      </c>
      <c r="Q34" s="5">
        <v>3</v>
      </c>
      <c r="R34" s="8">
        <v>2</v>
      </c>
      <c r="S34" s="8">
        <v>2</v>
      </c>
      <c r="T34" s="8">
        <v>1</v>
      </c>
      <c r="U34" s="8">
        <v>4</v>
      </c>
      <c r="V34" s="8">
        <v>5</v>
      </c>
      <c r="W34" t="s">
        <v>473</v>
      </c>
      <c r="X34" t="s">
        <v>474</v>
      </c>
      <c r="Y34" t="s">
        <v>473</v>
      </c>
      <c r="Z34" t="s">
        <v>473</v>
      </c>
      <c r="AA34" t="s">
        <v>473</v>
      </c>
      <c r="AB34" t="s">
        <v>473</v>
      </c>
      <c r="AC34" s="10">
        <v>3</v>
      </c>
      <c r="AD34" s="10">
        <v>11</v>
      </c>
      <c r="AE34" t="s">
        <v>473</v>
      </c>
    </row>
    <row r="35" spans="1:31" x14ac:dyDescent="0.25">
      <c r="A35">
        <v>7373</v>
      </c>
      <c r="B35">
        <v>1952</v>
      </c>
      <c r="C35" t="s">
        <v>33</v>
      </c>
      <c r="D35" t="s">
        <v>37</v>
      </c>
      <c r="E35" t="str">
        <f>IF(OR(Table1[[#This Row],[marital_status]]="Married", Table1[[#This Row],[marital_status]]="Together"), "Partnered", "Single")</f>
        <v>Single</v>
      </c>
      <c r="F35" s="7">
        <v>46610</v>
      </c>
      <c r="G35" s="8">
        <v>0</v>
      </c>
      <c r="H35" s="8">
        <v>2</v>
      </c>
      <c r="I35" s="8">
        <f>Table1[[#This Row],[kids]]+Table1[[#This Row],[teens]]</f>
        <v>2</v>
      </c>
      <c r="J35" s="9">
        <v>41211</v>
      </c>
      <c r="K35" s="8">
        <v>8</v>
      </c>
      <c r="L35" s="6">
        <v>96</v>
      </c>
      <c r="M35" s="5">
        <v>12</v>
      </c>
      <c r="N35" s="5">
        <v>96</v>
      </c>
      <c r="O35" s="5">
        <v>33</v>
      </c>
      <c r="P35" s="5">
        <v>22</v>
      </c>
      <c r="Q35" s="5">
        <v>43</v>
      </c>
      <c r="R35" s="8">
        <v>6</v>
      </c>
      <c r="S35" s="8">
        <v>4</v>
      </c>
      <c r="T35" s="8">
        <v>1</v>
      </c>
      <c r="U35" s="8">
        <v>6</v>
      </c>
      <c r="V35" s="8">
        <v>6</v>
      </c>
      <c r="W35" t="s">
        <v>473</v>
      </c>
      <c r="X35" t="s">
        <v>473</v>
      </c>
      <c r="Y35" t="s">
        <v>473</v>
      </c>
      <c r="Z35" t="s">
        <v>473</v>
      </c>
      <c r="AA35" t="s">
        <v>473</v>
      </c>
      <c r="AB35" t="s">
        <v>473</v>
      </c>
      <c r="AC35" s="10">
        <v>3</v>
      </c>
      <c r="AD35" s="10">
        <v>11</v>
      </c>
      <c r="AE35" t="s">
        <v>474</v>
      </c>
    </row>
    <row r="36" spans="1:31" x14ac:dyDescent="0.25">
      <c r="A36">
        <v>8755</v>
      </c>
      <c r="B36">
        <v>1946</v>
      </c>
      <c r="C36" t="s">
        <v>36</v>
      </c>
      <c r="D36" t="s">
        <v>34</v>
      </c>
      <c r="E36" t="str">
        <f>IF(OR(Table1[[#This Row],[marital_status]]="Married", Table1[[#This Row],[marital_status]]="Together"), "Partnered", "Single")</f>
        <v>Partnered</v>
      </c>
      <c r="F36" s="7">
        <v>68657</v>
      </c>
      <c r="G36" s="8">
        <v>0</v>
      </c>
      <c r="H36" s="8">
        <v>0</v>
      </c>
      <c r="I36" s="8">
        <f>Table1[[#This Row],[kids]]+Table1[[#This Row],[teens]]</f>
        <v>0</v>
      </c>
      <c r="J36" s="9">
        <v>41325</v>
      </c>
      <c r="K36" s="8">
        <v>4</v>
      </c>
      <c r="L36" s="6">
        <v>482</v>
      </c>
      <c r="M36" s="5">
        <v>34</v>
      </c>
      <c r="N36" s="5">
        <v>471</v>
      </c>
      <c r="O36" s="5">
        <v>119</v>
      </c>
      <c r="P36" s="5">
        <v>68</v>
      </c>
      <c r="Q36" s="5">
        <v>22</v>
      </c>
      <c r="R36" s="8">
        <v>1</v>
      </c>
      <c r="S36" s="8">
        <v>3</v>
      </c>
      <c r="T36" s="8">
        <v>5</v>
      </c>
      <c r="U36" s="8">
        <v>9</v>
      </c>
      <c r="V36" s="8">
        <v>7</v>
      </c>
      <c r="W36" t="s">
        <v>473</v>
      </c>
      <c r="X36" t="s">
        <v>473</v>
      </c>
      <c r="Y36" t="s">
        <v>473</v>
      </c>
      <c r="Z36" t="s">
        <v>473</v>
      </c>
      <c r="AA36" t="s">
        <v>473</v>
      </c>
      <c r="AB36" t="s">
        <v>473</v>
      </c>
      <c r="AC36" s="10">
        <v>3</v>
      </c>
      <c r="AD36" s="10">
        <v>11</v>
      </c>
      <c r="AE36" t="s">
        <v>473</v>
      </c>
    </row>
    <row r="37" spans="1:31" x14ac:dyDescent="0.25">
      <c r="A37">
        <v>10738</v>
      </c>
      <c r="B37">
        <v>1951</v>
      </c>
      <c r="C37" t="s">
        <v>36</v>
      </c>
      <c r="D37" t="s">
        <v>30</v>
      </c>
      <c r="E37" t="str">
        <f>IF(OR(Table1[[#This Row],[marital_status]]="Married", Table1[[#This Row],[marital_status]]="Together"), "Partnered", "Single")</f>
        <v>Single</v>
      </c>
      <c r="F37" s="7">
        <v>49389</v>
      </c>
      <c r="G37" s="8">
        <v>1</v>
      </c>
      <c r="H37" s="8">
        <v>1</v>
      </c>
      <c r="I37" s="8">
        <f>Table1[[#This Row],[kids]]+Table1[[#This Row],[teens]]</f>
        <v>2</v>
      </c>
      <c r="J37" s="9">
        <v>41515</v>
      </c>
      <c r="K37" s="8">
        <v>55</v>
      </c>
      <c r="L37" s="6">
        <v>40</v>
      </c>
      <c r="M37" s="5">
        <v>0</v>
      </c>
      <c r="N37" s="5">
        <v>19</v>
      </c>
      <c r="O37" s="5">
        <v>2</v>
      </c>
      <c r="P37" s="5">
        <v>1</v>
      </c>
      <c r="Q37" s="5">
        <v>3</v>
      </c>
      <c r="R37" s="8">
        <v>1</v>
      </c>
      <c r="S37" s="8">
        <v>2</v>
      </c>
      <c r="T37" s="8">
        <v>0</v>
      </c>
      <c r="U37" s="8">
        <v>3</v>
      </c>
      <c r="V37" s="8">
        <v>7</v>
      </c>
      <c r="W37" t="s">
        <v>473</v>
      </c>
      <c r="X37" t="s">
        <v>473</v>
      </c>
      <c r="Y37" t="s">
        <v>473</v>
      </c>
      <c r="Z37" t="s">
        <v>473</v>
      </c>
      <c r="AA37" t="s">
        <v>473</v>
      </c>
      <c r="AB37" t="s">
        <v>473</v>
      </c>
      <c r="AC37" s="10">
        <v>3</v>
      </c>
      <c r="AD37" s="10">
        <v>11</v>
      </c>
      <c r="AE37" t="s">
        <v>473</v>
      </c>
    </row>
    <row r="38" spans="1:31" x14ac:dyDescent="0.25">
      <c r="A38">
        <v>4339</v>
      </c>
      <c r="B38">
        <v>1970</v>
      </c>
      <c r="C38" t="s">
        <v>33</v>
      </c>
      <c r="D38" t="s">
        <v>34</v>
      </c>
      <c r="E38" t="str">
        <f>IF(OR(Table1[[#This Row],[marital_status]]="Married", Table1[[#This Row],[marital_status]]="Together"), "Partnered", "Single")</f>
        <v>Partnered</v>
      </c>
      <c r="F38" s="7">
        <v>67353</v>
      </c>
      <c r="G38" s="8">
        <v>0</v>
      </c>
      <c r="H38" s="8">
        <v>1</v>
      </c>
      <c r="I38" s="8">
        <f>Table1[[#This Row],[kids]]+Table1[[#This Row],[teens]]</f>
        <v>1</v>
      </c>
      <c r="J38" s="9">
        <v>41639</v>
      </c>
      <c r="K38" s="8">
        <v>37</v>
      </c>
      <c r="L38" s="6">
        <v>702</v>
      </c>
      <c r="M38" s="5">
        <v>17</v>
      </c>
      <c r="N38" s="5">
        <v>151</v>
      </c>
      <c r="O38" s="5">
        <v>0</v>
      </c>
      <c r="P38" s="5">
        <v>8</v>
      </c>
      <c r="Q38" s="5">
        <v>35</v>
      </c>
      <c r="R38" s="8">
        <v>5</v>
      </c>
      <c r="S38" s="8">
        <v>5</v>
      </c>
      <c r="T38" s="8">
        <v>6</v>
      </c>
      <c r="U38" s="8">
        <v>12</v>
      </c>
      <c r="V38" s="8">
        <v>2</v>
      </c>
      <c r="W38" t="s">
        <v>473</v>
      </c>
      <c r="X38" t="s">
        <v>473</v>
      </c>
      <c r="Y38" t="s">
        <v>473</v>
      </c>
      <c r="Z38" t="s">
        <v>473</v>
      </c>
      <c r="AA38" t="s">
        <v>473</v>
      </c>
      <c r="AB38" t="s">
        <v>473</v>
      </c>
      <c r="AC38" s="10">
        <v>3</v>
      </c>
      <c r="AD38" s="10">
        <v>11</v>
      </c>
      <c r="AE38" t="s">
        <v>473</v>
      </c>
    </row>
    <row r="39" spans="1:31" x14ac:dyDescent="0.25">
      <c r="A39">
        <v>10755</v>
      </c>
      <c r="B39">
        <v>1976</v>
      </c>
      <c r="C39" t="s">
        <v>46</v>
      </c>
      <c r="D39" t="s">
        <v>34</v>
      </c>
      <c r="E39" t="str">
        <f>IF(OR(Table1[[#This Row],[marital_status]]="Married", Table1[[#This Row],[marital_status]]="Together"), "Partnered", "Single")</f>
        <v>Partnered</v>
      </c>
      <c r="F39" s="7">
        <v>23718</v>
      </c>
      <c r="G39" s="8">
        <v>1</v>
      </c>
      <c r="H39" s="8">
        <v>0</v>
      </c>
      <c r="I39" s="8">
        <f>Table1[[#This Row],[kids]]+Table1[[#This Row],[teens]]</f>
        <v>1</v>
      </c>
      <c r="J39" s="9">
        <v>41519</v>
      </c>
      <c r="K39" s="8">
        <v>76</v>
      </c>
      <c r="L39" s="6">
        <v>6</v>
      </c>
      <c r="M39" s="5">
        <v>3</v>
      </c>
      <c r="N39" s="5">
        <v>14</v>
      </c>
      <c r="O39" s="5">
        <v>15</v>
      </c>
      <c r="P39" s="5">
        <v>7</v>
      </c>
      <c r="Q39" s="5">
        <v>36</v>
      </c>
      <c r="R39" s="8">
        <v>3</v>
      </c>
      <c r="S39" s="8">
        <v>3</v>
      </c>
      <c r="T39" s="8">
        <v>1</v>
      </c>
      <c r="U39" s="8">
        <v>2</v>
      </c>
      <c r="V39" s="8">
        <v>7</v>
      </c>
      <c r="W39" t="s">
        <v>473</v>
      </c>
      <c r="X39" t="s">
        <v>473</v>
      </c>
      <c r="Y39" t="s">
        <v>473</v>
      </c>
      <c r="Z39" t="s">
        <v>473</v>
      </c>
      <c r="AA39" t="s">
        <v>473</v>
      </c>
      <c r="AB39" t="s">
        <v>473</v>
      </c>
      <c r="AC39" s="10">
        <v>3</v>
      </c>
      <c r="AD39" s="10">
        <v>11</v>
      </c>
      <c r="AE39" t="s">
        <v>473</v>
      </c>
    </row>
    <row r="40" spans="1:31" x14ac:dyDescent="0.25">
      <c r="A40">
        <v>8595</v>
      </c>
      <c r="B40">
        <v>1973</v>
      </c>
      <c r="C40" t="s">
        <v>466</v>
      </c>
      <c r="D40" t="s">
        <v>57</v>
      </c>
      <c r="E40" t="str">
        <f>IF(OR(Table1[[#This Row],[marital_status]]="Married", Table1[[#This Row],[marital_status]]="Together"), "Partnered", "Single")</f>
        <v>Single</v>
      </c>
      <c r="F40" s="7">
        <v>42429</v>
      </c>
      <c r="G40" s="8">
        <v>0</v>
      </c>
      <c r="H40" s="8">
        <v>1</v>
      </c>
      <c r="I40" s="8">
        <f>Table1[[#This Row],[kids]]+Table1[[#This Row],[teens]]</f>
        <v>1</v>
      </c>
      <c r="J40" s="9">
        <v>41681</v>
      </c>
      <c r="K40" s="8">
        <v>99</v>
      </c>
      <c r="L40" s="6">
        <v>55</v>
      </c>
      <c r="M40" s="5">
        <v>0</v>
      </c>
      <c r="N40" s="5">
        <v>6</v>
      </c>
      <c r="O40" s="5">
        <v>2</v>
      </c>
      <c r="P40" s="5">
        <v>0</v>
      </c>
      <c r="Q40" s="5">
        <v>4</v>
      </c>
      <c r="R40" s="8">
        <v>2</v>
      </c>
      <c r="S40" s="8">
        <v>1</v>
      </c>
      <c r="T40" s="8">
        <v>1</v>
      </c>
      <c r="U40" s="8">
        <v>3</v>
      </c>
      <c r="V40" s="8">
        <v>5</v>
      </c>
      <c r="W40" t="s">
        <v>473</v>
      </c>
      <c r="X40" t="s">
        <v>473</v>
      </c>
      <c r="Y40" t="s">
        <v>473</v>
      </c>
      <c r="Z40" t="s">
        <v>473</v>
      </c>
      <c r="AA40" t="s">
        <v>473</v>
      </c>
      <c r="AB40" t="s">
        <v>473</v>
      </c>
      <c r="AC40" s="10">
        <v>3</v>
      </c>
      <c r="AD40" s="10">
        <v>11</v>
      </c>
      <c r="AE40" t="s">
        <v>473</v>
      </c>
    </row>
    <row r="41" spans="1:31" x14ac:dyDescent="0.25">
      <c r="A41">
        <v>2968</v>
      </c>
      <c r="B41">
        <v>1943</v>
      </c>
      <c r="C41" t="s">
        <v>33</v>
      </c>
      <c r="D41" t="s">
        <v>37</v>
      </c>
      <c r="E41" t="str">
        <f>IF(OR(Table1[[#This Row],[marital_status]]="Married", Table1[[#This Row],[marital_status]]="Together"), "Partnered", "Single")</f>
        <v>Single</v>
      </c>
      <c r="F41" s="7">
        <v>48948</v>
      </c>
      <c r="G41" s="8">
        <v>0</v>
      </c>
      <c r="H41" s="8">
        <v>0</v>
      </c>
      <c r="I41" s="8">
        <f>Table1[[#This Row],[kids]]+Table1[[#This Row],[teens]]</f>
        <v>0</v>
      </c>
      <c r="J41" s="9">
        <v>41306</v>
      </c>
      <c r="K41" s="8">
        <v>53</v>
      </c>
      <c r="L41" s="6">
        <v>437</v>
      </c>
      <c r="M41" s="5">
        <v>8</v>
      </c>
      <c r="N41" s="5">
        <v>206</v>
      </c>
      <c r="O41" s="5">
        <v>160</v>
      </c>
      <c r="P41" s="5">
        <v>49</v>
      </c>
      <c r="Q41" s="5">
        <v>42</v>
      </c>
      <c r="R41" s="8">
        <v>2</v>
      </c>
      <c r="S41" s="8">
        <v>7</v>
      </c>
      <c r="T41" s="8">
        <v>10</v>
      </c>
      <c r="U41" s="8">
        <v>5</v>
      </c>
      <c r="V41" s="8">
        <v>6</v>
      </c>
      <c r="W41" t="s">
        <v>474</v>
      </c>
      <c r="X41" t="s">
        <v>473</v>
      </c>
      <c r="Y41" t="s">
        <v>473</v>
      </c>
      <c r="Z41" t="s">
        <v>473</v>
      </c>
      <c r="AA41" t="s">
        <v>473</v>
      </c>
      <c r="AB41" t="s">
        <v>473</v>
      </c>
      <c r="AC41" s="10">
        <v>3</v>
      </c>
      <c r="AD41" s="10">
        <v>11</v>
      </c>
      <c r="AE41" t="s">
        <v>474</v>
      </c>
    </row>
    <row r="42" spans="1:31" x14ac:dyDescent="0.25">
      <c r="A42">
        <v>8601</v>
      </c>
      <c r="B42">
        <v>1980</v>
      </c>
      <c r="C42" t="s">
        <v>466</v>
      </c>
      <c r="D42" t="s">
        <v>34</v>
      </c>
      <c r="E42" t="str">
        <f>IF(OR(Table1[[#This Row],[marital_status]]="Married", Table1[[#This Row],[marital_status]]="Together"), "Partnered", "Single")</f>
        <v>Partnered</v>
      </c>
      <c r="F42" s="7">
        <v>80011</v>
      </c>
      <c r="G42" s="8">
        <v>0</v>
      </c>
      <c r="H42" s="8">
        <v>1</v>
      </c>
      <c r="I42" s="8">
        <f>Table1[[#This Row],[kids]]+Table1[[#This Row],[teens]]</f>
        <v>1</v>
      </c>
      <c r="J42" s="9">
        <v>41393</v>
      </c>
      <c r="K42" s="8">
        <v>3</v>
      </c>
      <c r="L42" s="6">
        <v>421</v>
      </c>
      <c r="M42" s="5">
        <v>76</v>
      </c>
      <c r="N42" s="5">
        <v>536</v>
      </c>
      <c r="O42" s="5">
        <v>82</v>
      </c>
      <c r="P42" s="5">
        <v>178</v>
      </c>
      <c r="Q42" s="5">
        <v>102</v>
      </c>
      <c r="R42" s="8">
        <v>2</v>
      </c>
      <c r="S42" s="8">
        <v>8</v>
      </c>
      <c r="T42" s="8">
        <v>6</v>
      </c>
      <c r="U42" s="8">
        <v>5</v>
      </c>
      <c r="V42" s="8">
        <v>4</v>
      </c>
      <c r="W42" t="s">
        <v>473</v>
      </c>
      <c r="X42" t="s">
        <v>473</v>
      </c>
      <c r="Y42" t="s">
        <v>473</v>
      </c>
      <c r="Z42" t="s">
        <v>473</v>
      </c>
      <c r="AA42" t="s">
        <v>473</v>
      </c>
      <c r="AB42" t="s">
        <v>473</v>
      </c>
      <c r="AC42" s="10">
        <v>3</v>
      </c>
      <c r="AD42" s="10">
        <v>11</v>
      </c>
      <c r="AE42" t="s">
        <v>473</v>
      </c>
    </row>
    <row r="43" spans="1:31" x14ac:dyDescent="0.25">
      <c r="A43">
        <v>503</v>
      </c>
      <c r="B43">
        <v>1985</v>
      </c>
      <c r="C43" t="s">
        <v>36</v>
      </c>
      <c r="D43" t="s">
        <v>34</v>
      </c>
      <c r="E43" t="str">
        <f>IF(OR(Table1[[#This Row],[marital_status]]="Married", Table1[[#This Row],[marital_status]]="Together"), "Partnered", "Single")</f>
        <v>Partnered</v>
      </c>
      <c r="F43" s="7">
        <v>20559</v>
      </c>
      <c r="G43" s="8">
        <v>1</v>
      </c>
      <c r="H43" s="8">
        <v>0</v>
      </c>
      <c r="I43" s="8">
        <f>Table1[[#This Row],[kids]]+Table1[[#This Row],[teens]]</f>
        <v>1</v>
      </c>
      <c r="J43" s="9">
        <v>41345</v>
      </c>
      <c r="K43" s="8">
        <v>88</v>
      </c>
      <c r="L43" s="6">
        <v>13</v>
      </c>
      <c r="M43" s="5">
        <v>1</v>
      </c>
      <c r="N43" s="5">
        <v>29</v>
      </c>
      <c r="O43" s="5">
        <v>3</v>
      </c>
      <c r="P43" s="5">
        <v>0</v>
      </c>
      <c r="Q43" s="5">
        <v>7</v>
      </c>
      <c r="R43" s="8">
        <v>2</v>
      </c>
      <c r="S43" s="8">
        <v>2</v>
      </c>
      <c r="T43" s="8">
        <v>0</v>
      </c>
      <c r="U43" s="8">
        <v>3</v>
      </c>
      <c r="V43" s="8">
        <v>8</v>
      </c>
      <c r="W43" t="s">
        <v>473</v>
      </c>
      <c r="X43" t="s">
        <v>473</v>
      </c>
      <c r="Y43" t="s">
        <v>473</v>
      </c>
      <c r="Z43" t="s">
        <v>473</v>
      </c>
      <c r="AA43" t="s">
        <v>473</v>
      </c>
      <c r="AB43" t="s">
        <v>473</v>
      </c>
      <c r="AC43" s="10">
        <v>3</v>
      </c>
      <c r="AD43" s="10">
        <v>11</v>
      </c>
      <c r="AE43" t="s">
        <v>473</v>
      </c>
    </row>
    <row r="44" spans="1:31" x14ac:dyDescent="0.25">
      <c r="A44">
        <v>8430</v>
      </c>
      <c r="B44">
        <v>1957</v>
      </c>
      <c r="C44" t="s">
        <v>466</v>
      </c>
      <c r="D44" t="s">
        <v>31</v>
      </c>
      <c r="E44" t="str">
        <f>IF(OR(Table1[[#This Row],[marital_status]]="Married", Table1[[#This Row],[marital_status]]="Together"), "Partnered", "Single")</f>
        <v>Partnered</v>
      </c>
      <c r="F44" s="7">
        <v>21994</v>
      </c>
      <c r="G44" s="8">
        <v>0</v>
      </c>
      <c r="H44" s="8">
        <v>1</v>
      </c>
      <c r="I44" s="8">
        <f>Table1[[#This Row],[kids]]+Table1[[#This Row],[teens]]</f>
        <v>1</v>
      </c>
      <c r="J44" s="9">
        <v>41267</v>
      </c>
      <c r="K44" s="8">
        <v>4</v>
      </c>
      <c r="L44" s="6">
        <v>9</v>
      </c>
      <c r="M44" s="5">
        <v>0</v>
      </c>
      <c r="N44" s="5">
        <v>6</v>
      </c>
      <c r="O44" s="5">
        <v>3</v>
      </c>
      <c r="P44" s="5">
        <v>1</v>
      </c>
      <c r="Q44" s="5">
        <v>3</v>
      </c>
      <c r="R44" s="8">
        <v>1</v>
      </c>
      <c r="S44" s="8">
        <v>0</v>
      </c>
      <c r="T44" s="8">
        <v>0</v>
      </c>
      <c r="U44" s="8">
        <v>3</v>
      </c>
      <c r="V44" s="8">
        <v>5</v>
      </c>
      <c r="W44" t="s">
        <v>473</v>
      </c>
      <c r="X44" t="s">
        <v>473</v>
      </c>
      <c r="Y44" t="s">
        <v>473</v>
      </c>
      <c r="Z44" t="s">
        <v>473</v>
      </c>
      <c r="AA44" t="s">
        <v>473</v>
      </c>
      <c r="AB44" t="s">
        <v>473</v>
      </c>
      <c r="AC44" s="10">
        <v>3</v>
      </c>
      <c r="AD44" s="10">
        <v>11</v>
      </c>
      <c r="AE44" t="s">
        <v>473</v>
      </c>
    </row>
    <row r="45" spans="1:31" x14ac:dyDescent="0.25">
      <c r="A45">
        <v>7281</v>
      </c>
      <c r="B45">
        <v>1959</v>
      </c>
      <c r="C45" t="s">
        <v>33</v>
      </c>
      <c r="D45" t="s">
        <v>30</v>
      </c>
      <c r="E45" t="str">
        <f>IF(OR(Table1[[#This Row],[marital_status]]="Married", Table1[[#This Row],[marital_status]]="Together"), "Partnered", "Single")</f>
        <v>Single</v>
      </c>
      <c r="F45" s="7" t="s">
        <v>464</v>
      </c>
      <c r="G45" s="8">
        <v>0</v>
      </c>
      <c r="H45" s="8">
        <v>0</v>
      </c>
      <c r="I45" s="8">
        <f>Table1[[#This Row],[kids]]+Table1[[#This Row],[teens]]</f>
        <v>0</v>
      </c>
      <c r="J45" s="9">
        <v>41583</v>
      </c>
      <c r="K45" s="8">
        <v>80</v>
      </c>
      <c r="L45" s="6">
        <v>81</v>
      </c>
      <c r="M45" s="5">
        <v>11</v>
      </c>
      <c r="N45" s="5">
        <v>50</v>
      </c>
      <c r="O45" s="5">
        <v>3</v>
      </c>
      <c r="P45" s="5">
        <v>2</v>
      </c>
      <c r="Q45" s="5">
        <v>39</v>
      </c>
      <c r="R45" s="8">
        <v>1</v>
      </c>
      <c r="S45" s="8">
        <v>1</v>
      </c>
      <c r="T45" s="8">
        <v>3</v>
      </c>
      <c r="U45" s="8">
        <v>4</v>
      </c>
      <c r="V45" s="8">
        <v>2</v>
      </c>
      <c r="W45" t="s">
        <v>473</v>
      </c>
      <c r="X45" t="s">
        <v>473</v>
      </c>
      <c r="Y45" t="s">
        <v>473</v>
      </c>
      <c r="Z45" t="s">
        <v>473</v>
      </c>
      <c r="AA45" t="s">
        <v>473</v>
      </c>
      <c r="AB45" t="s">
        <v>473</v>
      </c>
      <c r="AC45" s="10">
        <v>3</v>
      </c>
      <c r="AD45" s="10">
        <v>11</v>
      </c>
      <c r="AE45" t="s">
        <v>473</v>
      </c>
    </row>
    <row r="46" spans="1:31" x14ac:dyDescent="0.25">
      <c r="A46">
        <v>2139</v>
      </c>
      <c r="B46">
        <v>1975</v>
      </c>
      <c r="C46" t="s">
        <v>36</v>
      </c>
      <c r="D46" t="s">
        <v>34</v>
      </c>
      <c r="E46" t="str">
        <f>IF(OR(Table1[[#This Row],[marital_status]]="Married", Table1[[#This Row],[marital_status]]="Together"), "Partnered", "Single")</f>
        <v>Partnered</v>
      </c>
      <c r="F46" s="7">
        <v>7500</v>
      </c>
      <c r="G46" s="8">
        <v>1</v>
      </c>
      <c r="H46" s="8">
        <v>0</v>
      </c>
      <c r="I46" s="8">
        <f>Table1[[#This Row],[kids]]+Table1[[#This Row],[teens]]</f>
        <v>1</v>
      </c>
      <c r="J46" s="9">
        <v>41549</v>
      </c>
      <c r="K46" s="8">
        <v>19</v>
      </c>
      <c r="L46" s="6">
        <v>3</v>
      </c>
      <c r="M46" s="5">
        <v>1</v>
      </c>
      <c r="N46" s="5">
        <v>10</v>
      </c>
      <c r="O46" s="5">
        <v>3</v>
      </c>
      <c r="P46" s="5">
        <v>2</v>
      </c>
      <c r="Q46" s="5">
        <v>12</v>
      </c>
      <c r="R46" s="8">
        <v>3</v>
      </c>
      <c r="S46" s="8">
        <v>2</v>
      </c>
      <c r="T46" s="8">
        <v>0</v>
      </c>
      <c r="U46" s="8">
        <v>3</v>
      </c>
      <c r="V46" s="8">
        <v>5</v>
      </c>
      <c r="W46" t="s">
        <v>473</v>
      </c>
      <c r="X46" t="s">
        <v>473</v>
      </c>
      <c r="Y46" t="s">
        <v>473</v>
      </c>
      <c r="Z46" t="s">
        <v>473</v>
      </c>
      <c r="AA46" t="s">
        <v>473</v>
      </c>
      <c r="AB46" t="s">
        <v>473</v>
      </c>
      <c r="AC46" s="10">
        <v>3</v>
      </c>
      <c r="AD46" s="10">
        <v>11</v>
      </c>
      <c r="AE46" t="s">
        <v>473</v>
      </c>
    </row>
    <row r="47" spans="1:31" x14ac:dyDescent="0.25">
      <c r="A47">
        <v>1371</v>
      </c>
      <c r="B47">
        <v>1976</v>
      </c>
      <c r="C47" t="s">
        <v>466</v>
      </c>
      <c r="D47" t="s">
        <v>30</v>
      </c>
      <c r="E47" t="str">
        <f>IF(OR(Table1[[#This Row],[marital_status]]="Married", Table1[[#This Row],[marital_status]]="Together"), "Partnered", "Single")</f>
        <v>Single</v>
      </c>
      <c r="F47" s="7">
        <v>79941</v>
      </c>
      <c r="G47" s="8">
        <v>0</v>
      </c>
      <c r="H47" s="8">
        <v>0</v>
      </c>
      <c r="I47" s="8">
        <f>Table1[[#This Row],[kids]]+Table1[[#This Row],[teens]]</f>
        <v>0</v>
      </c>
      <c r="J47" s="9">
        <v>41818</v>
      </c>
      <c r="K47" s="8">
        <v>72</v>
      </c>
      <c r="L47" s="6">
        <v>123</v>
      </c>
      <c r="M47" s="5">
        <v>164</v>
      </c>
      <c r="N47" s="5">
        <v>266</v>
      </c>
      <c r="O47" s="5">
        <v>227</v>
      </c>
      <c r="P47" s="5">
        <v>30</v>
      </c>
      <c r="Q47" s="5">
        <v>174</v>
      </c>
      <c r="R47" s="8">
        <v>1</v>
      </c>
      <c r="S47" s="8">
        <v>2</v>
      </c>
      <c r="T47" s="8">
        <v>4</v>
      </c>
      <c r="U47" s="8">
        <v>9</v>
      </c>
      <c r="V47" s="8">
        <v>1</v>
      </c>
      <c r="W47" t="s">
        <v>473</v>
      </c>
      <c r="X47" t="s">
        <v>473</v>
      </c>
      <c r="Y47" t="s">
        <v>473</v>
      </c>
      <c r="Z47" t="s">
        <v>473</v>
      </c>
      <c r="AA47" t="s">
        <v>473</v>
      </c>
      <c r="AB47" t="s">
        <v>473</v>
      </c>
      <c r="AC47" s="10">
        <v>3</v>
      </c>
      <c r="AD47" s="10">
        <v>11</v>
      </c>
      <c r="AE47" t="s">
        <v>473</v>
      </c>
    </row>
    <row r="48" spans="1:31" x14ac:dyDescent="0.25">
      <c r="A48">
        <v>9909</v>
      </c>
      <c r="B48">
        <v>1996</v>
      </c>
      <c r="C48" t="s">
        <v>46</v>
      </c>
      <c r="D48" t="s">
        <v>34</v>
      </c>
      <c r="E48" t="str">
        <f>IF(OR(Table1[[#This Row],[marital_status]]="Married", Table1[[#This Row],[marital_status]]="Together"), "Partnered", "Single")</f>
        <v>Partnered</v>
      </c>
      <c r="F48" s="7">
        <v>7500</v>
      </c>
      <c r="G48" s="8">
        <v>0</v>
      </c>
      <c r="H48" s="8">
        <v>0</v>
      </c>
      <c r="I48" s="8">
        <f>Table1[[#This Row],[kids]]+Table1[[#This Row],[teens]]</f>
        <v>0</v>
      </c>
      <c r="J48" s="9">
        <v>41222</v>
      </c>
      <c r="K48" s="8">
        <v>24</v>
      </c>
      <c r="L48" s="6">
        <v>3</v>
      </c>
      <c r="M48" s="5">
        <v>18</v>
      </c>
      <c r="N48" s="5">
        <v>14</v>
      </c>
      <c r="O48" s="5">
        <v>15</v>
      </c>
      <c r="P48" s="5">
        <v>22</v>
      </c>
      <c r="Q48" s="5">
        <v>50</v>
      </c>
      <c r="R48" s="8">
        <v>3</v>
      </c>
      <c r="S48" s="8">
        <v>3</v>
      </c>
      <c r="T48" s="8">
        <v>1</v>
      </c>
      <c r="U48" s="8">
        <v>3</v>
      </c>
      <c r="V48" s="8">
        <v>9</v>
      </c>
      <c r="W48" t="s">
        <v>473</v>
      </c>
      <c r="X48" t="s">
        <v>473</v>
      </c>
      <c r="Y48" t="s">
        <v>473</v>
      </c>
      <c r="Z48" t="s">
        <v>473</v>
      </c>
      <c r="AA48" t="s">
        <v>473</v>
      </c>
      <c r="AB48" t="s">
        <v>473</v>
      </c>
      <c r="AC48" s="10">
        <v>3</v>
      </c>
      <c r="AD48" s="10">
        <v>11</v>
      </c>
      <c r="AE48" t="s">
        <v>474</v>
      </c>
    </row>
    <row r="49" spans="1:31" x14ac:dyDescent="0.25">
      <c r="A49">
        <v>7286</v>
      </c>
      <c r="B49">
        <v>1968</v>
      </c>
      <c r="C49" t="s">
        <v>466</v>
      </c>
      <c r="D49" t="s">
        <v>31</v>
      </c>
      <c r="E49" t="str">
        <f>IF(OR(Table1[[#This Row],[marital_status]]="Married", Table1[[#This Row],[marital_status]]="Together"), "Partnered", "Single")</f>
        <v>Partnered</v>
      </c>
      <c r="F49" s="7">
        <v>41728</v>
      </c>
      <c r="G49" s="8">
        <v>1</v>
      </c>
      <c r="H49" s="8">
        <v>0</v>
      </c>
      <c r="I49" s="8">
        <f>Table1[[#This Row],[kids]]+Table1[[#This Row],[teens]]</f>
        <v>1</v>
      </c>
      <c r="J49" s="9">
        <v>41418</v>
      </c>
      <c r="K49" s="8">
        <v>92</v>
      </c>
      <c r="L49" s="6">
        <v>13</v>
      </c>
      <c r="M49" s="5">
        <v>6</v>
      </c>
      <c r="N49" s="5">
        <v>15</v>
      </c>
      <c r="O49" s="5">
        <v>3</v>
      </c>
      <c r="P49" s="5">
        <v>5</v>
      </c>
      <c r="Q49" s="5">
        <v>13</v>
      </c>
      <c r="R49" s="8">
        <v>1</v>
      </c>
      <c r="S49" s="8">
        <v>2</v>
      </c>
      <c r="T49" s="8">
        <v>0</v>
      </c>
      <c r="U49" s="8">
        <v>2</v>
      </c>
      <c r="V49" s="8">
        <v>10</v>
      </c>
      <c r="W49" t="s">
        <v>473</v>
      </c>
      <c r="X49" t="s">
        <v>473</v>
      </c>
      <c r="Y49" t="s">
        <v>473</v>
      </c>
      <c r="Z49" t="s">
        <v>473</v>
      </c>
      <c r="AA49" t="s">
        <v>473</v>
      </c>
      <c r="AB49" t="s">
        <v>473</v>
      </c>
      <c r="AC49" s="10">
        <v>3</v>
      </c>
      <c r="AD49" s="10">
        <v>11</v>
      </c>
      <c r="AE49" t="s">
        <v>473</v>
      </c>
    </row>
    <row r="50" spans="1:31" x14ac:dyDescent="0.25">
      <c r="A50">
        <v>7244</v>
      </c>
      <c r="B50">
        <v>1951</v>
      </c>
      <c r="C50" t="s">
        <v>466</v>
      </c>
      <c r="D50" t="s">
        <v>30</v>
      </c>
      <c r="E50" t="str">
        <f>IF(OR(Table1[[#This Row],[marital_status]]="Married", Table1[[#This Row],[marital_status]]="Together"), "Partnered", "Single")</f>
        <v>Single</v>
      </c>
      <c r="F50" s="7" t="s">
        <v>464</v>
      </c>
      <c r="G50" s="8">
        <v>2</v>
      </c>
      <c r="H50" s="8">
        <v>1</v>
      </c>
      <c r="I50" s="8">
        <f>Table1[[#This Row],[kids]]+Table1[[#This Row],[teens]]</f>
        <v>3</v>
      </c>
      <c r="J50" s="9">
        <v>41640</v>
      </c>
      <c r="K50" s="8">
        <v>96</v>
      </c>
      <c r="L50" s="6">
        <v>48</v>
      </c>
      <c r="M50" s="5">
        <v>5</v>
      </c>
      <c r="N50" s="5">
        <v>48</v>
      </c>
      <c r="O50" s="5">
        <v>6</v>
      </c>
      <c r="P50" s="5">
        <v>10</v>
      </c>
      <c r="Q50" s="5">
        <v>7</v>
      </c>
      <c r="R50" s="8">
        <v>3</v>
      </c>
      <c r="S50" s="8">
        <v>2</v>
      </c>
      <c r="T50" s="8">
        <v>1</v>
      </c>
      <c r="U50" s="8">
        <v>4</v>
      </c>
      <c r="V50" s="8">
        <v>6</v>
      </c>
      <c r="W50" t="s">
        <v>473</v>
      </c>
      <c r="X50" t="s">
        <v>473</v>
      </c>
      <c r="Y50" t="s">
        <v>473</v>
      </c>
      <c r="Z50" t="s">
        <v>473</v>
      </c>
      <c r="AA50" t="s">
        <v>473</v>
      </c>
      <c r="AB50" t="s">
        <v>473</v>
      </c>
      <c r="AC50" s="10">
        <v>3</v>
      </c>
      <c r="AD50" s="10">
        <v>11</v>
      </c>
      <c r="AE50" t="s">
        <v>473</v>
      </c>
    </row>
    <row r="51" spans="1:31" x14ac:dyDescent="0.25">
      <c r="A51">
        <v>6566</v>
      </c>
      <c r="B51">
        <v>1954</v>
      </c>
      <c r="C51" t="s">
        <v>33</v>
      </c>
      <c r="D51" t="s">
        <v>34</v>
      </c>
      <c r="E51" t="str">
        <f>IF(OR(Table1[[#This Row],[marital_status]]="Married", Table1[[#This Row],[marital_status]]="Together"), "Partnered", "Single")</f>
        <v>Partnered</v>
      </c>
      <c r="F51" s="7">
        <v>72550</v>
      </c>
      <c r="G51" s="8">
        <v>1</v>
      </c>
      <c r="H51" s="8">
        <v>1</v>
      </c>
      <c r="I51" s="8">
        <f>Table1[[#This Row],[kids]]+Table1[[#This Row],[teens]]</f>
        <v>2</v>
      </c>
      <c r="J51" s="9">
        <v>41221</v>
      </c>
      <c r="K51" s="8">
        <v>39</v>
      </c>
      <c r="L51" s="6">
        <v>826</v>
      </c>
      <c r="M51" s="5">
        <v>50</v>
      </c>
      <c r="N51" s="5">
        <v>317</v>
      </c>
      <c r="O51" s="5">
        <v>50</v>
      </c>
      <c r="P51" s="5">
        <v>38</v>
      </c>
      <c r="Q51" s="5">
        <v>38</v>
      </c>
      <c r="R51" s="8">
        <v>9</v>
      </c>
      <c r="S51" s="8">
        <v>5</v>
      </c>
      <c r="T51" s="8">
        <v>2</v>
      </c>
      <c r="U51" s="8">
        <v>12</v>
      </c>
      <c r="V51" s="8">
        <v>8</v>
      </c>
      <c r="W51" t="s">
        <v>473</v>
      </c>
      <c r="X51" t="s">
        <v>473</v>
      </c>
      <c r="Y51" t="s">
        <v>473</v>
      </c>
      <c r="Z51" t="s">
        <v>473</v>
      </c>
      <c r="AA51" t="s">
        <v>473</v>
      </c>
      <c r="AB51" t="s">
        <v>473</v>
      </c>
      <c r="AC51" s="10">
        <v>3</v>
      </c>
      <c r="AD51" s="10">
        <v>11</v>
      </c>
      <c r="AE51" t="s">
        <v>473</v>
      </c>
    </row>
    <row r="52" spans="1:31" x14ac:dyDescent="0.25">
      <c r="A52">
        <v>8614</v>
      </c>
      <c r="B52">
        <v>1957</v>
      </c>
      <c r="C52" t="s">
        <v>466</v>
      </c>
      <c r="D52" t="s">
        <v>57</v>
      </c>
      <c r="E52" t="str">
        <f>IF(OR(Table1[[#This Row],[marital_status]]="Married", Table1[[#This Row],[marital_status]]="Together"), "Partnered", "Single")</f>
        <v>Single</v>
      </c>
      <c r="F52" s="7">
        <v>65486</v>
      </c>
      <c r="G52" s="8">
        <v>0</v>
      </c>
      <c r="H52" s="8">
        <v>1</v>
      </c>
      <c r="I52" s="8">
        <f>Table1[[#This Row],[kids]]+Table1[[#This Row],[teens]]</f>
        <v>1</v>
      </c>
      <c r="J52" s="9">
        <v>41771</v>
      </c>
      <c r="K52" s="8">
        <v>29</v>
      </c>
      <c r="L52" s="6">
        <v>245</v>
      </c>
      <c r="M52" s="5">
        <v>19</v>
      </c>
      <c r="N52" s="5">
        <v>125</v>
      </c>
      <c r="O52" s="5">
        <v>37</v>
      </c>
      <c r="P52" s="5">
        <v>67</v>
      </c>
      <c r="Q52" s="5">
        <v>14</v>
      </c>
      <c r="R52" s="8">
        <v>1</v>
      </c>
      <c r="S52" s="8">
        <v>4</v>
      </c>
      <c r="T52" s="8">
        <v>2</v>
      </c>
      <c r="U52" s="8">
        <v>10</v>
      </c>
      <c r="V52" s="8">
        <v>2</v>
      </c>
      <c r="W52" t="s">
        <v>473</v>
      </c>
      <c r="X52" t="s">
        <v>473</v>
      </c>
      <c r="Y52" t="s">
        <v>473</v>
      </c>
      <c r="Z52" t="s">
        <v>473</v>
      </c>
      <c r="AA52" t="s">
        <v>473</v>
      </c>
      <c r="AB52" t="s">
        <v>473</v>
      </c>
      <c r="AC52" s="10">
        <v>3</v>
      </c>
      <c r="AD52" s="10">
        <v>11</v>
      </c>
      <c r="AE52" t="s">
        <v>473</v>
      </c>
    </row>
    <row r="53" spans="1:31" x14ac:dyDescent="0.25">
      <c r="A53">
        <v>4114</v>
      </c>
      <c r="B53">
        <v>1964</v>
      </c>
      <c r="C53" t="s">
        <v>36</v>
      </c>
      <c r="D53" t="s">
        <v>34</v>
      </c>
      <c r="E53" t="str">
        <f>IF(OR(Table1[[#This Row],[marital_status]]="Married", Table1[[#This Row],[marital_status]]="Together"), "Partnered", "Single")</f>
        <v>Partnered</v>
      </c>
      <c r="F53" s="7">
        <v>79143</v>
      </c>
      <c r="G53" s="8">
        <v>0</v>
      </c>
      <c r="H53" s="8">
        <v>0</v>
      </c>
      <c r="I53" s="8">
        <f>Table1[[#This Row],[kids]]+Table1[[#This Row],[teens]]</f>
        <v>0</v>
      </c>
      <c r="J53" s="9">
        <v>41132</v>
      </c>
      <c r="K53" s="8">
        <v>2</v>
      </c>
      <c r="L53" s="6">
        <v>650</v>
      </c>
      <c r="M53" s="5">
        <v>37</v>
      </c>
      <c r="N53" s="5">
        <v>780</v>
      </c>
      <c r="O53" s="5">
        <v>27</v>
      </c>
      <c r="P53" s="5">
        <v>167</v>
      </c>
      <c r="Q53" s="5">
        <v>32</v>
      </c>
      <c r="R53" s="8">
        <v>1</v>
      </c>
      <c r="S53" s="8">
        <v>6</v>
      </c>
      <c r="T53" s="8">
        <v>9</v>
      </c>
      <c r="U53" s="8">
        <v>13</v>
      </c>
      <c r="V53" s="8">
        <v>3</v>
      </c>
      <c r="W53" t="s">
        <v>473</v>
      </c>
      <c r="X53" t="s">
        <v>473</v>
      </c>
      <c r="Y53" t="s">
        <v>473</v>
      </c>
      <c r="Z53" t="s">
        <v>473</v>
      </c>
      <c r="AA53" t="s">
        <v>473</v>
      </c>
      <c r="AB53" t="s">
        <v>473</v>
      </c>
      <c r="AC53" s="10">
        <v>3</v>
      </c>
      <c r="AD53" s="10">
        <v>11</v>
      </c>
      <c r="AE53" t="s">
        <v>473</v>
      </c>
    </row>
    <row r="54" spans="1:31" x14ac:dyDescent="0.25">
      <c r="A54">
        <v>1331</v>
      </c>
      <c r="B54">
        <v>1977</v>
      </c>
      <c r="C54" t="s">
        <v>466</v>
      </c>
      <c r="D54" t="s">
        <v>30</v>
      </c>
      <c r="E54" t="str">
        <f>IF(OR(Table1[[#This Row],[marital_status]]="Married", Table1[[#This Row],[marital_status]]="Together"), "Partnered", "Single")</f>
        <v>Single</v>
      </c>
      <c r="F54" s="7">
        <v>35790</v>
      </c>
      <c r="G54" s="8">
        <v>1</v>
      </c>
      <c r="H54" s="8">
        <v>0</v>
      </c>
      <c r="I54" s="8">
        <f>Table1[[#This Row],[kids]]+Table1[[#This Row],[teens]]</f>
        <v>1</v>
      </c>
      <c r="J54" s="9">
        <v>41276</v>
      </c>
      <c r="K54" s="8">
        <v>54</v>
      </c>
      <c r="L54" s="6">
        <v>12</v>
      </c>
      <c r="M54" s="5">
        <v>6</v>
      </c>
      <c r="N54" s="5">
        <v>20</v>
      </c>
      <c r="O54" s="5">
        <v>30</v>
      </c>
      <c r="P54" s="5">
        <v>1</v>
      </c>
      <c r="Q54" s="5">
        <v>3</v>
      </c>
      <c r="R54" s="8">
        <v>2</v>
      </c>
      <c r="S54" s="8">
        <v>2</v>
      </c>
      <c r="T54" s="8">
        <v>0</v>
      </c>
      <c r="U54" s="8">
        <v>3</v>
      </c>
      <c r="V54" s="8">
        <v>7</v>
      </c>
      <c r="W54" t="s">
        <v>473</v>
      </c>
      <c r="X54" t="s">
        <v>473</v>
      </c>
      <c r="Y54" t="s">
        <v>473</v>
      </c>
      <c r="Z54" t="s">
        <v>473</v>
      </c>
      <c r="AA54" t="s">
        <v>473</v>
      </c>
      <c r="AB54" t="s">
        <v>473</v>
      </c>
      <c r="AC54" s="10">
        <v>3</v>
      </c>
      <c r="AD54" s="10">
        <v>11</v>
      </c>
      <c r="AE54" t="s">
        <v>473</v>
      </c>
    </row>
    <row r="55" spans="1:31" x14ac:dyDescent="0.25">
      <c r="A55">
        <v>2225</v>
      </c>
      <c r="B55">
        <v>1977</v>
      </c>
      <c r="C55" t="s">
        <v>466</v>
      </c>
      <c r="D55" t="s">
        <v>37</v>
      </c>
      <c r="E55" t="str">
        <f>IF(OR(Table1[[#This Row],[marital_status]]="Married", Table1[[#This Row],[marital_status]]="Together"), "Partnered", "Single")</f>
        <v>Single</v>
      </c>
      <c r="F55" s="7">
        <v>82582</v>
      </c>
      <c r="G55" s="8">
        <v>0</v>
      </c>
      <c r="H55" s="8">
        <v>0</v>
      </c>
      <c r="I55" s="8">
        <f>Table1[[#This Row],[kids]]+Table1[[#This Row],[teens]]</f>
        <v>0</v>
      </c>
      <c r="J55" s="9">
        <v>41797</v>
      </c>
      <c r="K55" s="8">
        <v>54</v>
      </c>
      <c r="L55" s="6">
        <v>510</v>
      </c>
      <c r="M55" s="5">
        <v>120</v>
      </c>
      <c r="N55" s="5">
        <v>550</v>
      </c>
      <c r="O55" s="5">
        <v>156</v>
      </c>
      <c r="P55" s="5">
        <v>40</v>
      </c>
      <c r="Q55" s="5">
        <v>241</v>
      </c>
      <c r="R55" s="8">
        <v>1</v>
      </c>
      <c r="S55" s="8">
        <v>4</v>
      </c>
      <c r="T55" s="8">
        <v>9</v>
      </c>
      <c r="U55" s="8">
        <v>7</v>
      </c>
      <c r="V55" s="8">
        <v>1</v>
      </c>
      <c r="W55" t="s">
        <v>474</v>
      </c>
      <c r="X55" t="s">
        <v>473</v>
      </c>
      <c r="Y55" t="s">
        <v>473</v>
      </c>
      <c r="Z55" t="s">
        <v>474</v>
      </c>
      <c r="AA55" t="s">
        <v>473</v>
      </c>
      <c r="AB55" t="s">
        <v>473</v>
      </c>
      <c r="AC55" s="10">
        <v>3</v>
      </c>
      <c r="AD55" s="10">
        <v>11</v>
      </c>
      <c r="AE55" t="s">
        <v>474</v>
      </c>
    </row>
    <row r="56" spans="1:31" x14ac:dyDescent="0.25">
      <c r="A56">
        <v>9381</v>
      </c>
      <c r="B56">
        <v>1978</v>
      </c>
      <c r="C56" t="s">
        <v>466</v>
      </c>
      <c r="D56" t="s">
        <v>34</v>
      </c>
      <c r="E56" t="str">
        <f>IF(OR(Table1[[#This Row],[marital_status]]="Married", Table1[[#This Row],[marital_status]]="Together"), "Partnered", "Single")</f>
        <v>Partnered</v>
      </c>
      <c r="F56" s="7">
        <v>66373</v>
      </c>
      <c r="G56" s="8">
        <v>1</v>
      </c>
      <c r="H56" s="8">
        <v>1</v>
      </c>
      <c r="I56" s="8">
        <f>Table1[[#This Row],[kids]]+Table1[[#This Row],[teens]]</f>
        <v>2</v>
      </c>
      <c r="J56" s="9">
        <v>41437</v>
      </c>
      <c r="K56" s="8">
        <v>57</v>
      </c>
      <c r="L56" s="6">
        <v>328</v>
      </c>
      <c r="M56" s="5">
        <v>9</v>
      </c>
      <c r="N56" s="5">
        <v>124</v>
      </c>
      <c r="O56" s="5">
        <v>12</v>
      </c>
      <c r="P56" s="5">
        <v>24</v>
      </c>
      <c r="Q56" s="5">
        <v>109</v>
      </c>
      <c r="R56" s="8">
        <v>7</v>
      </c>
      <c r="S56" s="8">
        <v>4</v>
      </c>
      <c r="T56" s="8">
        <v>2</v>
      </c>
      <c r="U56" s="8">
        <v>10</v>
      </c>
      <c r="V56" s="8">
        <v>3</v>
      </c>
      <c r="W56" t="s">
        <v>473</v>
      </c>
      <c r="X56" t="s">
        <v>473</v>
      </c>
      <c r="Y56" t="s">
        <v>473</v>
      </c>
      <c r="Z56" t="s">
        <v>473</v>
      </c>
      <c r="AA56" t="s">
        <v>473</v>
      </c>
      <c r="AB56" t="s">
        <v>473</v>
      </c>
      <c r="AC56" s="10">
        <v>3</v>
      </c>
      <c r="AD56" s="10">
        <v>11</v>
      </c>
      <c r="AE56" t="s">
        <v>473</v>
      </c>
    </row>
    <row r="57" spans="1:31" x14ac:dyDescent="0.25">
      <c r="A57">
        <v>6260</v>
      </c>
      <c r="B57">
        <v>1955</v>
      </c>
      <c r="C57" t="s">
        <v>36</v>
      </c>
      <c r="D57" t="s">
        <v>31</v>
      </c>
      <c r="E57" t="str">
        <f>IF(OR(Table1[[#This Row],[marital_status]]="Married", Table1[[#This Row],[marital_status]]="Together"), "Partnered", "Single")</f>
        <v>Partnered</v>
      </c>
      <c r="F57" s="7">
        <v>82384</v>
      </c>
      <c r="G57" s="8">
        <v>0</v>
      </c>
      <c r="H57" s="8">
        <v>0</v>
      </c>
      <c r="I57" s="8">
        <f>Table1[[#This Row],[kids]]+Table1[[#This Row],[teens]]</f>
        <v>0</v>
      </c>
      <c r="J57" s="9">
        <v>41232</v>
      </c>
      <c r="K57" s="8">
        <v>55</v>
      </c>
      <c r="L57" s="6">
        <v>984</v>
      </c>
      <c r="M57" s="5">
        <v>51</v>
      </c>
      <c r="N57" s="5">
        <v>432</v>
      </c>
      <c r="O57" s="5">
        <v>180</v>
      </c>
      <c r="P57" s="5">
        <v>120</v>
      </c>
      <c r="Q57" s="5">
        <v>190</v>
      </c>
      <c r="R57" s="8">
        <v>1</v>
      </c>
      <c r="S57" s="8">
        <v>3</v>
      </c>
      <c r="T57" s="8">
        <v>10</v>
      </c>
      <c r="U57" s="8">
        <v>13</v>
      </c>
      <c r="V57" s="8">
        <v>1</v>
      </c>
      <c r="W57" t="s">
        <v>473</v>
      </c>
      <c r="X57" t="s">
        <v>473</v>
      </c>
      <c r="Y57" t="s">
        <v>474</v>
      </c>
      <c r="Z57" t="s">
        <v>473</v>
      </c>
      <c r="AA57" t="s">
        <v>473</v>
      </c>
      <c r="AB57" t="s">
        <v>473</v>
      </c>
      <c r="AC57" s="10">
        <v>3</v>
      </c>
      <c r="AD57" s="10">
        <v>11</v>
      </c>
      <c r="AE57" t="s">
        <v>474</v>
      </c>
    </row>
    <row r="58" spans="1:31" x14ac:dyDescent="0.25">
      <c r="A58">
        <v>10383</v>
      </c>
      <c r="B58">
        <v>1966</v>
      </c>
      <c r="C58" t="s">
        <v>466</v>
      </c>
      <c r="D58" t="s">
        <v>37</v>
      </c>
      <c r="E58" t="str">
        <f>IF(OR(Table1[[#This Row],[marital_status]]="Married", Table1[[#This Row],[marital_status]]="Together"), "Partnered", "Single")</f>
        <v>Single</v>
      </c>
      <c r="F58" s="7">
        <v>70287</v>
      </c>
      <c r="G58" s="8">
        <v>0</v>
      </c>
      <c r="H58" s="8">
        <v>0</v>
      </c>
      <c r="I58" s="8">
        <f>Table1[[#This Row],[kids]]+Table1[[#This Row],[teens]]</f>
        <v>0</v>
      </c>
      <c r="J58" s="9">
        <v>41366</v>
      </c>
      <c r="K58" s="8">
        <v>30</v>
      </c>
      <c r="L58" s="6">
        <v>295</v>
      </c>
      <c r="M58" s="5">
        <v>35</v>
      </c>
      <c r="N58" s="5">
        <v>482</v>
      </c>
      <c r="O58" s="5">
        <v>121</v>
      </c>
      <c r="P58" s="5">
        <v>120</v>
      </c>
      <c r="Q58" s="5">
        <v>40</v>
      </c>
      <c r="R58" s="8">
        <v>1</v>
      </c>
      <c r="S58" s="8">
        <v>5</v>
      </c>
      <c r="T58" s="8">
        <v>5</v>
      </c>
      <c r="U58" s="8">
        <v>10</v>
      </c>
      <c r="V58" s="8">
        <v>3</v>
      </c>
      <c r="W58" t="s">
        <v>473</v>
      </c>
      <c r="X58" t="s">
        <v>473</v>
      </c>
      <c r="Y58" t="s">
        <v>473</v>
      </c>
      <c r="Z58" t="s">
        <v>473</v>
      </c>
      <c r="AA58" t="s">
        <v>473</v>
      </c>
      <c r="AB58" t="s">
        <v>473</v>
      </c>
      <c r="AC58" s="10">
        <v>3</v>
      </c>
      <c r="AD58" s="10">
        <v>11</v>
      </c>
      <c r="AE58" t="s">
        <v>474</v>
      </c>
    </row>
    <row r="59" spans="1:31" x14ac:dyDescent="0.25">
      <c r="A59">
        <v>7437</v>
      </c>
      <c r="B59">
        <v>1988</v>
      </c>
      <c r="C59" t="s">
        <v>466</v>
      </c>
      <c r="D59" t="s">
        <v>30</v>
      </c>
      <c r="E59" t="str">
        <f>IF(OR(Table1[[#This Row],[marital_status]]="Married", Table1[[#This Row],[marital_status]]="Together"), "Partnered", "Single")</f>
        <v>Single</v>
      </c>
      <c r="F59" s="7">
        <v>27938</v>
      </c>
      <c r="G59" s="8">
        <v>1</v>
      </c>
      <c r="H59" s="8">
        <v>0</v>
      </c>
      <c r="I59" s="8">
        <f>Table1[[#This Row],[kids]]+Table1[[#This Row],[teens]]</f>
        <v>1</v>
      </c>
      <c r="J59" s="9">
        <v>41757</v>
      </c>
      <c r="K59" s="8">
        <v>31</v>
      </c>
      <c r="L59" s="6">
        <v>13</v>
      </c>
      <c r="M59" s="5">
        <v>0</v>
      </c>
      <c r="N59" s="5">
        <v>8</v>
      </c>
      <c r="O59" s="5">
        <v>2</v>
      </c>
      <c r="P59" s="5">
        <v>1</v>
      </c>
      <c r="Q59" s="5">
        <v>5</v>
      </c>
      <c r="R59" s="8">
        <v>1</v>
      </c>
      <c r="S59" s="8">
        <v>1</v>
      </c>
      <c r="T59" s="8">
        <v>0</v>
      </c>
      <c r="U59" s="8">
        <v>4</v>
      </c>
      <c r="V59" s="8">
        <v>3</v>
      </c>
      <c r="W59" t="s">
        <v>473</v>
      </c>
      <c r="X59" t="s">
        <v>473</v>
      </c>
      <c r="Y59" t="s">
        <v>473</v>
      </c>
      <c r="Z59" t="s">
        <v>473</v>
      </c>
      <c r="AA59" t="s">
        <v>473</v>
      </c>
      <c r="AB59" t="s">
        <v>473</v>
      </c>
      <c r="AC59" s="10">
        <v>3</v>
      </c>
      <c r="AD59" s="10">
        <v>11</v>
      </c>
      <c r="AE59" t="s">
        <v>473</v>
      </c>
    </row>
    <row r="60" spans="1:31" x14ac:dyDescent="0.25">
      <c r="A60">
        <v>8557</v>
      </c>
      <c r="B60">
        <v>1982</v>
      </c>
      <c r="C60" t="s">
        <v>466</v>
      </c>
      <c r="D60" t="s">
        <v>30</v>
      </c>
      <c r="E60" t="str">
        <f>IF(OR(Table1[[#This Row],[marital_status]]="Married", Table1[[#This Row],[marital_status]]="Together"), "Partnered", "Single")</f>
        <v>Single</v>
      </c>
      <c r="F60" s="7" t="s">
        <v>464</v>
      </c>
      <c r="G60" s="8">
        <v>1</v>
      </c>
      <c r="H60" s="8">
        <v>0</v>
      </c>
      <c r="I60" s="8">
        <f>Table1[[#This Row],[kids]]+Table1[[#This Row],[teens]]</f>
        <v>1</v>
      </c>
      <c r="J60" s="9">
        <v>41442</v>
      </c>
      <c r="K60" s="8">
        <v>57</v>
      </c>
      <c r="L60" s="6">
        <v>11</v>
      </c>
      <c r="M60" s="5">
        <v>3</v>
      </c>
      <c r="N60" s="5">
        <v>22</v>
      </c>
      <c r="O60" s="5">
        <v>2</v>
      </c>
      <c r="P60" s="5">
        <v>2</v>
      </c>
      <c r="Q60" s="5">
        <v>6</v>
      </c>
      <c r="R60" s="8">
        <v>2</v>
      </c>
      <c r="S60" s="8">
        <v>2</v>
      </c>
      <c r="T60" s="8">
        <v>0</v>
      </c>
      <c r="U60" s="8">
        <v>3</v>
      </c>
      <c r="V60" s="8">
        <v>6</v>
      </c>
      <c r="W60" t="s">
        <v>473</v>
      </c>
      <c r="X60" t="s">
        <v>473</v>
      </c>
      <c r="Y60" t="s">
        <v>473</v>
      </c>
      <c r="Z60" t="s">
        <v>473</v>
      </c>
      <c r="AA60" t="s">
        <v>473</v>
      </c>
      <c r="AB60" t="s">
        <v>473</v>
      </c>
      <c r="AC60" s="10">
        <v>3</v>
      </c>
      <c r="AD60" s="10">
        <v>11</v>
      </c>
      <c r="AE60" t="s">
        <v>473</v>
      </c>
    </row>
    <row r="61" spans="1:31" x14ac:dyDescent="0.25">
      <c r="A61">
        <v>8375</v>
      </c>
      <c r="B61">
        <v>1968</v>
      </c>
      <c r="C61" t="s">
        <v>33</v>
      </c>
      <c r="D61" t="s">
        <v>34</v>
      </c>
      <c r="E61" t="str">
        <f>IF(OR(Table1[[#This Row],[marital_status]]="Married", Table1[[#This Row],[marital_status]]="Together"), "Partnered", "Single")</f>
        <v>Partnered</v>
      </c>
      <c r="F61" s="7">
        <v>55954</v>
      </c>
      <c r="G61" s="8">
        <v>0</v>
      </c>
      <c r="H61" s="8">
        <v>1</v>
      </c>
      <c r="I61" s="8">
        <f>Table1[[#This Row],[kids]]+Table1[[#This Row],[teens]]</f>
        <v>1</v>
      </c>
      <c r="J61" s="9">
        <v>41701</v>
      </c>
      <c r="K61" s="8">
        <v>63</v>
      </c>
      <c r="L61" s="6">
        <v>447</v>
      </c>
      <c r="M61" s="5">
        <v>0</v>
      </c>
      <c r="N61" s="5">
        <v>28</v>
      </c>
      <c r="O61" s="5">
        <v>0</v>
      </c>
      <c r="P61" s="5">
        <v>0</v>
      </c>
      <c r="Q61" s="5">
        <v>43</v>
      </c>
      <c r="R61" s="8">
        <v>3</v>
      </c>
      <c r="S61" s="8">
        <v>8</v>
      </c>
      <c r="T61" s="8">
        <v>2</v>
      </c>
      <c r="U61" s="8">
        <v>6</v>
      </c>
      <c r="V61" s="8">
        <v>7</v>
      </c>
      <c r="W61" t="s">
        <v>473</v>
      </c>
      <c r="X61" t="s">
        <v>473</v>
      </c>
      <c r="Y61" t="s">
        <v>473</v>
      </c>
      <c r="Z61" t="s">
        <v>473</v>
      </c>
      <c r="AA61" t="s">
        <v>473</v>
      </c>
      <c r="AB61" t="s">
        <v>473</v>
      </c>
      <c r="AC61" s="10">
        <v>3</v>
      </c>
      <c r="AD61" s="10">
        <v>11</v>
      </c>
      <c r="AE61" t="s">
        <v>473</v>
      </c>
    </row>
    <row r="62" spans="1:31" x14ac:dyDescent="0.25">
      <c r="A62">
        <v>6853</v>
      </c>
      <c r="B62">
        <v>1982</v>
      </c>
      <c r="C62" t="s">
        <v>36</v>
      </c>
      <c r="D62" t="s">
        <v>30</v>
      </c>
      <c r="E62" t="str">
        <f>IF(OR(Table1[[#This Row],[marital_status]]="Married", Table1[[#This Row],[marital_status]]="Together"), "Partnered", "Single")</f>
        <v>Single</v>
      </c>
      <c r="F62" s="7">
        <v>75777</v>
      </c>
      <c r="G62" s="8">
        <v>0</v>
      </c>
      <c r="H62" s="8">
        <v>0</v>
      </c>
      <c r="I62" s="8">
        <f>Table1[[#This Row],[kids]]+Table1[[#This Row],[teens]]</f>
        <v>0</v>
      </c>
      <c r="J62" s="9">
        <v>41459</v>
      </c>
      <c r="K62" s="8">
        <v>12</v>
      </c>
      <c r="L62" s="6">
        <v>712</v>
      </c>
      <c r="M62" s="5">
        <v>26</v>
      </c>
      <c r="N62" s="5">
        <v>538</v>
      </c>
      <c r="O62" s="5">
        <v>69</v>
      </c>
      <c r="P62" s="5">
        <v>13</v>
      </c>
      <c r="Q62" s="5">
        <v>80</v>
      </c>
      <c r="R62" s="8">
        <v>1</v>
      </c>
      <c r="S62" s="8">
        <v>3</v>
      </c>
      <c r="T62" s="8">
        <v>6</v>
      </c>
      <c r="U62" s="8">
        <v>11</v>
      </c>
      <c r="V62" s="8">
        <v>1</v>
      </c>
      <c r="W62" t="s">
        <v>473</v>
      </c>
      <c r="X62" t="s">
        <v>474</v>
      </c>
      <c r="Y62" t="s">
        <v>474</v>
      </c>
      <c r="Z62" t="s">
        <v>473</v>
      </c>
      <c r="AA62" t="s">
        <v>473</v>
      </c>
      <c r="AB62" t="s">
        <v>473</v>
      </c>
      <c r="AC62" s="10">
        <v>3</v>
      </c>
      <c r="AD62" s="10">
        <v>11</v>
      </c>
      <c r="AE62" t="s">
        <v>474</v>
      </c>
    </row>
    <row r="63" spans="1:31" x14ac:dyDescent="0.25">
      <c r="A63">
        <v>3076</v>
      </c>
      <c r="B63">
        <v>1975</v>
      </c>
      <c r="C63" t="s">
        <v>466</v>
      </c>
      <c r="D63" t="s">
        <v>31</v>
      </c>
      <c r="E63" t="str">
        <f>IF(OR(Table1[[#This Row],[marital_status]]="Married", Table1[[#This Row],[marital_status]]="Together"), "Partnered", "Single")</f>
        <v>Partnered</v>
      </c>
      <c r="F63" s="7">
        <v>66653</v>
      </c>
      <c r="G63" s="8">
        <v>1</v>
      </c>
      <c r="H63" s="8">
        <v>1</v>
      </c>
      <c r="I63" s="8">
        <f>Table1[[#This Row],[kids]]+Table1[[#This Row],[teens]]</f>
        <v>2</v>
      </c>
      <c r="J63" s="9">
        <v>41159</v>
      </c>
      <c r="K63" s="8">
        <v>18</v>
      </c>
      <c r="L63" s="6">
        <v>452</v>
      </c>
      <c r="M63" s="5">
        <v>18</v>
      </c>
      <c r="N63" s="5">
        <v>102</v>
      </c>
      <c r="O63" s="5">
        <v>16</v>
      </c>
      <c r="P63" s="5">
        <v>18</v>
      </c>
      <c r="Q63" s="5">
        <v>6</v>
      </c>
      <c r="R63" s="8">
        <v>4</v>
      </c>
      <c r="S63" s="8">
        <v>4</v>
      </c>
      <c r="T63" s="8">
        <v>2</v>
      </c>
      <c r="U63" s="8">
        <v>12</v>
      </c>
      <c r="V63" s="8">
        <v>3</v>
      </c>
      <c r="W63" t="s">
        <v>473</v>
      </c>
      <c r="X63" t="s">
        <v>473</v>
      </c>
      <c r="Y63" t="s">
        <v>473</v>
      </c>
      <c r="Z63" t="s">
        <v>473</v>
      </c>
      <c r="AA63" t="s">
        <v>473</v>
      </c>
      <c r="AB63" t="s">
        <v>473</v>
      </c>
      <c r="AC63" s="10">
        <v>3</v>
      </c>
      <c r="AD63" s="10">
        <v>11</v>
      </c>
      <c r="AE63" t="s">
        <v>473</v>
      </c>
    </row>
    <row r="64" spans="1:31" x14ac:dyDescent="0.25">
      <c r="A64">
        <v>1012</v>
      </c>
      <c r="B64">
        <v>1952</v>
      </c>
      <c r="C64" t="s">
        <v>466</v>
      </c>
      <c r="D64" t="s">
        <v>30</v>
      </c>
      <c r="E64" t="str">
        <f>IF(OR(Table1[[#This Row],[marital_status]]="Married", Table1[[#This Row],[marital_status]]="Together"), "Partnered", "Single")</f>
        <v>Single</v>
      </c>
      <c r="F64" s="7">
        <v>61823</v>
      </c>
      <c r="G64" s="8">
        <v>0</v>
      </c>
      <c r="H64" s="8">
        <v>1</v>
      </c>
      <c r="I64" s="8">
        <f>Table1[[#This Row],[kids]]+Table1[[#This Row],[teens]]</f>
        <v>1</v>
      </c>
      <c r="J64" s="9">
        <v>41323</v>
      </c>
      <c r="K64" s="8">
        <v>26</v>
      </c>
      <c r="L64" s="6">
        <v>523</v>
      </c>
      <c r="M64" s="5">
        <v>7</v>
      </c>
      <c r="N64" s="5">
        <v>134</v>
      </c>
      <c r="O64" s="5">
        <v>37</v>
      </c>
      <c r="P64" s="5">
        <v>14</v>
      </c>
      <c r="Q64" s="5">
        <v>169</v>
      </c>
      <c r="R64" s="8">
        <v>4</v>
      </c>
      <c r="S64" s="8">
        <v>8</v>
      </c>
      <c r="T64" s="8">
        <v>2</v>
      </c>
      <c r="U64" s="8">
        <v>10</v>
      </c>
      <c r="V64" s="8">
        <v>7</v>
      </c>
      <c r="W64" t="s">
        <v>473</v>
      </c>
      <c r="X64" t="s">
        <v>473</v>
      </c>
      <c r="Y64" t="s">
        <v>473</v>
      </c>
      <c r="Z64" t="s">
        <v>473</v>
      </c>
      <c r="AA64" t="s">
        <v>473</v>
      </c>
      <c r="AB64" t="s">
        <v>473</v>
      </c>
      <c r="AC64" s="10">
        <v>3</v>
      </c>
      <c r="AD64" s="10">
        <v>11</v>
      </c>
      <c r="AE64" t="s">
        <v>473</v>
      </c>
    </row>
    <row r="65" spans="1:31" x14ac:dyDescent="0.25">
      <c r="A65">
        <v>6518</v>
      </c>
      <c r="B65">
        <v>1951</v>
      </c>
      <c r="C65" t="s">
        <v>33</v>
      </c>
      <c r="D65" t="s">
        <v>57</v>
      </c>
      <c r="E65" t="str">
        <f>IF(OR(Table1[[#This Row],[marital_status]]="Married", Table1[[#This Row],[marital_status]]="Together"), "Partnered", "Single")</f>
        <v>Single</v>
      </c>
      <c r="F65" s="7">
        <v>67680</v>
      </c>
      <c r="G65" s="8">
        <v>0</v>
      </c>
      <c r="H65" s="8">
        <v>1</v>
      </c>
      <c r="I65" s="8">
        <f>Table1[[#This Row],[kids]]+Table1[[#This Row],[teens]]</f>
        <v>1</v>
      </c>
      <c r="J65" s="9">
        <v>41436</v>
      </c>
      <c r="K65" s="8">
        <v>8</v>
      </c>
      <c r="L65" s="6">
        <v>546</v>
      </c>
      <c r="M65" s="5">
        <v>0</v>
      </c>
      <c r="N65" s="5">
        <v>48</v>
      </c>
      <c r="O65" s="5">
        <v>0</v>
      </c>
      <c r="P65" s="5">
        <v>6</v>
      </c>
      <c r="Q65" s="5">
        <v>6</v>
      </c>
      <c r="R65" s="8">
        <v>1</v>
      </c>
      <c r="S65" s="8">
        <v>7</v>
      </c>
      <c r="T65" s="8">
        <v>3</v>
      </c>
      <c r="U65" s="8">
        <v>8</v>
      </c>
      <c r="V65" s="8">
        <v>5</v>
      </c>
      <c r="W65" t="s">
        <v>473</v>
      </c>
      <c r="X65" t="s">
        <v>473</v>
      </c>
      <c r="Y65" t="s">
        <v>473</v>
      </c>
      <c r="Z65" t="s">
        <v>473</v>
      </c>
      <c r="AA65" t="s">
        <v>473</v>
      </c>
      <c r="AB65" t="s">
        <v>473</v>
      </c>
      <c r="AC65" s="10">
        <v>3</v>
      </c>
      <c r="AD65" s="10">
        <v>11</v>
      </c>
      <c r="AE65" t="s">
        <v>473</v>
      </c>
    </row>
    <row r="66" spans="1:31" x14ac:dyDescent="0.25">
      <c r="A66">
        <v>4137</v>
      </c>
      <c r="B66">
        <v>1948</v>
      </c>
      <c r="C66" t="s">
        <v>466</v>
      </c>
      <c r="D66" t="s">
        <v>31</v>
      </c>
      <c r="E66" t="str">
        <f>IF(OR(Table1[[#This Row],[marital_status]]="Married", Table1[[#This Row],[marital_status]]="Together"), "Partnered", "Single")</f>
        <v>Partnered</v>
      </c>
      <c r="F66" s="7">
        <v>70666</v>
      </c>
      <c r="G66" s="8">
        <v>0</v>
      </c>
      <c r="H66" s="8">
        <v>0</v>
      </c>
      <c r="I66" s="8">
        <f>Table1[[#This Row],[kids]]+Table1[[#This Row],[teens]]</f>
        <v>0</v>
      </c>
      <c r="J66" s="9">
        <v>41614</v>
      </c>
      <c r="K66" s="8">
        <v>29</v>
      </c>
      <c r="L66" s="6">
        <v>398</v>
      </c>
      <c r="M66" s="5">
        <v>40</v>
      </c>
      <c r="N66" s="5">
        <v>367</v>
      </c>
      <c r="O66" s="5">
        <v>119</v>
      </c>
      <c r="P66" s="5">
        <v>122</v>
      </c>
      <c r="Q66" s="5">
        <v>30</v>
      </c>
      <c r="R66" s="8">
        <v>1</v>
      </c>
      <c r="S66" s="8">
        <v>7</v>
      </c>
      <c r="T66" s="8">
        <v>4</v>
      </c>
      <c r="U66" s="8">
        <v>4</v>
      </c>
      <c r="V66" s="8">
        <v>4</v>
      </c>
      <c r="W66" t="s">
        <v>473</v>
      </c>
      <c r="X66" t="s">
        <v>473</v>
      </c>
      <c r="Y66" t="s">
        <v>473</v>
      </c>
      <c r="Z66" t="s">
        <v>473</v>
      </c>
      <c r="AA66" t="s">
        <v>473</v>
      </c>
      <c r="AB66" t="s">
        <v>473</v>
      </c>
      <c r="AC66" s="10">
        <v>3</v>
      </c>
      <c r="AD66" s="10">
        <v>11</v>
      </c>
      <c r="AE66" t="s">
        <v>473</v>
      </c>
    </row>
    <row r="67" spans="1:31" x14ac:dyDescent="0.25">
      <c r="A67">
        <v>8082</v>
      </c>
      <c r="B67">
        <v>1971</v>
      </c>
      <c r="C67" t="s">
        <v>466</v>
      </c>
      <c r="D67" t="s">
        <v>34</v>
      </c>
      <c r="E67" t="str">
        <f>IF(OR(Table1[[#This Row],[marital_status]]="Married", Table1[[#This Row],[marital_status]]="Together"), "Partnered", "Single")</f>
        <v>Partnered</v>
      </c>
      <c r="F67" s="7">
        <v>25721</v>
      </c>
      <c r="G67" s="8">
        <v>1</v>
      </c>
      <c r="H67" s="8">
        <v>0</v>
      </c>
      <c r="I67" s="8">
        <f>Table1[[#This Row],[kids]]+Table1[[#This Row],[teens]]</f>
        <v>1</v>
      </c>
      <c r="J67" s="9">
        <v>41415</v>
      </c>
      <c r="K67" s="8">
        <v>75</v>
      </c>
      <c r="L67" s="6">
        <v>1</v>
      </c>
      <c r="M67" s="5">
        <v>3</v>
      </c>
      <c r="N67" s="5">
        <v>6</v>
      </c>
      <c r="O67" s="5">
        <v>3</v>
      </c>
      <c r="P67" s="5">
        <v>6</v>
      </c>
      <c r="Q67" s="5">
        <v>15</v>
      </c>
      <c r="R67" s="8">
        <v>1</v>
      </c>
      <c r="S67" s="8">
        <v>1</v>
      </c>
      <c r="T67" s="8">
        <v>1</v>
      </c>
      <c r="U67" s="8">
        <v>2</v>
      </c>
      <c r="V67" s="8">
        <v>7</v>
      </c>
      <c r="W67" t="s">
        <v>473</v>
      </c>
      <c r="X67" t="s">
        <v>473</v>
      </c>
      <c r="Y67" t="s">
        <v>473</v>
      </c>
      <c r="Z67" t="s">
        <v>473</v>
      </c>
      <c r="AA67" t="s">
        <v>473</v>
      </c>
      <c r="AB67" t="s">
        <v>473</v>
      </c>
      <c r="AC67" s="10">
        <v>3</v>
      </c>
      <c r="AD67" s="10">
        <v>11</v>
      </c>
      <c r="AE67" t="s">
        <v>474</v>
      </c>
    </row>
    <row r="68" spans="1:31" x14ac:dyDescent="0.25">
      <c r="A68">
        <v>1386</v>
      </c>
      <c r="B68">
        <v>1967</v>
      </c>
      <c r="C68" t="s">
        <v>466</v>
      </c>
      <c r="D68" t="s">
        <v>31</v>
      </c>
      <c r="E68" t="str">
        <f>IF(OR(Table1[[#This Row],[marital_status]]="Married", Table1[[#This Row],[marital_status]]="Together"), "Partnered", "Single")</f>
        <v>Partnered</v>
      </c>
      <c r="F68" s="7">
        <v>32474</v>
      </c>
      <c r="G68" s="8">
        <v>1</v>
      </c>
      <c r="H68" s="8">
        <v>1</v>
      </c>
      <c r="I68" s="8">
        <f>Table1[[#This Row],[kids]]+Table1[[#This Row],[teens]]</f>
        <v>2</v>
      </c>
      <c r="J68" s="9">
        <v>41770</v>
      </c>
      <c r="K68" s="8">
        <v>0</v>
      </c>
      <c r="L68" s="6">
        <v>10</v>
      </c>
      <c r="M68" s="5">
        <v>0</v>
      </c>
      <c r="N68" s="5">
        <v>1</v>
      </c>
      <c r="O68" s="5">
        <v>0</v>
      </c>
      <c r="P68" s="5">
        <v>0</v>
      </c>
      <c r="Q68" s="5">
        <v>0</v>
      </c>
      <c r="R68" s="8">
        <v>1</v>
      </c>
      <c r="S68" s="8">
        <v>1</v>
      </c>
      <c r="T68" s="8">
        <v>0</v>
      </c>
      <c r="U68" s="8">
        <v>2</v>
      </c>
      <c r="V68" s="8">
        <v>7</v>
      </c>
      <c r="W68" t="s">
        <v>473</v>
      </c>
      <c r="X68" t="s">
        <v>473</v>
      </c>
      <c r="Y68" t="s">
        <v>473</v>
      </c>
      <c r="Z68" t="s">
        <v>473</v>
      </c>
      <c r="AA68" t="s">
        <v>473</v>
      </c>
      <c r="AB68" t="s">
        <v>473</v>
      </c>
      <c r="AC68" s="10">
        <v>3</v>
      </c>
      <c r="AD68" s="10">
        <v>11</v>
      </c>
      <c r="AE68" t="s">
        <v>473</v>
      </c>
    </row>
    <row r="69" spans="1:31" x14ac:dyDescent="0.25">
      <c r="A69">
        <v>9369</v>
      </c>
      <c r="B69">
        <v>1979</v>
      </c>
      <c r="C69" t="s">
        <v>46</v>
      </c>
      <c r="D69" t="s">
        <v>30</v>
      </c>
      <c r="E69" t="str">
        <f>IF(OR(Table1[[#This Row],[marital_status]]="Married", Table1[[#This Row],[marital_status]]="Together"), "Partnered", "Single")</f>
        <v>Single</v>
      </c>
      <c r="F69" s="7">
        <v>88194</v>
      </c>
      <c r="G69" s="8">
        <v>0</v>
      </c>
      <c r="H69" s="8">
        <v>1</v>
      </c>
      <c r="I69" s="8">
        <f>Table1[[#This Row],[kids]]+Table1[[#This Row],[teens]]</f>
        <v>1</v>
      </c>
      <c r="J69" s="9">
        <v>41717</v>
      </c>
      <c r="K69" s="8">
        <v>19</v>
      </c>
      <c r="L69" s="6">
        <v>688</v>
      </c>
      <c r="M69" s="5">
        <v>14</v>
      </c>
      <c r="N69" s="5">
        <v>309</v>
      </c>
      <c r="O69" s="5">
        <v>201</v>
      </c>
      <c r="P69" s="5">
        <v>24</v>
      </c>
      <c r="Q69" s="5">
        <v>38</v>
      </c>
      <c r="R69" s="8">
        <v>1</v>
      </c>
      <c r="S69" s="8">
        <v>11</v>
      </c>
      <c r="T69" s="8">
        <v>10</v>
      </c>
      <c r="U69" s="8">
        <v>10</v>
      </c>
      <c r="V69" s="8">
        <v>5</v>
      </c>
      <c r="W69" t="s">
        <v>474</v>
      </c>
      <c r="X69" t="s">
        <v>473</v>
      </c>
      <c r="Y69" t="s">
        <v>473</v>
      </c>
      <c r="Z69" t="s">
        <v>474</v>
      </c>
      <c r="AA69" t="s">
        <v>473</v>
      </c>
      <c r="AB69" t="s">
        <v>473</v>
      </c>
      <c r="AC69" s="10">
        <v>3</v>
      </c>
      <c r="AD69" s="10">
        <v>11</v>
      </c>
      <c r="AE69" t="s">
        <v>474</v>
      </c>
    </row>
    <row r="70" spans="1:31" x14ac:dyDescent="0.25">
      <c r="A70">
        <v>4477</v>
      </c>
      <c r="B70">
        <v>1958</v>
      </c>
      <c r="C70" t="s">
        <v>466</v>
      </c>
      <c r="D70" t="s">
        <v>31</v>
      </c>
      <c r="E70" t="str">
        <f>IF(OR(Table1[[#This Row],[marital_status]]="Married", Table1[[#This Row],[marital_status]]="Together"), "Partnered", "Single")</f>
        <v>Partnered</v>
      </c>
      <c r="F70" s="7">
        <v>69096</v>
      </c>
      <c r="G70" s="8">
        <v>0</v>
      </c>
      <c r="H70" s="8">
        <v>1</v>
      </c>
      <c r="I70" s="8">
        <f>Table1[[#This Row],[kids]]+Table1[[#This Row],[teens]]</f>
        <v>1</v>
      </c>
      <c r="J70" s="9">
        <v>41544</v>
      </c>
      <c r="K70" s="8">
        <v>4</v>
      </c>
      <c r="L70" s="6">
        <v>247</v>
      </c>
      <c r="M70" s="5">
        <v>49</v>
      </c>
      <c r="N70" s="5">
        <v>159</v>
      </c>
      <c r="O70" s="5">
        <v>7</v>
      </c>
      <c r="P70" s="5">
        <v>82</v>
      </c>
      <c r="Q70" s="5">
        <v>109</v>
      </c>
      <c r="R70" s="8">
        <v>1</v>
      </c>
      <c r="S70" s="8">
        <v>5</v>
      </c>
      <c r="T70" s="8">
        <v>2</v>
      </c>
      <c r="U70" s="8">
        <v>10</v>
      </c>
      <c r="V70" s="8">
        <v>4</v>
      </c>
      <c r="W70" t="s">
        <v>473</v>
      </c>
      <c r="X70" t="s">
        <v>473</v>
      </c>
      <c r="Y70" t="s">
        <v>473</v>
      </c>
      <c r="Z70" t="s">
        <v>473</v>
      </c>
      <c r="AA70" t="s">
        <v>473</v>
      </c>
      <c r="AB70" t="s">
        <v>473</v>
      </c>
      <c r="AC70" s="10">
        <v>3</v>
      </c>
      <c r="AD70" s="10">
        <v>11</v>
      </c>
      <c r="AE70" t="s">
        <v>473</v>
      </c>
    </row>
    <row r="71" spans="1:31" x14ac:dyDescent="0.25">
      <c r="A71">
        <v>1357</v>
      </c>
      <c r="B71">
        <v>1970</v>
      </c>
      <c r="C71" t="s">
        <v>466</v>
      </c>
      <c r="D71" t="s">
        <v>31</v>
      </c>
      <c r="E71" t="str">
        <f>IF(OR(Table1[[#This Row],[marital_status]]="Married", Table1[[#This Row],[marital_status]]="Together"), "Partnered", "Single")</f>
        <v>Partnered</v>
      </c>
      <c r="F71" s="7">
        <v>74854</v>
      </c>
      <c r="G71" s="8">
        <v>1</v>
      </c>
      <c r="H71" s="8">
        <v>2</v>
      </c>
      <c r="I71" s="8">
        <f>Table1[[#This Row],[kids]]+Table1[[#This Row],[teens]]</f>
        <v>3</v>
      </c>
      <c r="J71" s="9">
        <v>41372</v>
      </c>
      <c r="K71" s="8">
        <v>90</v>
      </c>
      <c r="L71" s="6">
        <v>856</v>
      </c>
      <c r="M71" s="5">
        <v>59</v>
      </c>
      <c r="N71" s="5">
        <v>487</v>
      </c>
      <c r="O71" s="5">
        <v>58</v>
      </c>
      <c r="P71" s="5">
        <v>29</v>
      </c>
      <c r="Q71" s="5">
        <v>73</v>
      </c>
      <c r="R71" s="8">
        <v>7</v>
      </c>
      <c r="S71" s="8">
        <v>2</v>
      </c>
      <c r="T71" s="8">
        <v>5</v>
      </c>
      <c r="U71" s="8">
        <v>5</v>
      </c>
      <c r="V71" s="8">
        <v>5</v>
      </c>
      <c r="W71" t="s">
        <v>473</v>
      </c>
      <c r="X71" t="s">
        <v>473</v>
      </c>
      <c r="Y71" t="s">
        <v>473</v>
      </c>
      <c r="Z71" t="s">
        <v>473</v>
      </c>
      <c r="AA71" t="s">
        <v>473</v>
      </c>
      <c r="AB71" t="s">
        <v>473</v>
      </c>
      <c r="AC71" s="10">
        <v>3</v>
      </c>
      <c r="AD71" s="10">
        <v>11</v>
      </c>
      <c r="AE71" t="s">
        <v>473</v>
      </c>
    </row>
    <row r="72" spans="1:31" x14ac:dyDescent="0.25">
      <c r="A72">
        <v>1402</v>
      </c>
      <c r="B72">
        <v>1954</v>
      </c>
      <c r="C72" t="s">
        <v>36</v>
      </c>
      <c r="D72" t="s">
        <v>34</v>
      </c>
      <c r="E72" t="str">
        <f>IF(OR(Table1[[#This Row],[marital_status]]="Married", Table1[[#This Row],[marital_status]]="Together"), "Partnered", "Single")</f>
        <v>Partnered</v>
      </c>
      <c r="F72" s="7">
        <v>66991</v>
      </c>
      <c r="G72" s="8">
        <v>0</v>
      </c>
      <c r="H72" s="8">
        <v>0</v>
      </c>
      <c r="I72" s="8">
        <f>Table1[[#This Row],[kids]]+Table1[[#This Row],[teens]]</f>
        <v>0</v>
      </c>
      <c r="J72" s="9">
        <v>41163</v>
      </c>
      <c r="K72" s="8">
        <v>1</v>
      </c>
      <c r="L72" s="6">
        <v>496</v>
      </c>
      <c r="M72" s="5">
        <v>36</v>
      </c>
      <c r="N72" s="5">
        <v>460</v>
      </c>
      <c r="O72" s="5">
        <v>189</v>
      </c>
      <c r="P72" s="5">
        <v>60</v>
      </c>
      <c r="Q72" s="5">
        <v>12</v>
      </c>
      <c r="R72" s="8">
        <v>3</v>
      </c>
      <c r="S72" s="8">
        <v>4</v>
      </c>
      <c r="T72" s="8">
        <v>8</v>
      </c>
      <c r="U72" s="8">
        <v>6</v>
      </c>
      <c r="V72" s="8">
        <v>3</v>
      </c>
      <c r="W72" t="s">
        <v>473</v>
      </c>
      <c r="X72" t="s">
        <v>473</v>
      </c>
      <c r="Y72" t="s">
        <v>473</v>
      </c>
      <c r="Z72" t="s">
        <v>473</v>
      </c>
      <c r="AA72" t="s">
        <v>473</v>
      </c>
      <c r="AB72" t="s">
        <v>473</v>
      </c>
      <c r="AC72" s="10">
        <v>3</v>
      </c>
      <c r="AD72" s="10">
        <v>11</v>
      </c>
      <c r="AE72" t="s">
        <v>473</v>
      </c>
    </row>
    <row r="73" spans="1:31" x14ac:dyDescent="0.25">
      <c r="A73">
        <v>10629</v>
      </c>
      <c r="B73">
        <v>1973</v>
      </c>
      <c r="C73" t="s">
        <v>46</v>
      </c>
      <c r="D73" t="s">
        <v>34</v>
      </c>
      <c r="E73" t="str">
        <f>IF(OR(Table1[[#This Row],[marital_status]]="Married", Table1[[#This Row],[marital_status]]="Together"), "Partnered", "Single")</f>
        <v>Partnered</v>
      </c>
      <c r="F73" s="7" t="s">
        <v>464</v>
      </c>
      <c r="G73" s="8">
        <v>1</v>
      </c>
      <c r="H73" s="8">
        <v>0</v>
      </c>
      <c r="I73" s="8">
        <f>Table1[[#This Row],[kids]]+Table1[[#This Row],[teens]]</f>
        <v>1</v>
      </c>
      <c r="J73" s="9">
        <v>41166</v>
      </c>
      <c r="K73" s="8">
        <v>25</v>
      </c>
      <c r="L73" s="6">
        <v>25</v>
      </c>
      <c r="M73" s="5">
        <v>3</v>
      </c>
      <c r="N73" s="5">
        <v>43</v>
      </c>
      <c r="O73" s="5">
        <v>17</v>
      </c>
      <c r="P73" s="5">
        <v>4</v>
      </c>
      <c r="Q73" s="5">
        <v>17</v>
      </c>
      <c r="R73" s="8">
        <v>3</v>
      </c>
      <c r="S73" s="8">
        <v>3</v>
      </c>
      <c r="T73" s="8">
        <v>0</v>
      </c>
      <c r="U73" s="8">
        <v>3</v>
      </c>
      <c r="V73" s="8">
        <v>8</v>
      </c>
      <c r="W73" t="s">
        <v>473</v>
      </c>
      <c r="X73" t="s">
        <v>473</v>
      </c>
      <c r="Y73" t="s">
        <v>473</v>
      </c>
      <c r="Z73" t="s">
        <v>473</v>
      </c>
      <c r="AA73" t="s">
        <v>473</v>
      </c>
      <c r="AB73" t="s">
        <v>473</v>
      </c>
      <c r="AC73" s="10">
        <v>3</v>
      </c>
      <c r="AD73" s="10">
        <v>11</v>
      </c>
      <c r="AE73" t="s">
        <v>473</v>
      </c>
    </row>
    <row r="74" spans="1:31" x14ac:dyDescent="0.25">
      <c r="A74">
        <v>6312</v>
      </c>
      <c r="B74">
        <v>1959</v>
      </c>
      <c r="C74" t="s">
        <v>466</v>
      </c>
      <c r="D74" t="s">
        <v>34</v>
      </c>
      <c r="E74" t="str">
        <f>IF(OR(Table1[[#This Row],[marital_status]]="Married", Table1[[#This Row],[marital_status]]="Together"), "Partnered", "Single")</f>
        <v>Partnered</v>
      </c>
      <c r="F74" s="7">
        <v>65031</v>
      </c>
      <c r="G74" s="8">
        <v>0</v>
      </c>
      <c r="H74" s="8">
        <v>1</v>
      </c>
      <c r="I74" s="8">
        <f>Table1[[#This Row],[kids]]+Table1[[#This Row],[teens]]</f>
        <v>1</v>
      </c>
      <c r="J74" s="9">
        <v>41350</v>
      </c>
      <c r="K74" s="8">
        <v>29</v>
      </c>
      <c r="L74" s="6">
        <v>258</v>
      </c>
      <c r="M74" s="5">
        <v>107</v>
      </c>
      <c r="N74" s="5">
        <v>291</v>
      </c>
      <c r="O74" s="5">
        <v>84</v>
      </c>
      <c r="P74" s="5">
        <v>37</v>
      </c>
      <c r="Q74" s="5">
        <v>86</v>
      </c>
      <c r="R74" s="8">
        <v>4</v>
      </c>
      <c r="S74" s="8">
        <v>10</v>
      </c>
      <c r="T74" s="8">
        <v>3</v>
      </c>
      <c r="U74" s="8">
        <v>13</v>
      </c>
      <c r="V74" s="8">
        <v>7</v>
      </c>
      <c r="W74" t="s">
        <v>473</v>
      </c>
      <c r="X74" t="s">
        <v>473</v>
      </c>
      <c r="Y74" t="s">
        <v>473</v>
      </c>
      <c r="Z74" t="s">
        <v>473</v>
      </c>
      <c r="AA74" t="s">
        <v>473</v>
      </c>
      <c r="AB74" t="s">
        <v>473</v>
      </c>
      <c r="AC74" s="10">
        <v>3</v>
      </c>
      <c r="AD74" s="10">
        <v>11</v>
      </c>
      <c r="AE74" t="s">
        <v>473</v>
      </c>
    </row>
    <row r="75" spans="1:31" x14ac:dyDescent="0.25">
      <c r="A75">
        <v>8132</v>
      </c>
      <c r="B75">
        <v>1975</v>
      </c>
      <c r="C75" t="s">
        <v>33</v>
      </c>
      <c r="D75" t="s">
        <v>34</v>
      </c>
      <c r="E75" t="str">
        <f>IF(OR(Table1[[#This Row],[marital_status]]="Married", Table1[[#This Row],[marital_status]]="Together"), "Partnered", "Single")</f>
        <v>Partnered</v>
      </c>
      <c r="F75" s="7">
        <v>60631</v>
      </c>
      <c r="G75" s="8">
        <v>1</v>
      </c>
      <c r="H75" s="8">
        <v>1</v>
      </c>
      <c r="I75" s="8">
        <f>Table1[[#This Row],[kids]]+Table1[[#This Row],[teens]]</f>
        <v>2</v>
      </c>
      <c r="J75" s="9">
        <v>41369</v>
      </c>
      <c r="K75" s="8">
        <v>88</v>
      </c>
      <c r="L75" s="6">
        <v>565</v>
      </c>
      <c r="M75" s="5">
        <v>6</v>
      </c>
      <c r="N75" s="5">
        <v>65</v>
      </c>
      <c r="O75" s="5">
        <v>0</v>
      </c>
      <c r="P75" s="5">
        <v>6</v>
      </c>
      <c r="Q75" s="5">
        <v>19</v>
      </c>
      <c r="R75" s="8">
        <v>5</v>
      </c>
      <c r="S75" s="8">
        <v>9</v>
      </c>
      <c r="T75" s="8">
        <v>2</v>
      </c>
      <c r="U75" s="8">
        <v>8</v>
      </c>
      <c r="V75" s="8">
        <v>7</v>
      </c>
      <c r="W75" t="s">
        <v>473</v>
      </c>
      <c r="X75" t="s">
        <v>474</v>
      </c>
      <c r="Y75" t="s">
        <v>473</v>
      </c>
      <c r="Z75" t="s">
        <v>473</v>
      </c>
      <c r="AA75" t="s">
        <v>473</v>
      </c>
      <c r="AB75" t="s">
        <v>473</v>
      </c>
      <c r="AC75" s="10">
        <v>3</v>
      </c>
      <c r="AD75" s="10">
        <v>11</v>
      </c>
      <c r="AE75" t="s">
        <v>473</v>
      </c>
    </row>
    <row r="76" spans="1:31" x14ac:dyDescent="0.25">
      <c r="A76">
        <v>1050</v>
      </c>
      <c r="B76">
        <v>1952</v>
      </c>
      <c r="C76" t="s">
        <v>466</v>
      </c>
      <c r="D76" t="s">
        <v>34</v>
      </c>
      <c r="E76" t="str">
        <f>IF(OR(Table1[[#This Row],[marital_status]]="Married", Table1[[#This Row],[marital_status]]="Together"), "Partnered", "Single")</f>
        <v>Partnered</v>
      </c>
      <c r="F76" s="7">
        <v>28332</v>
      </c>
      <c r="G76" s="8">
        <v>0</v>
      </c>
      <c r="H76" s="8">
        <v>0</v>
      </c>
      <c r="I76" s="8">
        <f>Table1[[#This Row],[kids]]+Table1[[#This Row],[teens]]</f>
        <v>0</v>
      </c>
      <c r="J76" s="9">
        <v>41759</v>
      </c>
      <c r="K76" s="8">
        <v>58</v>
      </c>
      <c r="L76" s="6">
        <v>14</v>
      </c>
      <c r="M76" s="5">
        <v>10</v>
      </c>
      <c r="N76" s="5">
        <v>13</v>
      </c>
      <c r="O76" s="5">
        <v>4</v>
      </c>
      <c r="P76" s="5">
        <v>15</v>
      </c>
      <c r="Q76" s="5">
        <v>9</v>
      </c>
      <c r="R76" s="8">
        <v>1</v>
      </c>
      <c r="S76" s="8">
        <v>2</v>
      </c>
      <c r="T76" s="8">
        <v>1</v>
      </c>
      <c r="U76" s="8">
        <v>4</v>
      </c>
      <c r="V76" s="8">
        <v>2</v>
      </c>
      <c r="W76" t="s">
        <v>473</v>
      </c>
      <c r="X76" t="s">
        <v>473</v>
      </c>
      <c r="Y76" t="s">
        <v>473</v>
      </c>
      <c r="Z76" t="s">
        <v>473</v>
      </c>
      <c r="AA76" t="s">
        <v>473</v>
      </c>
      <c r="AB76" t="s">
        <v>473</v>
      </c>
      <c r="AC76" s="10">
        <v>3</v>
      </c>
      <c r="AD76" s="10">
        <v>11</v>
      </c>
      <c r="AE76" t="s">
        <v>473</v>
      </c>
    </row>
    <row r="77" spans="1:31" x14ac:dyDescent="0.25">
      <c r="A77">
        <v>5846</v>
      </c>
      <c r="B77">
        <v>1977</v>
      </c>
      <c r="C77" t="s">
        <v>466</v>
      </c>
      <c r="D77" t="s">
        <v>37</v>
      </c>
      <c r="E77" t="str">
        <f>IF(OR(Table1[[#This Row],[marital_status]]="Married", Table1[[#This Row],[marital_status]]="Together"), "Partnered", "Single")</f>
        <v>Single</v>
      </c>
      <c r="F77" s="7">
        <v>40246</v>
      </c>
      <c r="G77" s="8">
        <v>1</v>
      </c>
      <c r="H77" s="8">
        <v>0</v>
      </c>
      <c r="I77" s="8">
        <f>Table1[[#This Row],[kids]]+Table1[[#This Row],[teens]]</f>
        <v>1</v>
      </c>
      <c r="J77" s="9">
        <v>41262</v>
      </c>
      <c r="K77" s="8">
        <v>68</v>
      </c>
      <c r="L77" s="6">
        <v>2</v>
      </c>
      <c r="M77" s="5">
        <v>1</v>
      </c>
      <c r="N77" s="5">
        <v>6</v>
      </c>
      <c r="O77" s="5">
        <v>2</v>
      </c>
      <c r="P77" s="5">
        <v>1</v>
      </c>
      <c r="Q77" s="5">
        <v>1</v>
      </c>
      <c r="R77" s="8">
        <v>1</v>
      </c>
      <c r="S77" s="8">
        <v>1</v>
      </c>
      <c r="T77" s="8">
        <v>0</v>
      </c>
      <c r="U77" s="8">
        <v>2</v>
      </c>
      <c r="V77" s="8">
        <v>6</v>
      </c>
      <c r="W77" t="s">
        <v>473</v>
      </c>
      <c r="X77" t="s">
        <v>473</v>
      </c>
      <c r="Y77" t="s">
        <v>473</v>
      </c>
      <c r="Z77" t="s">
        <v>473</v>
      </c>
      <c r="AA77" t="s">
        <v>473</v>
      </c>
      <c r="AB77" t="s">
        <v>473</v>
      </c>
      <c r="AC77" s="10">
        <v>3</v>
      </c>
      <c r="AD77" s="10">
        <v>11</v>
      </c>
      <c r="AE77" t="s">
        <v>473</v>
      </c>
    </row>
    <row r="78" spans="1:31" x14ac:dyDescent="0.25">
      <c r="A78">
        <v>1859</v>
      </c>
      <c r="B78">
        <v>1972</v>
      </c>
      <c r="C78" t="s">
        <v>36</v>
      </c>
      <c r="D78" t="s">
        <v>34</v>
      </c>
      <c r="E78" t="str">
        <f>IF(OR(Table1[[#This Row],[marital_status]]="Married", Table1[[#This Row],[marital_status]]="Together"), "Partnered", "Single")</f>
        <v>Partnered</v>
      </c>
      <c r="F78" s="7">
        <v>75251</v>
      </c>
      <c r="G78" s="8">
        <v>0</v>
      </c>
      <c r="H78" s="8">
        <v>0</v>
      </c>
      <c r="I78" s="8">
        <f>Table1[[#This Row],[kids]]+Table1[[#This Row],[teens]]</f>
        <v>0</v>
      </c>
      <c r="J78" s="9">
        <v>41148</v>
      </c>
      <c r="K78" s="8">
        <v>34</v>
      </c>
      <c r="L78" s="6">
        <v>721</v>
      </c>
      <c r="M78" s="5">
        <v>111</v>
      </c>
      <c r="N78" s="5">
        <v>925</v>
      </c>
      <c r="O78" s="5">
        <v>97</v>
      </c>
      <c r="P78" s="5">
        <v>18</v>
      </c>
      <c r="Q78" s="5">
        <v>18</v>
      </c>
      <c r="R78" s="8">
        <v>1</v>
      </c>
      <c r="S78" s="8">
        <v>7</v>
      </c>
      <c r="T78" s="8">
        <v>6</v>
      </c>
      <c r="U78" s="8">
        <v>5</v>
      </c>
      <c r="V78" s="8">
        <v>5</v>
      </c>
      <c r="W78" t="s">
        <v>473</v>
      </c>
      <c r="X78" t="s">
        <v>473</v>
      </c>
      <c r="Y78" t="s">
        <v>473</v>
      </c>
      <c r="Z78" t="s">
        <v>473</v>
      </c>
      <c r="AA78" t="s">
        <v>473</v>
      </c>
      <c r="AB78" t="s">
        <v>473</v>
      </c>
      <c r="AC78" s="10">
        <v>3</v>
      </c>
      <c r="AD78" s="10">
        <v>11</v>
      </c>
      <c r="AE78" t="s">
        <v>474</v>
      </c>
    </row>
    <row r="79" spans="1:31" x14ac:dyDescent="0.25">
      <c r="A79">
        <v>7503</v>
      </c>
      <c r="B79">
        <v>1976</v>
      </c>
      <c r="C79" t="s">
        <v>466</v>
      </c>
      <c r="D79" t="s">
        <v>30</v>
      </c>
      <c r="E79" t="str">
        <f>IF(OR(Table1[[#This Row],[marital_status]]="Married", Table1[[#This Row],[marital_status]]="Together"), "Partnered", "Single")</f>
        <v>Single</v>
      </c>
      <c r="F79" s="7">
        <v>75825</v>
      </c>
      <c r="G79" s="8">
        <v>0</v>
      </c>
      <c r="H79" s="8">
        <v>0</v>
      </c>
      <c r="I79" s="8">
        <f>Table1[[#This Row],[kids]]+Table1[[#This Row],[teens]]</f>
        <v>0</v>
      </c>
      <c r="J79" s="9">
        <v>41194</v>
      </c>
      <c r="K79" s="8">
        <v>40</v>
      </c>
      <c r="L79" s="6">
        <v>1032</v>
      </c>
      <c r="M79" s="5">
        <v>105</v>
      </c>
      <c r="N79" s="5">
        <v>779</v>
      </c>
      <c r="O79" s="5">
        <v>137</v>
      </c>
      <c r="P79" s="5">
        <v>105</v>
      </c>
      <c r="Q79" s="5">
        <v>51</v>
      </c>
      <c r="R79" s="8">
        <v>0</v>
      </c>
      <c r="S79" s="8">
        <v>5</v>
      </c>
      <c r="T79" s="8">
        <v>8</v>
      </c>
      <c r="U79" s="8">
        <v>9</v>
      </c>
      <c r="V79" s="8">
        <v>4</v>
      </c>
      <c r="W79" t="s">
        <v>474</v>
      </c>
      <c r="X79" t="s">
        <v>473</v>
      </c>
      <c r="Y79" t="s">
        <v>473</v>
      </c>
      <c r="Z79" t="s">
        <v>473</v>
      </c>
      <c r="AA79" t="s">
        <v>473</v>
      </c>
      <c r="AB79" t="s">
        <v>473</v>
      </c>
      <c r="AC79" s="10">
        <v>3</v>
      </c>
      <c r="AD79" s="10">
        <v>11</v>
      </c>
      <c r="AE79" t="s">
        <v>474</v>
      </c>
    </row>
    <row r="80" spans="1:31" x14ac:dyDescent="0.25">
      <c r="A80">
        <v>10401</v>
      </c>
      <c r="B80">
        <v>1976</v>
      </c>
      <c r="C80" t="s">
        <v>46</v>
      </c>
      <c r="D80" t="s">
        <v>31</v>
      </c>
      <c r="E80" t="str">
        <f>IF(OR(Table1[[#This Row],[marital_status]]="Married", Table1[[#This Row],[marital_status]]="Together"), "Partnered", "Single")</f>
        <v>Partnered</v>
      </c>
      <c r="F80" s="7">
        <v>26326</v>
      </c>
      <c r="G80" s="8">
        <v>0</v>
      </c>
      <c r="H80" s="8">
        <v>0</v>
      </c>
      <c r="I80" s="8">
        <f>Table1[[#This Row],[kids]]+Table1[[#This Row],[teens]]</f>
        <v>0</v>
      </c>
      <c r="J80" s="9">
        <v>41521</v>
      </c>
      <c r="K80" s="8">
        <v>12</v>
      </c>
      <c r="L80" s="6">
        <v>1</v>
      </c>
      <c r="M80" s="5">
        <v>0</v>
      </c>
      <c r="N80" s="5">
        <v>5</v>
      </c>
      <c r="O80" s="5">
        <v>0</v>
      </c>
      <c r="P80" s="5">
        <v>3</v>
      </c>
      <c r="Q80" s="5">
        <v>9</v>
      </c>
      <c r="R80" s="8">
        <v>1</v>
      </c>
      <c r="S80" s="8">
        <v>0</v>
      </c>
      <c r="T80" s="8">
        <v>0</v>
      </c>
      <c r="U80" s="8">
        <v>3</v>
      </c>
      <c r="V80" s="8">
        <v>3</v>
      </c>
      <c r="W80" t="s">
        <v>473</v>
      </c>
      <c r="X80" t="s">
        <v>473</v>
      </c>
      <c r="Y80" t="s">
        <v>473</v>
      </c>
      <c r="Z80" t="s">
        <v>473</v>
      </c>
      <c r="AA80" t="s">
        <v>473</v>
      </c>
      <c r="AB80" t="s">
        <v>474</v>
      </c>
      <c r="AC80" s="10">
        <v>3</v>
      </c>
      <c r="AD80" s="10">
        <v>11</v>
      </c>
      <c r="AE80" t="s">
        <v>473</v>
      </c>
    </row>
    <row r="81" spans="1:31" x14ac:dyDescent="0.25">
      <c r="A81">
        <v>1618</v>
      </c>
      <c r="B81">
        <v>1965</v>
      </c>
      <c r="C81" t="s">
        <v>466</v>
      </c>
      <c r="D81" t="s">
        <v>31</v>
      </c>
      <c r="E81" t="str">
        <f>IF(OR(Table1[[#This Row],[marital_status]]="Married", Table1[[#This Row],[marital_status]]="Together"), "Partnered", "Single")</f>
        <v>Partnered</v>
      </c>
      <c r="F81" s="7">
        <v>56046</v>
      </c>
      <c r="G81" s="8">
        <v>0</v>
      </c>
      <c r="H81" s="8">
        <v>0</v>
      </c>
      <c r="I81" s="8">
        <f>Table1[[#This Row],[kids]]+Table1[[#This Row],[teens]]</f>
        <v>0</v>
      </c>
      <c r="J81" s="9">
        <v>41276</v>
      </c>
      <c r="K81" s="8">
        <v>9</v>
      </c>
      <c r="L81" s="6">
        <v>577</v>
      </c>
      <c r="M81" s="5">
        <v>0</v>
      </c>
      <c r="N81" s="5">
        <v>64</v>
      </c>
      <c r="O81" s="5">
        <v>0</v>
      </c>
      <c r="P81" s="5">
        <v>0</v>
      </c>
      <c r="Q81" s="5">
        <v>51</v>
      </c>
      <c r="R81" s="8">
        <v>2</v>
      </c>
      <c r="S81" s="8">
        <v>10</v>
      </c>
      <c r="T81" s="8">
        <v>1</v>
      </c>
      <c r="U81" s="8">
        <v>8</v>
      </c>
      <c r="V81" s="8">
        <v>8</v>
      </c>
      <c r="W81" t="s">
        <v>474</v>
      </c>
      <c r="X81" t="s">
        <v>473</v>
      </c>
      <c r="Y81" t="s">
        <v>473</v>
      </c>
      <c r="Z81" t="s">
        <v>473</v>
      </c>
      <c r="AA81" t="s">
        <v>473</v>
      </c>
      <c r="AB81" t="s">
        <v>473</v>
      </c>
      <c r="AC81" s="10">
        <v>3</v>
      </c>
      <c r="AD81" s="10">
        <v>11</v>
      </c>
      <c r="AE81" t="s">
        <v>474</v>
      </c>
    </row>
    <row r="82" spans="1:31" x14ac:dyDescent="0.25">
      <c r="A82">
        <v>3332</v>
      </c>
      <c r="B82">
        <v>1985</v>
      </c>
      <c r="C82" t="s">
        <v>466</v>
      </c>
      <c r="D82" t="s">
        <v>30</v>
      </c>
      <c r="E82" t="str">
        <f>IF(OR(Table1[[#This Row],[marital_status]]="Married", Table1[[#This Row],[marital_status]]="Together"), "Partnered", "Single")</f>
        <v>Single</v>
      </c>
      <c r="F82" s="7">
        <v>29760</v>
      </c>
      <c r="G82" s="8">
        <v>1</v>
      </c>
      <c r="H82" s="8">
        <v>0</v>
      </c>
      <c r="I82" s="8">
        <f>Table1[[#This Row],[kids]]+Table1[[#This Row],[teens]]</f>
        <v>1</v>
      </c>
      <c r="J82" s="9">
        <v>41150</v>
      </c>
      <c r="K82" s="8">
        <v>87</v>
      </c>
      <c r="L82" s="6">
        <v>64</v>
      </c>
      <c r="M82" s="5">
        <v>4</v>
      </c>
      <c r="N82" s="5">
        <v>68</v>
      </c>
      <c r="O82" s="5">
        <v>7</v>
      </c>
      <c r="P82" s="5">
        <v>5</v>
      </c>
      <c r="Q82" s="5">
        <v>17</v>
      </c>
      <c r="R82" s="8">
        <v>4</v>
      </c>
      <c r="S82" s="8">
        <v>3</v>
      </c>
      <c r="T82" s="8">
        <v>1</v>
      </c>
      <c r="U82" s="8">
        <v>4</v>
      </c>
      <c r="V82" s="8">
        <v>8</v>
      </c>
      <c r="W82" t="s">
        <v>473</v>
      </c>
      <c r="X82" t="s">
        <v>473</v>
      </c>
      <c r="Y82" t="s">
        <v>473</v>
      </c>
      <c r="Z82" t="s">
        <v>473</v>
      </c>
      <c r="AA82" t="s">
        <v>473</v>
      </c>
      <c r="AB82" t="s">
        <v>473</v>
      </c>
      <c r="AC82" s="10">
        <v>3</v>
      </c>
      <c r="AD82" s="10">
        <v>11</v>
      </c>
      <c r="AE82" t="s">
        <v>473</v>
      </c>
    </row>
    <row r="83" spans="1:31" x14ac:dyDescent="0.25">
      <c r="A83">
        <v>2261</v>
      </c>
      <c r="B83">
        <v>1969</v>
      </c>
      <c r="C83" t="s">
        <v>466</v>
      </c>
      <c r="D83" t="s">
        <v>34</v>
      </c>
      <c r="E83" t="str">
        <f>IF(OR(Table1[[#This Row],[marital_status]]="Married", Table1[[#This Row],[marital_status]]="Together"), "Partnered", "Single")</f>
        <v>Partnered</v>
      </c>
      <c r="F83" s="7">
        <v>26304</v>
      </c>
      <c r="G83" s="8">
        <v>1</v>
      </c>
      <c r="H83" s="8">
        <v>0</v>
      </c>
      <c r="I83" s="8">
        <f>Table1[[#This Row],[kids]]+Table1[[#This Row],[teens]]</f>
        <v>1</v>
      </c>
      <c r="J83" s="9">
        <v>41448</v>
      </c>
      <c r="K83" s="8">
        <v>5</v>
      </c>
      <c r="L83" s="6">
        <v>4</v>
      </c>
      <c r="M83" s="5">
        <v>1</v>
      </c>
      <c r="N83" s="5">
        <v>5</v>
      </c>
      <c r="O83" s="5">
        <v>2</v>
      </c>
      <c r="P83" s="5">
        <v>0</v>
      </c>
      <c r="Q83" s="5">
        <v>4</v>
      </c>
      <c r="R83" s="8">
        <v>1</v>
      </c>
      <c r="S83" s="8">
        <v>1</v>
      </c>
      <c r="T83" s="8">
        <v>0</v>
      </c>
      <c r="U83" s="8">
        <v>2</v>
      </c>
      <c r="V83" s="8">
        <v>7</v>
      </c>
      <c r="W83" t="s">
        <v>473</v>
      </c>
      <c r="X83" t="s">
        <v>473</v>
      </c>
      <c r="Y83" t="s">
        <v>473</v>
      </c>
      <c r="Z83" t="s">
        <v>473</v>
      </c>
      <c r="AA83" t="s">
        <v>473</v>
      </c>
      <c r="AB83" t="s">
        <v>473</v>
      </c>
      <c r="AC83" s="10">
        <v>3</v>
      </c>
      <c r="AD83" s="10">
        <v>11</v>
      </c>
      <c r="AE83" t="s">
        <v>473</v>
      </c>
    </row>
    <row r="84" spans="1:31" x14ac:dyDescent="0.25">
      <c r="A84">
        <v>5346</v>
      </c>
      <c r="B84">
        <v>1973</v>
      </c>
      <c r="C84" t="s">
        <v>46</v>
      </c>
      <c r="D84" t="s">
        <v>34</v>
      </c>
      <c r="E84" t="str">
        <f>IF(OR(Table1[[#This Row],[marital_status]]="Married", Table1[[#This Row],[marital_status]]="Together"), "Partnered", "Single")</f>
        <v>Partnered</v>
      </c>
      <c r="F84" s="7">
        <v>23559</v>
      </c>
      <c r="G84" s="8">
        <v>1</v>
      </c>
      <c r="H84" s="8">
        <v>0</v>
      </c>
      <c r="I84" s="8">
        <f>Table1[[#This Row],[kids]]+Table1[[#This Row],[teens]]</f>
        <v>1</v>
      </c>
      <c r="J84" s="9">
        <v>41458</v>
      </c>
      <c r="K84" s="8">
        <v>87</v>
      </c>
      <c r="L84" s="6">
        <v>25</v>
      </c>
      <c r="M84" s="5">
        <v>5</v>
      </c>
      <c r="N84" s="5">
        <v>19</v>
      </c>
      <c r="O84" s="5">
        <v>7</v>
      </c>
      <c r="P84" s="5">
        <v>0</v>
      </c>
      <c r="Q84" s="5">
        <v>23</v>
      </c>
      <c r="R84" s="8">
        <v>3</v>
      </c>
      <c r="S84" s="8">
        <v>3</v>
      </c>
      <c r="T84" s="8">
        <v>0</v>
      </c>
      <c r="U84" s="8">
        <v>3</v>
      </c>
      <c r="V84" s="8">
        <v>7</v>
      </c>
      <c r="W84" t="s">
        <v>473</v>
      </c>
      <c r="X84" t="s">
        <v>473</v>
      </c>
      <c r="Y84" t="s">
        <v>473</v>
      </c>
      <c r="Z84" t="s">
        <v>473</v>
      </c>
      <c r="AA84" t="s">
        <v>473</v>
      </c>
      <c r="AB84" t="s">
        <v>473</v>
      </c>
      <c r="AC84" s="10">
        <v>3</v>
      </c>
      <c r="AD84" s="10">
        <v>11</v>
      </c>
      <c r="AE84" t="s">
        <v>473</v>
      </c>
    </row>
    <row r="85" spans="1:31" x14ac:dyDescent="0.25">
      <c r="A85">
        <v>4119</v>
      </c>
      <c r="B85">
        <v>1963</v>
      </c>
      <c r="C85" t="s">
        <v>36</v>
      </c>
      <c r="D85" t="s">
        <v>31</v>
      </c>
      <c r="E85" t="str">
        <f>IF(OR(Table1[[#This Row],[marital_status]]="Married", Table1[[#This Row],[marital_status]]="Together"), "Partnered", "Single")</f>
        <v>Partnered</v>
      </c>
      <c r="F85" s="7">
        <v>38620</v>
      </c>
      <c r="G85" s="8">
        <v>0</v>
      </c>
      <c r="H85" s="8">
        <v>0</v>
      </c>
      <c r="I85" s="8">
        <f>Table1[[#This Row],[kids]]+Table1[[#This Row],[teens]]</f>
        <v>0</v>
      </c>
      <c r="J85" s="9">
        <v>41405</v>
      </c>
      <c r="K85" s="8">
        <v>56</v>
      </c>
      <c r="L85" s="6">
        <v>112</v>
      </c>
      <c r="M85" s="5">
        <v>17</v>
      </c>
      <c r="N85" s="5">
        <v>44</v>
      </c>
      <c r="O85" s="5">
        <v>34</v>
      </c>
      <c r="P85" s="5">
        <v>22</v>
      </c>
      <c r="Q85" s="5">
        <v>89</v>
      </c>
      <c r="R85" s="8">
        <v>1</v>
      </c>
      <c r="S85" s="8">
        <v>2</v>
      </c>
      <c r="T85" s="8">
        <v>5</v>
      </c>
      <c r="U85" s="8">
        <v>3</v>
      </c>
      <c r="V85" s="8">
        <v>3</v>
      </c>
      <c r="W85" t="s">
        <v>473</v>
      </c>
      <c r="X85" t="s">
        <v>473</v>
      </c>
      <c r="Y85" t="s">
        <v>473</v>
      </c>
      <c r="Z85" t="s">
        <v>473</v>
      </c>
      <c r="AA85" t="s">
        <v>473</v>
      </c>
      <c r="AB85" t="s">
        <v>473</v>
      </c>
      <c r="AC85" s="10">
        <v>3</v>
      </c>
      <c r="AD85" s="10">
        <v>11</v>
      </c>
      <c r="AE85" t="s">
        <v>473</v>
      </c>
    </row>
    <row r="86" spans="1:31" x14ac:dyDescent="0.25">
      <c r="A86">
        <v>535</v>
      </c>
      <c r="B86">
        <v>1987</v>
      </c>
      <c r="C86" t="s">
        <v>466</v>
      </c>
      <c r="D86" t="s">
        <v>37</v>
      </c>
      <c r="E86" t="str">
        <f>IF(OR(Table1[[#This Row],[marital_status]]="Married", Table1[[#This Row],[marital_status]]="Together"), "Partnered", "Single")</f>
        <v>Single</v>
      </c>
      <c r="F86" s="7">
        <v>81361</v>
      </c>
      <c r="G86" s="8">
        <v>0</v>
      </c>
      <c r="H86" s="8">
        <v>0</v>
      </c>
      <c r="I86" s="8">
        <f>Table1[[#This Row],[kids]]+Table1[[#This Row],[teens]]</f>
        <v>0</v>
      </c>
      <c r="J86" s="9">
        <v>41695</v>
      </c>
      <c r="K86" s="8">
        <v>18</v>
      </c>
      <c r="L86" s="6">
        <v>163</v>
      </c>
      <c r="M86" s="5">
        <v>23</v>
      </c>
      <c r="N86" s="5">
        <v>424</v>
      </c>
      <c r="O86" s="5">
        <v>27</v>
      </c>
      <c r="P86" s="5">
        <v>65</v>
      </c>
      <c r="Q86" s="5">
        <v>76</v>
      </c>
      <c r="R86" s="8">
        <v>1</v>
      </c>
      <c r="S86" s="8">
        <v>3</v>
      </c>
      <c r="T86" s="8">
        <v>10</v>
      </c>
      <c r="U86" s="8">
        <v>13</v>
      </c>
      <c r="V86" s="8">
        <v>1</v>
      </c>
      <c r="W86" t="s">
        <v>473</v>
      </c>
      <c r="X86" t="s">
        <v>473</v>
      </c>
      <c r="Y86" t="s">
        <v>473</v>
      </c>
      <c r="Z86" t="s">
        <v>473</v>
      </c>
      <c r="AA86" t="s">
        <v>473</v>
      </c>
      <c r="AB86" t="s">
        <v>473</v>
      </c>
      <c r="AC86" s="10">
        <v>3</v>
      </c>
      <c r="AD86" s="10">
        <v>11</v>
      </c>
      <c r="AE86" t="s">
        <v>473</v>
      </c>
    </row>
    <row r="87" spans="1:31" x14ac:dyDescent="0.25">
      <c r="A87">
        <v>5268</v>
      </c>
      <c r="B87">
        <v>1960</v>
      </c>
      <c r="C87" t="s">
        <v>466</v>
      </c>
      <c r="D87" t="s">
        <v>34</v>
      </c>
      <c r="E87" t="str">
        <f>IF(OR(Table1[[#This Row],[marital_status]]="Married", Table1[[#This Row],[marital_status]]="Together"), "Partnered", "Single")</f>
        <v>Partnered</v>
      </c>
      <c r="F87" s="7">
        <v>29440</v>
      </c>
      <c r="G87" s="8">
        <v>1</v>
      </c>
      <c r="H87" s="8">
        <v>1</v>
      </c>
      <c r="I87" s="8">
        <f>Table1[[#This Row],[kids]]+Table1[[#This Row],[teens]]</f>
        <v>2</v>
      </c>
      <c r="J87" s="9">
        <v>41497</v>
      </c>
      <c r="K87" s="8">
        <v>95</v>
      </c>
      <c r="L87" s="6">
        <v>17</v>
      </c>
      <c r="M87" s="5">
        <v>8</v>
      </c>
      <c r="N87" s="5">
        <v>14</v>
      </c>
      <c r="O87" s="5">
        <v>10</v>
      </c>
      <c r="P87" s="5">
        <v>4</v>
      </c>
      <c r="Q87" s="5">
        <v>3</v>
      </c>
      <c r="R87" s="8">
        <v>2</v>
      </c>
      <c r="S87" s="8">
        <v>1</v>
      </c>
      <c r="T87" s="8">
        <v>0</v>
      </c>
      <c r="U87" s="8">
        <v>4</v>
      </c>
      <c r="V87" s="8">
        <v>7</v>
      </c>
      <c r="W87" t="s">
        <v>473</v>
      </c>
      <c r="X87" t="s">
        <v>473</v>
      </c>
      <c r="Y87" t="s">
        <v>473</v>
      </c>
      <c r="Z87" t="s">
        <v>473</v>
      </c>
      <c r="AA87" t="s">
        <v>473</v>
      </c>
      <c r="AB87" t="s">
        <v>473</v>
      </c>
      <c r="AC87" s="10">
        <v>3</v>
      </c>
      <c r="AD87" s="10">
        <v>11</v>
      </c>
      <c r="AE87" t="s">
        <v>473</v>
      </c>
    </row>
    <row r="88" spans="1:31" x14ac:dyDescent="0.25">
      <c r="A88">
        <v>273</v>
      </c>
      <c r="B88">
        <v>1970</v>
      </c>
      <c r="C88" t="s">
        <v>36</v>
      </c>
      <c r="D88" t="s">
        <v>34</v>
      </c>
      <c r="E88" t="str">
        <f>IF(OR(Table1[[#This Row],[marital_status]]="Married", Table1[[#This Row],[marital_status]]="Together"), "Partnered", "Single")</f>
        <v>Partnered</v>
      </c>
      <c r="F88" s="7">
        <v>36138</v>
      </c>
      <c r="G88" s="8">
        <v>1</v>
      </c>
      <c r="H88" s="8">
        <v>1</v>
      </c>
      <c r="I88" s="8">
        <f>Table1[[#This Row],[kids]]+Table1[[#This Row],[teens]]</f>
        <v>2</v>
      </c>
      <c r="J88" s="9">
        <v>41471</v>
      </c>
      <c r="K88" s="8">
        <v>48</v>
      </c>
      <c r="L88" s="6">
        <v>130</v>
      </c>
      <c r="M88" s="5">
        <v>0</v>
      </c>
      <c r="N88" s="5">
        <v>16</v>
      </c>
      <c r="O88" s="5">
        <v>0</v>
      </c>
      <c r="P88" s="5">
        <v>0</v>
      </c>
      <c r="Q88" s="5">
        <v>5</v>
      </c>
      <c r="R88" s="8">
        <v>5</v>
      </c>
      <c r="S88" s="8">
        <v>3</v>
      </c>
      <c r="T88" s="8">
        <v>1</v>
      </c>
      <c r="U88" s="8">
        <v>4</v>
      </c>
      <c r="V88" s="8">
        <v>7</v>
      </c>
      <c r="W88" t="s">
        <v>473</v>
      </c>
      <c r="X88" t="s">
        <v>474</v>
      </c>
      <c r="Y88" t="s">
        <v>473</v>
      </c>
      <c r="Z88" t="s">
        <v>473</v>
      </c>
      <c r="AA88" t="s">
        <v>473</v>
      </c>
      <c r="AB88" t="s">
        <v>473</v>
      </c>
      <c r="AC88" s="10">
        <v>3</v>
      </c>
      <c r="AD88" s="10">
        <v>11</v>
      </c>
      <c r="AE88" t="s">
        <v>473</v>
      </c>
    </row>
    <row r="89" spans="1:31" x14ac:dyDescent="0.25">
      <c r="A89">
        <v>4452</v>
      </c>
      <c r="B89">
        <v>1957</v>
      </c>
      <c r="C89" t="s">
        <v>466</v>
      </c>
      <c r="D89" t="s">
        <v>30</v>
      </c>
      <c r="E89" t="str">
        <f>IF(OR(Table1[[#This Row],[marital_status]]="Married", Table1[[#This Row],[marital_status]]="Together"), "Partnered", "Single")</f>
        <v>Single</v>
      </c>
      <c r="F89" s="7">
        <v>50388</v>
      </c>
      <c r="G89" s="8">
        <v>0</v>
      </c>
      <c r="H89" s="8">
        <v>1</v>
      </c>
      <c r="I89" s="8">
        <f>Table1[[#This Row],[kids]]+Table1[[#This Row],[teens]]</f>
        <v>1</v>
      </c>
      <c r="J89" s="9">
        <v>41787</v>
      </c>
      <c r="K89" s="8">
        <v>3</v>
      </c>
      <c r="L89" s="6">
        <v>292</v>
      </c>
      <c r="M89" s="5">
        <v>6</v>
      </c>
      <c r="N89" s="5">
        <v>37</v>
      </c>
      <c r="O89" s="5">
        <v>0</v>
      </c>
      <c r="P89" s="5">
        <v>3</v>
      </c>
      <c r="Q89" s="5">
        <v>34</v>
      </c>
      <c r="R89" s="8">
        <v>4</v>
      </c>
      <c r="S89" s="8">
        <v>6</v>
      </c>
      <c r="T89" s="8">
        <v>1</v>
      </c>
      <c r="U89" s="8">
        <v>6</v>
      </c>
      <c r="V89" s="8">
        <v>7</v>
      </c>
      <c r="W89" t="s">
        <v>473</v>
      </c>
      <c r="X89" t="s">
        <v>474</v>
      </c>
      <c r="Y89" t="s">
        <v>473</v>
      </c>
      <c r="Z89" t="s">
        <v>474</v>
      </c>
      <c r="AA89" t="s">
        <v>473</v>
      </c>
      <c r="AB89" t="s">
        <v>473</v>
      </c>
      <c r="AC89" s="10">
        <v>3</v>
      </c>
      <c r="AD89" s="10">
        <v>11</v>
      </c>
      <c r="AE89" t="s">
        <v>474</v>
      </c>
    </row>
    <row r="90" spans="1:31" x14ac:dyDescent="0.25">
      <c r="A90">
        <v>8504</v>
      </c>
      <c r="B90">
        <v>1973</v>
      </c>
      <c r="C90" t="s">
        <v>466</v>
      </c>
      <c r="D90" t="s">
        <v>34</v>
      </c>
      <c r="E90" t="str">
        <f>IF(OR(Table1[[#This Row],[marital_status]]="Married", Table1[[#This Row],[marital_status]]="Together"), "Partnered", "Single")</f>
        <v>Partnered</v>
      </c>
      <c r="F90" s="7">
        <v>79593</v>
      </c>
      <c r="G90" s="8">
        <v>0</v>
      </c>
      <c r="H90" s="8">
        <v>0</v>
      </c>
      <c r="I90" s="8">
        <f>Table1[[#This Row],[kids]]+Table1[[#This Row],[teens]]</f>
        <v>0</v>
      </c>
      <c r="J90" s="9">
        <v>41771</v>
      </c>
      <c r="K90" s="8">
        <v>70</v>
      </c>
      <c r="L90" s="6">
        <v>350</v>
      </c>
      <c r="M90" s="5">
        <v>60</v>
      </c>
      <c r="N90" s="5">
        <v>568</v>
      </c>
      <c r="O90" s="5">
        <v>110</v>
      </c>
      <c r="P90" s="5">
        <v>133</v>
      </c>
      <c r="Q90" s="5">
        <v>145</v>
      </c>
      <c r="R90" s="8">
        <v>1</v>
      </c>
      <c r="S90" s="8">
        <v>5</v>
      </c>
      <c r="T90" s="8">
        <v>6</v>
      </c>
      <c r="U90" s="8">
        <v>7</v>
      </c>
      <c r="V90" s="8">
        <v>2</v>
      </c>
      <c r="W90" t="s">
        <v>473</v>
      </c>
      <c r="X90" t="s">
        <v>473</v>
      </c>
      <c r="Y90" t="s">
        <v>474</v>
      </c>
      <c r="Z90" t="s">
        <v>473</v>
      </c>
      <c r="AA90" t="s">
        <v>473</v>
      </c>
      <c r="AB90" t="s">
        <v>473</v>
      </c>
      <c r="AC90" s="10">
        <v>3</v>
      </c>
      <c r="AD90" s="10">
        <v>11</v>
      </c>
      <c r="AE90" t="s">
        <v>473</v>
      </c>
    </row>
    <row r="91" spans="1:31" x14ac:dyDescent="0.25">
      <c r="A91">
        <v>771</v>
      </c>
      <c r="B91">
        <v>1967</v>
      </c>
      <c r="C91" t="s">
        <v>466</v>
      </c>
      <c r="D91" t="s">
        <v>31</v>
      </c>
      <c r="E91" t="str">
        <f>IF(OR(Table1[[#This Row],[marital_status]]="Married", Table1[[#This Row],[marital_status]]="Together"), "Partnered", "Single")</f>
        <v>Partnered</v>
      </c>
      <c r="F91" s="7">
        <v>54178</v>
      </c>
      <c r="G91" s="8">
        <v>0</v>
      </c>
      <c r="H91" s="8">
        <v>1</v>
      </c>
      <c r="I91" s="8">
        <f>Table1[[#This Row],[kids]]+Table1[[#This Row],[teens]]</f>
        <v>1</v>
      </c>
      <c r="J91" s="9">
        <v>41660</v>
      </c>
      <c r="K91" s="8">
        <v>79</v>
      </c>
      <c r="L91" s="6">
        <v>135</v>
      </c>
      <c r="M91" s="5">
        <v>9</v>
      </c>
      <c r="N91" s="5">
        <v>39</v>
      </c>
      <c r="O91" s="5">
        <v>4</v>
      </c>
      <c r="P91" s="5">
        <v>0</v>
      </c>
      <c r="Q91" s="5">
        <v>7</v>
      </c>
      <c r="R91" s="8">
        <v>1</v>
      </c>
      <c r="S91" s="8">
        <v>2</v>
      </c>
      <c r="T91" s="8">
        <v>2</v>
      </c>
      <c r="U91" s="8">
        <v>5</v>
      </c>
      <c r="V91" s="8">
        <v>2</v>
      </c>
      <c r="W91" t="s">
        <v>473</v>
      </c>
      <c r="X91" t="s">
        <v>473</v>
      </c>
      <c r="Y91" t="s">
        <v>473</v>
      </c>
      <c r="Z91" t="s">
        <v>473</v>
      </c>
      <c r="AA91" t="s">
        <v>473</v>
      </c>
      <c r="AB91" t="s">
        <v>473</v>
      </c>
      <c r="AC91" s="10">
        <v>3</v>
      </c>
      <c r="AD91" s="10">
        <v>11</v>
      </c>
      <c r="AE91" t="s">
        <v>473</v>
      </c>
    </row>
    <row r="92" spans="1:31" x14ac:dyDescent="0.25">
      <c r="A92">
        <v>8996</v>
      </c>
      <c r="B92">
        <v>1957</v>
      </c>
      <c r="C92" t="s">
        <v>33</v>
      </c>
      <c r="D92" t="s">
        <v>34</v>
      </c>
      <c r="E92" t="str">
        <f>IF(OR(Table1[[#This Row],[marital_status]]="Married", Table1[[#This Row],[marital_status]]="Together"), "Partnered", "Single")</f>
        <v>Partnered</v>
      </c>
      <c r="F92" s="7" t="s">
        <v>464</v>
      </c>
      <c r="G92" s="8">
        <v>2</v>
      </c>
      <c r="H92" s="8">
        <v>1</v>
      </c>
      <c r="I92" s="8">
        <f>Table1[[#This Row],[kids]]+Table1[[#This Row],[teens]]</f>
        <v>3</v>
      </c>
      <c r="J92" s="9">
        <v>41232</v>
      </c>
      <c r="K92" s="8">
        <v>4</v>
      </c>
      <c r="L92" s="6">
        <v>230</v>
      </c>
      <c r="M92" s="5">
        <v>42</v>
      </c>
      <c r="N92" s="5">
        <v>192</v>
      </c>
      <c r="O92" s="5">
        <v>49</v>
      </c>
      <c r="P92" s="5">
        <v>37</v>
      </c>
      <c r="Q92" s="5">
        <v>53</v>
      </c>
      <c r="R92" s="8">
        <v>12</v>
      </c>
      <c r="S92" s="8">
        <v>7</v>
      </c>
      <c r="T92" s="8">
        <v>2</v>
      </c>
      <c r="U92" s="8">
        <v>8</v>
      </c>
      <c r="V92" s="8">
        <v>9</v>
      </c>
      <c r="W92" t="s">
        <v>473</v>
      </c>
      <c r="X92" t="s">
        <v>473</v>
      </c>
      <c r="Y92" t="s">
        <v>473</v>
      </c>
      <c r="Z92" t="s">
        <v>473</v>
      </c>
      <c r="AA92" t="s">
        <v>473</v>
      </c>
      <c r="AB92" t="s">
        <v>473</v>
      </c>
      <c r="AC92" s="10">
        <v>3</v>
      </c>
      <c r="AD92" s="10">
        <v>11</v>
      </c>
      <c r="AE92" t="s">
        <v>473</v>
      </c>
    </row>
    <row r="93" spans="1:31" x14ac:dyDescent="0.25">
      <c r="A93">
        <v>9235</v>
      </c>
      <c r="B93">
        <v>1957</v>
      </c>
      <c r="C93" t="s">
        <v>466</v>
      </c>
      <c r="D93" t="s">
        <v>30</v>
      </c>
      <c r="E93" t="str">
        <f>IF(OR(Table1[[#This Row],[marital_status]]="Married", Table1[[#This Row],[marital_status]]="Together"), "Partnered", "Single")</f>
        <v>Single</v>
      </c>
      <c r="F93" s="7" t="s">
        <v>464</v>
      </c>
      <c r="G93" s="8">
        <v>1</v>
      </c>
      <c r="H93" s="8">
        <v>1</v>
      </c>
      <c r="I93" s="8">
        <f>Table1[[#This Row],[kids]]+Table1[[#This Row],[teens]]</f>
        <v>2</v>
      </c>
      <c r="J93" s="9">
        <v>41786</v>
      </c>
      <c r="K93" s="8">
        <v>45</v>
      </c>
      <c r="L93" s="6">
        <v>7</v>
      </c>
      <c r="M93" s="5">
        <v>0</v>
      </c>
      <c r="N93" s="5">
        <v>8</v>
      </c>
      <c r="O93" s="5">
        <v>2</v>
      </c>
      <c r="P93" s="5">
        <v>0</v>
      </c>
      <c r="Q93" s="5">
        <v>1</v>
      </c>
      <c r="R93" s="8">
        <v>1</v>
      </c>
      <c r="S93" s="8">
        <v>1</v>
      </c>
      <c r="T93" s="8">
        <v>0</v>
      </c>
      <c r="U93" s="8">
        <v>2</v>
      </c>
      <c r="V93" s="8">
        <v>7</v>
      </c>
      <c r="W93" t="s">
        <v>473</v>
      </c>
      <c r="X93" t="s">
        <v>473</v>
      </c>
      <c r="Y93" t="s">
        <v>473</v>
      </c>
      <c r="Z93" t="s">
        <v>473</v>
      </c>
      <c r="AA93" t="s">
        <v>473</v>
      </c>
      <c r="AB93" t="s">
        <v>473</v>
      </c>
      <c r="AC93" s="10">
        <v>3</v>
      </c>
      <c r="AD93" s="10">
        <v>11</v>
      </c>
      <c r="AE93" t="s">
        <v>473</v>
      </c>
    </row>
    <row r="94" spans="1:31" x14ac:dyDescent="0.25">
      <c r="A94">
        <v>5798</v>
      </c>
      <c r="B94">
        <v>1973</v>
      </c>
      <c r="C94" t="s">
        <v>36</v>
      </c>
      <c r="D94" t="s">
        <v>31</v>
      </c>
      <c r="E94" t="str">
        <f>IF(OR(Table1[[#This Row],[marital_status]]="Married", Table1[[#This Row],[marital_status]]="Together"), "Partnered", "Single")</f>
        <v>Partnered</v>
      </c>
      <c r="F94" s="7" t="s">
        <v>464</v>
      </c>
      <c r="G94" s="8">
        <v>0</v>
      </c>
      <c r="H94" s="8">
        <v>0</v>
      </c>
      <c r="I94" s="8">
        <f>Table1[[#This Row],[kids]]+Table1[[#This Row],[teens]]</f>
        <v>0</v>
      </c>
      <c r="J94" s="9">
        <v>41601</v>
      </c>
      <c r="K94" s="8">
        <v>87</v>
      </c>
      <c r="L94" s="6">
        <v>445</v>
      </c>
      <c r="M94" s="5">
        <v>37</v>
      </c>
      <c r="N94" s="5">
        <v>359</v>
      </c>
      <c r="O94" s="5">
        <v>98</v>
      </c>
      <c r="P94" s="5">
        <v>28</v>
      </c>
      <c r="Q94" s="5">
        <v>18</v>
      </c>
      <c r="R94" s="8">
        <v>1</v>
      </c>
      <c r="S94" s="8">
        <v>2</v>
      </c>
      <c r="T94" s="8">
        <v>4</v>
      </c>
      <c r="U94" s="8">
        <v>8</v>
      </c>
      <c r="V94" s="8">
        <v>1</v>
      </c>
      <c r="W94" t="s">
        <v>473</v>
      </c>
      <c r="X94" t="s">
        <v>473</v>
      </c>
      <c r="Y94" t="s">
        <v>473</v>
      </c>
      <c r="Z94" t="s">
        <v>473</v>
      </c>
      <c r="AA94" t="s">
        <v>473</v>
      </c>
      <c r="AB94" t="s">
        <v>473</v>
      </c>
      <c r="AC94" s="10">
        <v>3</v>
      </c>
      <c r="AD94" s="10">
        <v>11</v>
      </c>
      <c r="AE94" t="s">
        <v>473</v>
      </c>
    </row>
    <row r="95" spans="1:31" x14ac:dyDescent="0.25">
      <c r="A95">
        <v>11178</v>
      </c>
      <c r="B95">
        <v>1972</v>
      </c>
      <c r="C95" t="s">
        <v>36</v>
      </c>
      <c r="D95" t="s">
        <v>30</v>
      </c>
      <c r="E95" t="str">
        <f>IF(OR(Table1[[#This Row],[marital_status]]="Married", Table1[[#This Row],[marital_status]]="Together"), "Partnered", "Single")</f>
        <v>Single</v>
      </c>
      <c r="F95" s="7">
        <v>42394</v>
      </c>
      <c r="G95" s="8">
        <v>1</v>
      </c>
      <c r="H95" s="8">
        <v>0</v>
      </c>
      <c r="I95" s="8">
        <f>Table1[[#This Row],[kids]]+Table1[[#This Row],[teens]]</f>
        <v>1</v>
      </c>
      <c r="J95" s="9">
        <v>41721</v>
      </c>
      <c r="K95" s="8">
        <v>69</v>
      </c>
      <c r="L95" s="6">
        <v>15</v>
      </c>
      <c r="M95" s="5">
        <v>2</v>
      </c>
      <c r="N95" s="5">
        <v>10</v>
      </c>
      <c r="O95" s="5">
        <v>0</v>
      </c>
      <c r="P95" s="5">
        <v>1</v>
      </c>
      <c r="Q95" s="5">
        <v>4</v>
      </c>
      <c r="R95" s="8">
        <v>1</v>
      </c>
      <c r="S95" s="8">
        <v>1</v>
      </c>
      <c r="T95" s="8">
        <v>0</v>
      </c>
      <c r="U95" s="8">
        <v>3</v>
      </c>
      <c r="V95" s="8">
        <v>7</v>
      </c>
      <c r="W95" t="s">
        <v>473</v>
      </c>
      <c r="X95" t="s">
        <v>473</v>
      </c>
      <c r="Y95" t="s">
        <v>473</v>
      </c>
      <c r="Z95" t="s">
        <v>473</v>
      </c>
      <c r="AA95" t="s">
        <v>473</v>
      </c>
      <c r="AB95" t="s">
        <v>473</v>
      </c>
      <c r="AC95" s="10">
        <v>3</v>
      </c>
      <c r="AD95" s="10">
        <v>11</v>
      </c>
      <c r="AE95" t="s">
        <v>473</v>
      </c>
    </row>
    <row r="96" spans="1:31" x14ac:dyDescent="0.25">
      <c r="A96">
        <v>2230</v>
      </c>
      <c r="B96">
        <v>1970</v>
      </c>
      <c r="C96" t="s">
        <v>33</v>
      </c>
      <c r="D96" t="s">
        <v>34</v>
      </c>
      <c r="E96" t="str">
        <f>IF(OR(Table1[[#This Row],[marital_status]]="Married", Table1[[#This Row],[marital_status]]="Together"), "Partnered", "Single")</f>
        <v>Partnered</v>
      </c>
      <c r="F96" s="7">
        <v>23626</v>
      </c>
      <c r="G96" s="8">
        <v>1</v>
      </c>
      <c r="H96" s="8">
        <v>0</v>
      </c>
      <c r="I96" s="8">
        <f>Table1[[#This Row],[kids]]+Table1[[#This Row],[teens]]</f>
        <v>1</v>
      </c>
      <c r="J96" s="9">
        <v>41783</v>
      </c>
      <c r="K96" s="8">
        <v>84</v>
      </c>
      <c r="L96" s="6">
        <v>27</v>
      </c>
      <c r="M96" s="5">
        <v>2</v>
      </c>
      <c r="N96" s="5">
        <v>14</v>
      </c>
      <c r="O96" s="5">
        <v>0</v>
      </c>
      <c r="P96" s="5">
        <v>0</v>
      </c>
      <c r="Q96" s="5">
        <v>0</v>
      </c>
      <c r="R96" s="8">
        <v>3</v>
      </c>
      <c r="S96" s="8">
        <v>3</v>
      </c>
      <c r="T96" s="8">
        <v>1</v>
      </c>
      <c r="U96" s="8">
        <v>3</v>
      </c>
      <c r="V96" s="8">
        <v>5</v>
      </c>
      <c r="W96" t="s">
        <v>473</v>
      </c>
      <c r="X96" t="s">
        <v>473</v>
      </c>
      <c r="Y96" t="s">
        <v>473</v>
      </c>
      <c r="Z96" t="s">
        <v>473</v>
      </c>
      <c r="AA96" t="s">
        <v>473</v>
      </c>
      <c r="AB96" t="s">
        <v>473</v>
      </c>
      <c r="AC96" s="10">
        <v>3</v>
      </c>
      <c r="AD96" s="10">
        <v>11</v>
      </c>
      <c r="AE96" t="s">
        <v>473</v>
      </c>
    </row>
    <row r="97" spans="1:31" x14ac:dyDescent="0.25">
      <c r="A97">
        <v>7516</v>
      </c>
      <c r="B97">
        <v>1983</v>
      </c>
      <c r="C97" t="s">
        <v>466</v>
      </c>
      <c r="D97" t="s">
        <v>34</v>
      </c>
      <c r="E97" t="str">
        <f>IF(OR(Table1[[#This Row],[marital_status]]="Married", Table1[[#This Row],[marital_status]]="Together"), "Partnered", "Single")</f>
        <v>Partnered</v>
      </c>
      <c r="F97" s="7">
        <v>30096</v>
      </c>
      <c r="G97" s="8">
        <v>1</v>
      </c>
      <c r="H97" s="8">
        <v>0</v>
      </c>
      <c r="I97" s="8">
        <f>Table1[[#This Row],[kids]]+Table1[[#This Row],[teens]]</f>
        <v>1</v>
      </c>
      <c r="J97" s="9">
        <v>41781</v>
      </c>
      <c r="K97" s="8">
        <v>30</v>
      </c>
      <c r="L97" s="6">
        <v>5</v>
      </c>
      <c r="M97" s="5">
        <v>3</v>
      </c>
      <c r="N97" s="5">
        <v>11</v>
      </c>
      <c r="O97" s="5">
        <v>12</v>
      </c>
      <c r="P97" s="5">
        <v>5</v>
      </c>
      <c r="Q97" s="5">
        <v>9</v>
      </c>
      <c r="R97" s="8">
        <v>1</v>
      </c>
      <c r="S97" s="8">
        <v>2</v>
      </c>
      <c r="T97" s="8">
        <v>0</v>
      </c>
      <c r="U97" s="8">
        <v>3</v>
      </c>
      <c r="V97" s="8">
        <v>6</v>
      </c>
      <c r="W97" t="s">
        <v>473</v>
      </c>
      <c r="X97" t="s">
        <v>473</v>
      </c>
      <c r="Y97" t="s">
        <v>473</v>
      </c>
      <c r="Z97" t="s">
        <v>473</v>
      </c>
      <c r="AA97" t="s">
        <v>473</v>
      </c>
      <c r="AB97" t="s">
        <v>473</v>
      </c>
      <c r="AC97" s="10">
        <v>3</v>
      </c>
      <c r="AD97" s="10">
        <v>11</v>
      </c>
      <c r="AE97" t="s">
        <v>473</v>
      </c>
    </row>
    <row r="98" spans="1:31" x14ac:dyDescent="0.25">
      <c r="A98">
        <v>7247</v>
      </c>
      <c r="B98">
        <v>1960</v>
      </c>
      <c r="C98" t="s">
        <v>466</v>
      </c>
      <c r="D98" t="s">
        <v>57</v>
      </c>
      <c r="E98" t="str">
        <f>IF(OR(Table1[[#This Row],[marital_status]]="Married", Table1[[#This Row],[marital_status]]="Together"), "Partnered", "Single")</f>
        <v>Single</v>
      </c>
      <c r="F98" s="7">
        <v>47916</v>
      </c>
      <c r="G98" s="8">
        <v>0</v>
      </c>
      <c r="H98" s="8">
        <v>1</v>
      </c>
      <c r="I98" s="8">
        <f>Table1[[#This Row],[kids]]+Table1[[#This Row],[teens]]</f>
        <v>1</v>
      </c>
      <c r="J98" s="9">
        <v>41235</v>
      </c>
      <c r="K98" s="8">
        <v>72</v>
      </c>
      <c r="L98" s="6">
        <v>505</v>
      </c>
      <c r="M98" s="5">
        <v>0</v>
      </c>
      <c r="N98" s="5">
        <v>26</v>
      </c>
      <c r="O98" s="5">
        <v>0</v>
      </c>
      <c r="P98" s="5">
        <v>0</v>
      </c>
      <c r="Q98" s="5">
        <v>75</v>
      </c>
      <c r="R98" s="8">
        <v>5</v>
      </c>
      <c r="S98" s="8">
        <v>7</v>
      </c>
      <c r="T98" s="8">
        <v>4</v>
      </c>
      <c r="U98" s="8">
        <v>6</v>
      </c>
      <c r="V98" s="8">
        <v>6</v>
      </c>
      <c r="W98" t="s">
        <v>473</v>
      </c>
      <c r="X98" t="s">
        <v>474</v>
      </c>
      <c r="Y98" t="s">
        <v>473</v>
      </c>
      <c r="Z98" t="s">
        <v>473</v>
      </c>
      <c r="AA98" t="s">
        <v>473</v>
      </c>
      <c r="AB98" t="s">
        <v>473</v>
      </c>
      <c r="AC98" s="10">
        <v>3</v>
      </c>
      <c r="AD98" s="10">
        <v>11</v>
      </c>
      <c r="AE98" t="s">
        <v>473</v>
      </c>
    </row>
    <row r="99" spans="1:31" x14ac:dyDescent="0.25">
      <c r="A99">
        <v>11100</v>
      </c>
      <c r="B99">
        <v>1972</v>
      </c>
      <c r="C99" t="s">
        <v>466</v>
      </c>
      <c r="D99" t="s">
        <v>37</v>
      </c>
      <c r="E99" t="str">
        <f>IF(OR(Table1[[#This Row],[marital_status]]="Married", Table1[[#This Row],[marital_status]]="Together"), "Partnered", "Single")</f>
        <v>Single</v>
      </c>
      <c r="F99" s="7">
        <v>51813</v>
      </c>
      <c r="G99" s="8">
        <v>1</v>
      </c>
      <c r="H99" s="8">
        <v>1</v>
      </c>
      <c r="I99" s="8">
        <f>Table1[[#This Row],[kids]]+Table1[[#This Row],[teens]]</f>
        <v>2</v>
      </c>
      <c r="J99" s="9">
        <v>41375</v>
      </c>
      <c r="K99" s="8">
        <v>37</v>
      </c>
      <c r="L99" s="6">
        <v>51</v>
      </c>
      <c r="M99" s="5">
        <v>2</v>
      </c>
      <c r="N99" s="5">
        <v>7</v>
      </c>
      <c r="O99" s="5">
        <v>0</v>
      </c>
      <c r="P99" s="5">
        <v>1</v>
      </c>
      <c r="Q99" s="5">
        <v>2</v>
      </c>
      <c r="R99" s="8">
        <v>2</v>
      </c>
      <c r="S99" s="8">
        <v>2</v>
      </c>
      <c r="T99" s="8">
        <v>0</v>
      </c>
      <c r="U99" s="8">
        <v>3</v>
      </c>
      <c r="V99" s="8">
        <v>7</v>
      </c>
      <c r="W99" t="s">
        <v>473</v>
      </c>
      <c r="X99" t="s">
        <v>473</v>
      </c>
      <c r="Y99" t="s">
        <v>473</v>
      </c>
      <c r="Z99" t="s">
        <v>473</v>
      </c>
      <c r="AA99" t="s">
        <v>473</v>
      </c>
      <c r="AB99" t="s">
        <v>473</v>
      </c>
      <c r="AC99" s="10">
        <v>3</v>
      </c>
      <c r="AD99" s="10">
        <v>11</v>
      </c>
      <c r="AE99" t="s">
        <v>473</v>
      </c>
    </row>
    <row r="100" spans="1:31" x14ac:dyDescent="0.25">
      <c r="A100">
        <v>4646</v>
      </c>
      <c r="B100">
        <v>1951</v>
      </c>
      <c r="C100" t="s">
        <v>46</v>
      </c>
      <c r="D100" t="s">
        <v>34</v>
      </c>
      <c r="E100" t="str">
        <f>IF(OR(Table1[[#This Row],[marital_status]]="Married", Table1[[#This Row],[marital_status]]="Together"), "Partnered", "Single")</f>
        <v>Partnered</v>
      </c>
      <c r="F100" s="7">
        <v>78497</v>
      </c>
      <c r="G100" s="8">
        <v>0</v>
      </c>
      <c r="H100" s="8">
        <v>0</v>
      </c>
      <c r="I100" s="8">
        <f>Table1[[#This Row],[kids]]+Table1[[#This Row],[teens]]</f>
        <v>0</v>
      </c>
      <c r="J100" s="9">
        <v>41609</v>
      </c>
      <c r="K100" s="8">
        <v>44</v>
      </c>
      <c r="L100" s="6">
        <v>207</v>
      </c>
      <c r="M100" s="5">
        <v>26</v>
      </c>
      <c r="N100" s="5">
        <v>447</v>
      </c>
      <c r="O100" s="5">
        <v>75</v>
      </c>
      <c r="P100" s="5">
        <v>0</v>
      </c>
      <c r="Q100" s="5">
        <v>223</v>
      </c>
      <c r="R100" s="8">
        <v>1</v>
      </c>
      <c r="S100" s="8">
        <v>5</v>
      </c>
      <c r="T100" s="8">
        <v>7</v>
      </c>
      <c r="U100" s="8">
        <v>12</v>
      </c>
      <c r="V100" s="8">
        <v>2</v>
      </c>
      <c r="W100" t="s">
        <v>473</v>
      </c>
      <c r="X100" t="s">
        <v>473</v>
      </c>
      <c r="Y100" t="s">
        <v>473</v>
      </c>
      <c r="Z100" t="s">
        <v>474</v>
      </c>
      <c r="AA100" t="s">
        <v>473</v>
      </c>
      <c r="AB100" t="s">
        <v>473</v>
      </c>
      <c r="AC100" s="10">
        <v>3</v>
      </c>
      <c r="AD100" s="10">
        <v>11</v>
      </c>
      <c r="AE100" t="s">
        <v>473</v>
      </c>
    </row>
    <row r="101" spans="1:31" x14ac:dyDescent="0.25">
      <c r="A101">
        <v>3037</v>
      </c>
      <c r="B101">
        <v>1983</v>
      </c>
      <c r="C101" t="s">
        <v>33</v>
      </c>
      <c r="D101" t="s">
        <v>34</v>
      </c>
      <c r="E101" t="str">
        <f>IF(OR(Table1[[#This Row],[marital_status]]="Married", Table1[[#This Row],[marital_status]]="Together"), "Partnered", "Single")</f>
        <v>Partnered</v>
      </c>
      <c r="F101" s="7">
        <v>50150</v>
      </c>
      <c r="G101" s="8">
        <v>0</v>
      </c>
      <c r="H101" s="8">
        <v>0</v>
      </c>
      <c r="I101" s="8">
        <f>Table1[[#This Row],[kids]]+Table1[[#This Row],[teens]]</f>
        <v>0</v>
      </c>
      <c r="J101" s="9">
        <v>41445</v>
      </c>
      <c r="K101" s="8">
        <v>32</v>
      </c>
      <c r="L101" s="6">
        <v>135</v>
      </c>
      <c r="M101" s="5">
        <v>46</v>
      </c>
      <c r="N101" s="5">
        <v>92</v>
      </c>
      <c r="O101" s="5">
        <v>65</v>
      </c>
      <c r="P101" s="5">
        <v>61</v>
      </c>
      <c r="Q101" s="5">
        <v>11</v>
      </c>
      <c r="R101" s="8">
        <v>2</v>
      </c>
      <c r="S101" s="8">
        <v>5</v>
      </c>
      <c r="T101" s="8">
        <v>2</v>
      </c>
      <c r="U101" s="8">
        <v>7</v>
      </c>
      <c r="V101" s="8">
        <v>5</v>
      </c>
      <c r="W101" t="s">
        <v>473</v>
      </c>
      <c r="X101" t="s">
        <v>473</v>
      </c>
      <c r="Y101" t="s">
        <v>473</v>
      </c>
      <c r="Z101" t="s">
        <v>473</v>
      </c>
      <c r="AA101" t="s">
        <v>473</v>
      </c>
      <c r="AB101" t="s">
        <v>473</v>
      </c>
      <c r="AC101" s="10">
        <v>3</v>
      </c>
      <c r="AD101" s="10">
        <v>11</v>
      </c>
      <c r="AE101" t="s">
        <v>473</v>
      </c>
    </row>
    <row r="102" spans="1:31" x14ac:dyDescent="0.25">
      <c r="A102">
        <v>1473</v>
      </c>
      <c r="B102">
        <v>1960</v>
      </c>
      <c r="C102" t="s">
        <v>46</v>
      </c>
      <c r="D102" t="s">
        <v>30</v>
      </c>
      <c r="E102" t="str">
        <f>IF(OR(Table1[[#This Row],[marital_status]]="Married", Table1[[#This Row],[marital_status]]="Together"), "Partnered", "Single")</f>
        <v>Single</v>
      </c>
      <c r="F102" s="7">
        <v>47823</v>
      </c>
      <c r="G102" s="8">
        <v>0</v>
      </c>
      <c r="H102" s="8">
        <v>1</v>
      </c>
      <c r="I102" s="8">
        <f>Table1[[#This Row],[kids]]+Table1[[#This Row],[teens]]</f>
        <v>1</v>
      </c>
      <c r="J102" s="9">
        <v>41478</v>
      </c>
      <c r="K102" s="8">
        <v>0</v>
      </c>
      <c r="L102" s="6">
        <v>53</v>
      </c>
      <c r="M102" s="5">
        <v>1</v>
      </c>
      <c r="N102" s="5">
        <v>5</v>
      </c>
      <c r="O102" s="5">
        <v>2</v>
      </c>
      <c r="P102" s="5">
        <v>1</v>
      </c>
      <c r="Q102" s="5">
        <v>10</v>
      </c>
      <c r="R102" s="8">
        <v>2</v>
      </c>
      <c r="S102" s="8">
        <v>2</v>
      </c>
      <c r="T102" s="8">
        <v>0</v>
      </c>
      <c r="U102" s="8">
        <v>3</v>
      </c>
      <c r="V102" s="8">
        <v>8</v>
      </c>
      <c r="W102" t="s">
        <v>473</v>
      </c>
      <c r="X102" t="s">
        <v>473</v>
      </c>
      <c r="Y102" t="s">
        <v>473</v>
      </c>
      <c r="Z102" t="s">
        <v>473</v>
      </c>
      <c r="AA102" t="s">
        <v>473</v>
      </c>
      <c r="AB102" t="s">
        <v>473</v>
      </c>
      <c r="AC102" s="10">
        <v>3</v>
      </c>
      <c r="AD102" s="10">
        <v>11</v>
      </c>
      <c r="AE102" t="s">
        <v>473</v>
      </c>
    </row>
    <row r="103" spans="1:31" x14ac:dyDescent="0.25">
      <c r="A103">
        <v>1016</v>
      </c>
      <c r="B103">
        <v>1959</v>
      </c>
      <c r="C103" t="s">
        <v>33</v>
      </c>
      <c r="D103" t="s">
        <v>30</v>
      </c>
      <c r="E103" t="str">
        <f>IF(OR(Table1[[#This Row],[marital_status]]="Married", Table1[[#This Row],[marital_status]]="Together"), "Partnered", "Single")</f>
        <v>Single</v>
      </c>
      <c r="F103" s="7">
        <v>34554</v>
      </c>
      <c r="G103" s="8">
        <v>0</v>
      </c>
      <c r="H103" s="8">
        <v>1</v>
      </c>
      <c r="I103" s="8">
        <f>Table1[[#This Row],[kids]]+Table1[[#This Row],[teens]]</f>
        <v>1</v>
      </c>
      <c r="J103" s="9">
        <v>41728</v>
      </c>
      <c r="K103" s="8">
        <v>43</v>
      </c>
      <c r="L103" s="6">
        <v>41</v>
      </c>
      <c r="M103" s="5">
        <v>1</v>
      </c>
      <c r="N103" s="5">
        <v>6</v>
      </c>
      <c r="O103" s="5">
        <v>2</v>
      </c>
      <c r="P103" s="5">
        <v>0</v>
      </c>
      <c r="Q103" s="5">
        <v>5</v>
      </c>
      <c r="R103" s="8">
        <v>2</v>
      </c>
      <c r="S103" s="8">
        <v>2</v>
      </c>
      <c r="T103" s="8">
        <v>0</v>
      </c>
      <c r="U103" s="8">
        <v>3</v>
      </c>
      <c r="V103" s="8">
        <v>6</v>
      </c>
      <c r="W103" t="s">
        <v>473</v>
      </c>
      <c r="X103" t="s">
        <v>473</v>
      </c>
      <c r="Y103" t="s">
        <v>473</v>
      </c>
      <c r="Z103" t="s">
        <v>473</v>
      </c>
      <c r="AA103" t="s">
        <v>473</v>
      </c>
      <c r="AB103" t="s">
        <v>473</v>
      </c>
      <c r="AC103" s="10">
        <v>3</v>
      </c>
      <c r="AD103" s="10">
        <v>11</v>
      </c>
      <c r="AE103" t="s">
        <v>473</v>
      </c>
    </row>
    <row r="104" spans="1:31" x14ac:dyDescent="0.25">
      <c r="A104">
        <v>4518</v>
      </c>
      <c r="B104">
        <v>1979</v>
      </c>
      <c r="C104" t="s">
        <v>466</v>
      </c>
      <c r="D104" t="s">
        <v>31</v>
      </c>
      <c r="E104" t="str">
        <f>IF(OR(Table1[[#This Row],[marital_status]]="Married", Table1[[#This Row],[marital_status]]="Together"), "Partnered", "Single")</f>
        <v>Partnered</v>
      </c>
      <c r="F104" s="7">
        <v>85693</v>
      </c>
      <c r="G104" s="8">
        <v>0</v>
      </c>
      <c r="H104" s="8">
        <v>1</v>
      </c>
      <c r="I104" s="8">
        <f>Table1[[#This Row],[kids]]+Table1[[#This Row],[teens]]</f>
        <v>1</v>
      </c>
      <c r="J104" s="9">
        <v>41384</v>
      </c>
      <c r="K104" s="8">
        <v>59</v>
      </c>
      <c r="L104" s="6">
        <v>386</v>
      </c>
      <c r="M104" s="5">
        <v>172</v>
      </c>
      <c r="N104" s="5">
        <v>183</v>
      </c>
      <c r="O104" s="5">
        <v>185</v>
      </c>
      <c r="P104" s="5">
        <v>132</v>
      </c>
      <c r="Q104" s="5">
        <v>111</v>
      </c>
      <c r="R104" s="8">
        <v>2</v>
      </c>
      <c r="S104" s="8">
        <v>9</v>
      </c>
      <c r="T104" s="8">
        <v>5</v>
      </c>
      <c r="U104" s="8">
        <v>11</v>
      </c>
      <c r="V104" s="8">
        <v>5</v>
      </c>
      <c r="W104" t="s">
        <v>473</v>
      </c>
      <c r="X104" t="s">
        <v>473</v>
      </c>
      <c r="Y104" t="s">
        <v>473</v>
      </c>
      <c r="Z104" t="s">
        <v>473</v>
      </c>
      <c r="AA104" t="s">
        <v>473</v>
      </c>
      <c r="AB104" t="s">
        <v>473</v>
      </c>
      <c r="AC104" s="10">
        <v>3</v>
      </c>
      <c r="AD104" s="10">
        <v>11</v>
      </c>
      <c r="AE104" t="s">
        <v>473</v>
      </c>
    </row>
    <row r="105" spans="1:31" x14ac:dyDescent="0.25">
      <c r="A105">
        <v>9370</v>
      </c>
      <c r="B105">
        <v>1945</v>
      </c>
      <c r="C105" t="s">
        <v>33</v>
      </c>
      <c r="D105" t="s">
        <v>34</v>
      </c>
      <c r="E105" t="str">
        <f>IF(OR(Table1[[#This Row],[marital_status]]="Married", Table1[[#This Row],[marital_status]]="Together"), "Partnered", "Single")</f>
        <v>Partnered</v>
      </c>
      <c r="F105" s="7">
        <v>65846</v>
      </c>
      <c r="G105" s="8">
        <v>0</v>
      </c>
      <c r="H105" s="8">
        <v>0</v>
      </c>
      <c r="I105" s="8">
        <f>Table1[[#This Row],[kids]]+Table1[[#This Row],[teens]]</f>
        <v>0</v>
      </c>
      <c r="J105" s="9">
        <v>41411</v>
      </c>
      <c r="K105" s="8">
        <v>68</v>
      </c>
      <c r="L105" s="6">
        <v>562</v>
      </c>
      <c r="M105" s="5">
        <v>81</v>
      </c>
      <c r="N105" s="5">
        <v>276</v>
      </c>
      <c r="O105" s="5">
        <v>80</v>
      </c>
      <c r="P105" s="5">
        <v>40</v>
      </c>
      <c r="Q105" s="5">
        <v>81</v>
      </c>
      <c r="R105" s="8">
        <v>1</v>
      </c>
      <c r="S105" s="8">
        <v>6</v>
      </c>
      <c r="T105" s="8">
        <v>3</v>
      </c>
      <c r="U105" s="8">
        <v>6</v>
      </c>
      <c r="V105" s="8">
        <v>4</v>
      </c>
      <c r="W105" t="s">
        <v>473</v>
      </c>
      <c r="X105" t="s">
        <v>473</v>
      </c>
      <c r="Y105" t="s">
        <v>473</v>
      </c>
      <c r="Z105" t="s">
        <v>473</v>
      </c>
      <c r="AA105" t="s">
        <v>473</v>
      </c>
      <c r="AB105" t="s">
        <v>473</v>
      </c>
      <c r="AC105" s="10">
        <v>3</v>
      </c>
      <c r="AD105" s="10">
        <v>11</v>
      </c>
      <c r="AE105" t="s">
        <v>473</v>
      </c>
    </row>
    <row r="106" spans="1:31" x14ac:dyDescent="0.25">
      <c r="A106">
        <v>8908</v>
      </c>
      <c r="B106">
        <v>1959</v>
      </c>
      <c r="C106" t="s">
        <v>466</v>
      </c>
      <c r="D106" t="s">
        <v>34</v>
      </c>
      <c r="E106" t="str">
        <f>IF(OR(Table1[[#This Row],[marital_status]]="Married", Table1[[#This Row],[marital_status]]="Together"), "Partnered", "Single")</f>
        <v>Partnered</v>
      </c>
      <c r="F106" s="7">
        <v>87195</v>
      </c>
      <c r="G106" s="8">
        <v>0</v>
      </c>
      <c r="H106" s="8">
        <v>0</v>
      </c>
      <c r="I106" s="8">
        <f>Table1[[#This Row],[kids]]+Table1[[#This Row],[teens]]</f>
        <v>0</v>
      </c>
      <c r="J106" s="9">
        <v>41767</v>
      </c>
      <c r="K106" s="8">
        <v>35</v>
      </c>
      <c r="L106" s="6">
        <v>217</v>
      </c>
      <c r="M106" s="5">
        <v>76</v>
      </c>
      <c r="N106" s="5">
        <v>690</v>
      </c>
      <c r="O106" s="5">
        <v>50</v>
      </c>
      <c r="P106" s="5">
        <v>26</v>
      </c>
      <c r="Q106" s="5">
        <v>38</v>
      </c>
      <c r="R106" s="8">
        <v>1</v>
      </c>
      <c r="S106" s="8">
        <v>3</v>
      </c>
      <c r="T106" s="8">
        <v>11</v>
      </c>
      <c r="U106" s="8">
        <v>5</v>
      </c>
      <c r="V106" s="8">
        <v>1</v>
      </c>
      <c r="W106" t="s">
        <v>473</v>
      </c>
      <c r="X106" t="s">
        <v>473</v>
      </c>
      <c r="Y106" t="s">
        <v>473</v>
      </c>
      <c r="Z106" t="s">
        <v>473</v>
      </c>
      <c r="AA106" t="s">
        <v>473</v>
      </c>
      <c r="AB106" t="s">
        <v>473</v>
      </c>
      <c r="AC106" s="10">
        <v>3</v>
      </c>
      <c r="AD106" s="10">
        <v>11</v>
      </c>
      <c r="AE106" t="s">
        <v>474</v>
      </c>
    </row>
    <row r="107" spans="1:31" x14ac:dyDescent="0.25">
      <c r="A107">
        <v>8373</v>
      </c>
      <c r="B107">
        <v>1979</v>
      </c>
      <c r="C107" t="s">
        <v>41</v>
      </c>
      <c r="D107" t="s">
        <v>31</v>
      </c>
      <c r="E107" t="str">
        <f>IF(OR(Table1[[#This Row],[marital_status]]="Married", Table1[[#This Row],[marital_status]]="Together"), "Partnered", "Single")</f>
        <v>Partnered</v>
      </c>
      <c r="F107" s="7">
        <v>24594</v>
      </c>
      <c r="G107" s="8">
        <v>1</v>
      </c>
      <c r="H107" s="8">
        <v>0</v>
      </c>
      <c r="I107" s="8">
        <f>Table1[[#This Row],[kids]]+Table1[[#This Row],[teens]]</f>
        <v>1</v>
      </c>
      <c r="J107" s="9">
        <v>41618</v>
      </c>
      <c r="K107" s="8">
        <v>94</v>
      </c>
      <c r="L107" s="6">
        <v>1</v>
      </c>
      <c r="M107" s="5">
        <v>3</v>
      </c>
      <c r="N107" s="5">
        <v>6</v>
      </c>
      <c r="O107" s="5">
        <v>10</v>
      </c>
      <c r="P107" s="5">
        <v>0</v>
      </c>
      <c r="Q107" s="5">
        <v>9</v>
      </c>
      <c r="R107" s="8">
        <v>1</v>
      </c>
      <c r="S107" s="8">
        <v>1</v>
      </c>
      <c r="T107" s="8">
        <v>0</v>
      </c>
      <c r="U107" s="8">
        <v>3</v>
      </c>
      <c r="V107" s="8">
        <v>5</v>
      </c>
      <c r="W107" t="s">
        <v>473</v>
      </c>
      <c r="X107" t="s">
        <v>473</v>
      </c>
      <c r="Y107" t="s">
        <v>473</v>
      </c>
      <c r="Z107" t="s">
        <v>473</v>
      </c>
      <c r="AA107" t="s">
        <v>473</v>
      </c>
      <c r="AB107" t="s">
        <v>473</v>
      </c>
      <c r="AC107" s="10">
        <v>3</v>
      </c>
      <c r="AD107" s="10">
        <v>11</v>
      </c>
      <c r="AE107" t="s">
        <v>473</v>
      </c>
    </row>
    <row r="108" spans="1:31" x14ac:dyDescent="0.25">
      <c r="A108">
        <v>7533</v>
      </c>
      <c r="B108">
        <v>1964</v>
      </c>
      <c r="C108" t="s">
        <v>466</v>
      </c>
      <c r="D108" t="s">
        <v>34</v>
      </c>
      <c r="E108" t="str">
        <f>IF(OR(Table1[[#This Row],[marital_status]]="Married", Table1[[#This Row],[marital_status]]="Together"), "Partnered", "Single")</f>
        <v>Partnered</v>
      </c>
      <c r="F108" s="7">
        <v>49096</v>
      </c>
      <c r="G108" s="8">
        <v>1</v>
      </c>
      <c r="H108" s="8">
        <v>1</v>
      </c>
      <c r="I108" s="8">
        <f>Table1[[#This Row],[kids]]+Table1[[#This Row],[teens]]</f>
        <v>2</v>
      </c>
      <c r="J108" s="9">
        <v>41541</v>
      </c>
      <c r="K108" s="8">
        <v>15</v>
      </c>
      <c r="L108" s="6">
        <v>144</v>
      </c>
      <c r="M108" s="5">
        <v>1</v>
      </c>
      <c r="N108" s="5">
        <v>32</v>
      </c>
      <c r="O108" s="5">
        <v>2</v>
      </c>
      <c r="P108" s="5">
        <v>1</v>
      </c>
      <c r="Q108" s="5">
        <v>7</v>
      </c>
      <c r="R108" s="8">
        <v>4</v>
      </c>
      <c r="S108" s="8">
        <v>4</v>
      </c>
      <c r="T108" s="8">
        <v>1</v>
      </c>
      <c r="U108" s="8">
        <v>4</v>
      </c>
      <c r="V108" s="8">
        <v>7</v>
      </c>
      <c r="W108" t="s">
        <v>473</v>
      </c>
      <c r="X108" t="s">
        <v>473</v>
      </c>
      <c r="Y108" t="s">
        <v>473</v>
      </c>
      <c r="Z108" t="s">
        <v>473</v>
      </c>
      <c r="AA108" t="s">
        <v>473</v>
      </c>
      <c r="AB108" t="s">
        <v>473</v>
      </c>
      <c r="AC108" s="10">
        <v>3</v>
      </c>
      <c r="AD108" s="10">
        <v>11</v>
      </c>
      <c r="AE108" t="s">
        <v>473</v>
      </c>
    </row>
    <row r="109" spans="1:31" x14ac:dyDescent="0.25">
      <c r="A109">
        <v>2683</v>
      </c>
      <c r="B109">
        <v>1969</v>
      </c>
      <c r="C109" t="s">
        <v>466</v>
      </c>
      <c r="D109" t="s">
        <v>34</v>
      </c>
      <c r="E109" t="str">
        <f>IF(OR(Table1[[#This Row],[marital_status]]="Married", Table1[[#This Row],[marital_status]]="Together"), "Partnered", "Single")</f>
        <v>Partnered</v>
      </c>
      <c r="F109" s="7">
        <v>52413</v>
      </c>
      <c r="G109" s="8">
        <v>0</v>
      </c>
      <c r="H109" s="8">
        <v>2</v>
      </c>
      <c r="I109" s="8">
        <f>Table1[[#This Row],[kids]]+Table1[[#This Row],[teens]]</f>
        <v>2</v>
      </c>
      <c r="J109" s="9">
        <v>41307</v>
      </c>
      <c r="K109" s="8">
        <v>56</v>
      </c>
      <c r="L109" s="6">
        <v>295</v>
      </c>
      <c r="M109" s="5">
        <v>106</v>
      </c>
      <c r="N109" s="5">
        <v>271</v>
      </c>
      <c r="O109" s="5">
        <v>75</v>
      </c>
      <c r="P109" s="5">
        <v>98</v>
      </c>
      <c r="Q109" s="5">
        <v>65</v>
      </c>
      <c r="R109" s="8">
        <v>4</v>
      </c>
      <c r="S109" s="8">
        <v>6</v>
      </c>
      <c r="T109" s="8">
        <v>4</v>
      </c>
      <c r="U109" s="8">
        <v>12</v>
      </c>
      <c r="V109" s="8">
        <v>6</v>
      </c>
      <c r="W109" t="s">
        <v>473</v>
      </c>
      <c r="X109" t="s">
        <v>473</v>
      </c>
      <c r="Y109" t="s">
        <v>473</v>
      </c>
      <c r="Z109" t="s">
        <v>473</v>
      </c>
      <c r="AA109" t="s">
        <v>473</v>
      </c>
      <c r="AB109" t="s">
        <v>473</v>
      </c>
      <c r="AC109" s="10">
        <v>3</v>
      </c>
      <c r="AD109" s="10">
        <v>11</v>
      </c>
      <c r="AE109" t="s">
        <v>473</v>
      </c>
    </row>
    <row r="110" spans="1:31" x14ac:dyDescent="0.25">
      <c r="A110">
        <v>3629</v>
      </c>
      <c r="B110">
        <v>1978</v>
      </c>
      <c r="C110" t="s">
        <v>466</v>
      </c>
      <c r="D110" t="s">
        <v>30</v>
      </c>
      <c r="E110" t="str">
        <f>IF(OR(Table1[[#This Row],[marital_status]]="Married", Table1[[#This Row],[marital_status]]="Together"), "Partnered", "Single")</f>
        <v>Single</v>
      </c>
      <c r="F110" s="7">
        <v>38557</v>
      </c>
      <c r="G110" s="8">
        <v>1</v>
      </c>
      <c r="H110" s="8">
        <v>0</v>
      </c>
      <c r="I110" s="8">
        <f>Table1[[#This Row],[kids]]+Table1[[#This Row],[teens]]</f>
        <v>1</v>
      </c>
      <c r="J110" s="9">
        <v>41262</v>
      </c>
      <c r="K110" s="8">
        <v>17</v>
      </c>
      <c r="L110" s="6">
        <v>76</v>
      </c>
      <c r="M110" s="5">
        <v>3</v>
      </c>
      <c r="N110" s="5">
        <v>31</v>
      </c>
      <c r="O110" s="5">
        <v>4</v>
      </c>
      <c r="P110" s="5">
        <v>4</v>
      </c>
      <c r="Q110" s="5">
        <v>27</v>
      </c>
      <c r="R110" s="8">
        <v>2</v>
      </c>
      <c r="S110" s="8">
        <v>3</v>
      </c>
      <c r="T110" s="8">
        <v>1</v>
      </c>
      <c r="U110" s="8">
        <v>3</v>
      </c>
      <c r="V110" s="8">
        <v>7</v>
      </c>
      <c r="W110" t="s">
        <v>473</v>
      </c>
      <c r="X110" t="s">
        <v>473</v>
      </c>
      <c r="Y110" t="s">
        <v>473</v>
      </c>
      <c r="Z110" t="s">
        <v>473</v>
      </c>
      <c r="AA110" t="s">
        <v>473</v>
      </c>
      <c r="AB110" t="s">
        <v>473</v>
      </c>
      <c r="AC110" s="10">
        <v>3</v>
      </c>
      <c r="AD110" s="10">
        <v>11</v>
      </c>
      <c r="AE110" t="s">
        <v>473</v>
      </c>
    </row>
    <row r="111" spans="1:31" x14ac:dyDescent="0.25">
      <c r="A111">
        <v>10991</v>
      </c>
      <c r="B111">
        <v>1960</v>
      </c>
      <c r="C111" t="s">
        <v>36</v>
      </c>
      <c r="D111" t="s">
        <v>34</v>
      </c>
      <c r="E111" t="str">
        <f>IF(OR(Table1[[#This Row],[marital_status]]="Married", Table1[[#This Row],[marital_status]]="Together"), "Partnered", "Single")</f>
        <v>Partnered</v>
      </c>
      <c r="F111" s="7">
        <v>89058</v>
      </c>
      <c r="G111" s="8">
        <v>0</v>
      </c>
      <c r="H111" s="8">
        <v>0</v>
      </c>
      <c r="I111" s="8">
        <f>Table1[[#This Row],[kids]]+Table1[[#This Row],[teens]]</f>
        <v>0</v>
      </c>
      <c r="J111" s="9">
        <v>41250</v>
      </c>
      <c r="K111" s="8">
        <v>18</v>
      </c>
      <c r="L111" s="6">
        <v>454</v>
      </c>
      <c r="M111" s="5">
        <v>194</v>
      </c>
      <c r="N111" s="5">
        <v>106</v>
      </c>
      <c r="O111" s="5">
        <v>31</v>
      </c>
      <c r="P111" s="5">
        <v>22</v>
      </c>
      <c r="Q111" s="5">
        <v>43</v>
      </c>
      <c r="R111" s="8">
        <v>1</v>
      </c>
      <c r="S111" s="8">
        <v>5</v>
      </c>
      <c r="T111" s="8">
        <v>4</v>
      </c>
      <c r="U111" s="8">
        <v>4</v>
      </c>
      <c r="V111" s="8">
        <v>2</v>
      </c>
      <c r="W111" t="s">
        <v>473</v>
      </c>
      <c r="X111" t="s">
        <v>473</v>
      </c>
      <c r="Y111" t="s">
        <v>473</v>
      </c>
      <c r="Z111" t="s">
        <v>473</v>
      </c>
      <c r="AA111" t="s">
        <v>473</v>
      </c>
      <c r="AB111" t="s">
        <v>473</v>
      </c>
      <c r="AC111" s="10">
        <v>3</v>
      </c>
      <c r="AD111" s="10">
        <v>11</v>
      </c>
      <c r="AE111" t="s">
        <v>473</v>
      </c>
    </row>
    <row r="112" spans="1:31" x14ac:dyDescent="0.25">
      <c r="A112">
        <v>5077</v>
      </c>
      <c r="B112">
        <v>1979</v>
      </c>
      <c r="C112" t="s">
        <v>466</v>
      </c>
      <c r="D112" t="s">
        <v>31</v>
      </c>
      <c r="E112" t="str">
        <f>IF(OR(Table1[[#This Row],[marital_status]]="Married", Table1[[#This Row],[marital_status]]="Together"), "Partnered", "Single")</f>
        <v>Partnered</v>
      </c>
      <c r="F112" s="7">
        <v>77298</v>
      </c>
      <c r="G112" s="8">
        <v>0</v>
      </c>
      <c r="H112" s="8">
        <v>1</v>
      </c>
      <c r="I112" s="8">
        <f>Table1[[#This Row],[kids]]+Table1[[#This Row],[teens]]</f>
        <v>1</v>
      </c>
      <c r="J112" s="9">
        <v>41580</v>
      </c>
      <c r="K112" s="8">
        <v>46</v>
      </c>
      <c r="L112" s="6">
        <v>425</v>
      </c>
      <c r="M112" s="5">
        <v>115</v>
      </c>
      <c r="N112" s="5">
        <v>292</v>
      </c>
      <c r="O112" s="5">
        <v>23</v>
      </c>
      <c r="P112" s="5">
        <v>35</v>
      </c>
      <c r="Q112" s="5">
        <v>79</v>
      </c>
      <c r="R112" s="8">
        <v>1</v>
      </c>
      <c r="S112" s="8">
        <v>6</v>
      </c>
      <c r="T112" s="8">
        <v>6</v>
      </c>
      <c r="U112" s="8">
        <v>11</v>
      </c>
      <c r="V112" s="8">
        <v>3</v>
      </c>
      <c r="W112" t="s">
        <v>473</v>
      </c>
      <c r="X112" t="s">
        <v>473</v>
      </c>
      <c r="Y112" t="s">
        <v>473</v>
      </c>
      <c r="Z112" t="s">
        <v>473</v>
      </c>
      <c r="AA112" t="s">
        <v>473</v>
      </c>
      <c r="AB112" t="s">
        <v>473</v>
      </c>
      <c r="AC112" s="10">
        <v>3</v>
      </c>
      <c r="AD112" s="10">
        <v>11</v>
      </c>
      <c r="AE112" t="s">
        <v>473</v>
      </c>
    </row>
    <row r="113" spans="1:31" x14ac:dyDescent="0.25">
      <c r="A113">
        <v>7431</v>
      </c>
      <c r="B113">
        <v>1991</v>
      </c>
      <c r="C113" t="s">
        <v>33</v>
      </c>
      <c r="D113" t="s">
        <v>30</v>
      </c>
      <c r="E113" t="str">
        <f>IF(OR(Table1[[#This Row],[marital_status]]="Married", Table1[[#This Row],[marital_status]]="Together"), "Partnered", "Single")</f>
        <v>Single</v>
      </c>
      <c r="F113" s="7">
        <v>68126</v>
      </c>
      <c r="G113" s="8">
        <v>0</v>
      </c>
      <c r="H113" s="8">
        <v>0</v>
      </c>
      <c r="I113" s="8">
        <f>Table1[[#This Row],[kids]]+Table1[[#This Row],[teens]]</f>
        <v>0</v>
      </c>
      <c r="J113" s="9">
        <v>41223</v>
      </c>
      <c r="K113" s="8">
        <v>40</v>
      </c>
      <c r="L113" s="6">
        <v>1332</v>
      </c>
      <c r="M113" s="5">
        <v>17</v>
      </c>
      <c r="N113" s="5">
        <v>311</v>
      </c>
      <c r="O113" s="5">
        <v>23</v>
      </c>
      <c r="P113" s="5">
        <v>51</v>
      </c>
      <c r="Q113" s="5">
        <v>86</v>
      </c>
      <c r="R113" s="8">
        <v>1</v>
      </c>
      <c r="S113" s="8">
        <v>7</v>
      </c>
      <c r="T113" s="8">
        <v>4</v>
      </c>
      <c r="U113" s="8">
        <v>5</v>
      </c>
      <c r="V113" s="8">
        <v>9</v>
      </c>
      <c r="W113" t="s">
        <v>473</v>
      </c>
      <c r="X113" t="s">
        <v>474</v>
      </c>
      <c r="Y113" t="s">
        <v>473</v>
      </c>
      <c r="Z113" t="s">
        <v>473</v>
      </c>
      <c r="AA113" t="s">
        <v>473</v>
      </c>
      <c r="AB113" t="s">
        <v>473</v>
      </c>
      <c r="AC113" s="10">
        <v>3</v>
      </c>
      <c r="AD113" s="10">
        <v>11</v>
      </c>
      <c r="AE113" t="s">
        <v>474</v>
      </c>
    </row>
    <row r="114" spans="1:31" x14ac:dyDescent="0.25">
      <c r="A114">
        <v>3267</v>
      </c>
      <c r="B114">
        <v>1963</v>
      </c>
      <c r="C114" t="s">
        <v>36</v>
      </c>
      <c r="D114" t="s">
        <v>31</v>
      </c>
      <c r="E114" t="str">
        <f>IF(OR(Table1[[#This Row],[marital_status]]="Married", Table1[[#This Row],[marital_status]]="Together"), "Partnered", "Single")</f>
        <v>Partnered</v>
      </c>
      <c r="F114" s="7">
        <v>57288</v>
      </c>
      <c r="G114" s="8">
        <v>0</v>
      </c>
      <c r="H114" s="8">
        <v>1</v>
      </c>
      <c r="I114" s="8">
        <f>Table1[[#This Row],[kids]]+Table1[[#This Row],[teens]]</f>
        <v>1</v>
      </c>
      <c r="J114" s="9">
        <v>41815</v>
      </c>
      <c r="K114" s="8">
        <v>27</v>
      </c>
      <c r="L114" s="6">
        <v>527</v>
      </c>
      <c r="M114" s="5">
        <v>0</v>
      </c>
      <c r="N114" s="5">
        <v>21</v>
      </c>
      <c r="O114" s="5">
        <v>0</v>
      </c>
      <c r="P114" s="5">
        <v>0</v>
      </c>
      <c r="Q114" s="5">
        <v>60</v>
      </c>
      <c r="R114" s="8">
        <v>3</v>
      </c>
      <c r="S114" s="8">
        <v>8</v>
      </c>
      <c r="T114" s="8">
        <v>1</v>
      </c>
      <c r="U114" s="8">
        <v>8</v>
      </c>
      <c r="V114" s="8">
        <v>6</v>
      </c>
      <c r="W114" t="s">
        <v>473</v>
      </c>
      <c r="X114" t="s">
        <v>474</v>
      </c>
      <c r="Y114" t="s">
        <v>473</v>
      </c>
      <c r="Z114" t="s">
        <v>473</v>
      </c>
      <c r="AA114" t="s">
        <v>473</v>
      </c>
      <c r="AB114" t="s">
        <v>473</v>
      </c>
      <c r="AC114" s="10">
        <v>3</v>
      </c>
      <c r="AD114" s="10">
        <v>11</v>
      </c>
      <c r="AE114" t="s">
        <v>473</v>
      </c>
    </row>
    <row r="115" spans="1:31" x14ac:dyDescent="0.25">
      <c r="A115">
        <v>999</v>
      </c>
      <c r="B115">
        <v>1991</v>
      </c>
      <c r="C115" t="s">
        <v>466</v>
      </c>
      <c r="D115" t="s">
        <v>30</v>
      </c>
      <c r="E115" t="str">
        <f>IF(OR(Table1[[#This Row],[marital_status]]="Married", Table1[[#This Row],[marital_status]]="Together"), "Partnered", "Single")</f>
        <v>Single</v>
      </c>
      <c r="F115" s="7">
        <v>86037</v>
      </c>
      <c r="G115" s="8">
        <v>0</v>
      </c>
      <c r="H115" s="8">
        <v>0</v>
      </c>
      <c r="I115" s="8">
        <f>Table1[[#This Row],[kids]]+Table1[[#This Row],[teens]]</f>
        <v>0</v>
      </c>
      <c r="J115" s="9">
        <v>41276</v>
      </c>
      <c r="K115" s="8">
        <v>95</v>
      </c>
      <c r="L115" s="6">
        <v>490</v>
      </c>
      <c r="M115" s="5">
        <v>44</v>
      </c>
      <c r="N115" s="5">
        <v>125</v>
      </c>
      <c r="O115" s="5">
        <v>29</v>
      </c>
      <c r="P115" s="5">
        <v>20</v>
      </c>
      <c r="Q115" s="5">
        <v>22</v>
      </c>
      <c r="R115" s="8">
        <v>1</v>
      </c>
      <c r="S115" s="8">
        <v>6</v>
      </c>
      <c r="T115" s="8">
        <v>7</v>
      </c>
      <c r="U115" s="8">
        <v>11</v>
      </c>
      <c r="V115" s="8">
        <v>3</v>
      </c>
      <c r="W115" t="s">
        <v>473</v>
      </c>
      <c r="X115" t="s">
        <v>474</v>
      </c>
      <c r="Y115" t="s">
        <v>474</v>
      </c>
      <c r="Z115" t="s">
        <v>473</v>
      </c>
      <c r="AA115" t="s">
        <v>473</v>
      </c>
      <c r="AB115" t="s">
        <v>473</v>
      </c>
      <c r="AC115" s="10">
        <v>3</v>
      </c>
      <c r="AD115" s="10">
        <v>11</v>
      </c>
      <c r="AE115" t="s">
        <v>474</v>
      </c>
    </row>
    <row r="116" spans="1:31" x14ac:dyDescent="0.25">
      <c r="A116">
        <v>9215</v>
      </c>
      <c r="B116">
        <v>1980</v>
      </c>
      <c r="C116" t="s">
        <v>33</v>
      </c>
      <c r="D116" t="s">
        <v>34</v>
      </c>
      <c r="E116" t="str">
        <f>IF(OR(Table1[[#This Row],[marital_status]]="Married", Table1[[#This Row],[marital_status]]="Together"), "Partnered", "Single")</f>
        <v>Partnered</v>
      </c>
      <c r="F116" s="7">
        <v>43974</v>
      </c>
      <c r="G116" s="8">
        <v>1</v>
      </c>
      <c r="H116" s="8">
        <v>0</v>
      </c>
      <c r="I116" s="8">
        <f>Table1[[#This Row],[kids]]+Table1[[#This Row],[teens]]</f>
        <v>1</v>
      </c>
      <c r="J116" s="9">
        <v>41255</v>
      </c>
      <c r="K116" s="8">
        <v>19</v>
      </c>
      <c r="L116" s="6">
        <v>378</v>
      </c>
      <c r="M116" s="5">
        <v>0</v>
      </c>
      <c r="N116" s="5">
        <v>101</v>
      </c>
      <c r="O116" s="5">
        <v>0</v>
      </c>
      <c r="P116" s="5">
        <v>0</v>
      </c>
      <c r="Q116" s="5">
        <v>72</v>
      </c>
      <c r="R116" s="8">
        <v>5</v>
      </c>
      <c r="S116" s="8">
        <v>6</v>
      </c>
      <c r="T116" s="8">
        <v>4</v>
      </c>
      <c r="U116" s="8">
        <v>6</v>
      </c>
      <c r="V116" s="8">
        <v>7</v>
      </c>
      <c r="W116" t="s">
        <v>473</v>
      </c>
      <c r="X116" t="s">
        <v>473</v>
      </c>
      <c r="Y116" t="s">
        <v>473</v>
      </c>
      <c r="Z116" t="s">
        <v>473</v>
      </c>
      <c r="AA116" t="s">
        <v>473</v>
      </c>
      <c r="AB116" t="s">
        <v>473</v>
      </c>
      <c r="AC116" s="10">
        <v>3</v>
      </c>
      <c r="AD116" s="10">
        <v>11</v>
      </c>
      <c r="AE116" t="s">
        <v>473</v>
      </c>
    </row>
    <row r="117" spans="1:31" x14ac:dyDescent="0.25">
      <c r="A117">
        <v>2286</v>
      </c>
      <c r="B117">
        <v>1962</v>
      </c>
      <c r="C117" t="s">
        <v>466</v>
      </c>
      <c r="D117" t="s">
        <v>30</v>
      </c>
      <c r="E117" t="str">
        <f>IF(OR(Table1[[#This Row],[marital_status]]="Married", Table1[[#This Row],[marital_status]]="Together"), "Partnered", "Single")</f>
        <v>Single</v>
      </c>
      <c r="F117" s="7">
        <v>50785</v>
      </c>
      <c r="G117" s="8">
        <v>1</v>
      </c>
      <c r="H117" s="8">
        <v>1</v>
      </c>
      <c r="I117" s="8">
        <f>Table1[[#This Row],[kids]]+Table1[[#This Row],[teens]]</f>
        <v>2</v>
      </c>
      <c r="J117" s="9">
        <v>41527</v>
      </c>
      <c r="K117" s="8">
        <v>27</v>
      </c>
      <c r="L117" s="6">
        <v>64</v>
      </c>
      <c r="M117" s="5">
        <v>1</v>
      </c>
      <c r="N117" s="5">
        <v>21</v>
      </c>
      <c r="O117" s="5">
        <v>0</v>
      </c>
      <c r="P117" s="5">
        <v>1</v>
      </c>
      <c r="Q117" s="5">
        <v>27</v>
      </c>
      <c r="R117" s="8">
        <v>2</v>
      </c>
      <c r="S117" s="8">
        <v>2</v>
      </c>
      <c r="T117" s="8">
        <v>1</v>
      </c>
      <c r="U117" s="8">
        <v>3</v>
      </c>
      <c r="V117" s="8">
        <v>6</v>
      </c>
      <c r="W117" t="s">
        <v>473</v>
      </c>
      <c r="X117" t="s">
        <v>473</v>
      </c>
      <c r="Y117" t="s">
        <v>473</v>
      </c>
      <c r="Z117" t="s">
        <v>473</v>
      </c>
      <c r="AA117" t="s">
        <v>473</v>
      </c>
      <c r="AB117" t="s">
        <v>473</v>
      </c>
      <c r="AC117" s="10">
        <v>3</v>
      </c>
      <c r="AD117" s="10">
        <v>11</v>
      </c>
      <c r="AE117" t="s">
        <v>473</v>
      </c>
    </row>
    <row r="118" spans="1:31" x14ac:dyDescent="0.25">
      <c r="A118">
        <v>1592</v>
      </c>
      <c r="B118">
        <v>1970</v>
      </c>
      <c r="C118" t="s">
        <v>466</v>
      </c>
      <c r="D118" t="s">
        <v>34</v>
      </c>
      <c r="E118" t="str">
        <f>IF(OR(Table1[[#This Row],[marital_status]]="Married", Table1[[#This Row],[marital_status]]="Together"), "Partnered", "Single")</f>
        <v>Partnered</v>
      </c>
      <c r="F118" s="7">
        <v>90765</v>
      </c>
      <c r="G118" s="8">
        <v>0</v>
      </c>
      <c r="H118" s="8">
        <v>0</v>
      </c>
      <c r="I118" s="8">
        <f>Table1[[#This Row],[kids]]+Table1[[#This Row],[teens]]</f>
        <v>0</v>
      </c>
      <c r="J118" s="9">
        <v>41663</v>
      </c>
      <c r="K118" s="8">
        <v>25</v>
      </c>
      <c r="L118" s="6">
        <v>547</v>
      </c>
      <c r="M118" s="5">
        <v>99</v>
      </c>
      <c r="N118" s="5">
        <v>812</v>
      </c>
      <c r="O118" s="5">
        <v>151</v>
      </c>
      <c r="P118" s="5">
        <v>82</v>
      </c>
      <c r="Q118" s="5">
        <v>33</v>
      </c>
      <c r="R118" s="8">
        <v>0</v>
      </c>
      <c r="S118" s="8">
        <v>4</v>
      </c>
      <c r="T118" s="8">
        <v>6</v>
      </c>
      <c r="U118" s="8">
        <v>5</v>
      </c>
      <c r="V118" s="8">
        <v>1</v>
      </c>
      <c r="W118" t="s">
        <v>473</v>
      </c>
      <c r="X118" t="s">
        <v>473</v>
      </c>
      <c r="Y118" t="s">
        <v>474</v>
      </c>
      <c r="Z118" t="s">
        <v>474</v>
      </c>
      <c r="AA118" t="s">
        <v>473</v>
      </c>
      <c r="AB118" t="s">
        <v>473</v>
      </c>
      <c r="AC118" s="10">
        <v>3</v>
      </c>
      <c r="AD118" s="10">
        <v>11</v>
      </c>
      <c r="AE118" t="s">
        <v>473</v>
      </c>
    </row>
    <row r="119" spans="1:31" x14ac:dyDescent="0.25">
      <c r="A119">
        <v>367</v>
      </c>
      <c r="B119">
        <v>1978</v>
      </c>
      <c r="C119" t="s">
        <v>46</v>
      </c>
      <c r="D119" t="s">
        <v>34</v>
      </c>
      <c r="E119" t="str">
        <f>IF(OR(Table1[[#This Row],[marital_status]]="Married", Table1[[#This Row],[marital_status]]="Together"), "Partnered", "Single")</f>
        <v>Partnered</v>
      </c>
      <c r="F119" s="7">
        <v>36550</v>
      </c>
      <c r="G119" s="8">
        <v>1</v>
      </c>
      <c r="H119" s="8">
        <v>0</v>
      </c>
      <c r="I119" s="8">
        <f>Table1[[#This Row],[kids]]+Table1[[#This Row],[teens]]</f>
        <v>1</v>
      </c>
      <c r="J119" s="9">
        <v>41324</v>
      </c>
      <c r="K119" s="8">
        <v>74</v>
      </c>
      <c r="L119" s="6">
        <v>47</v>
      </c>
      <c r="M119" s="5">
        <v>90</v>
      </c>
      <c r="N119" s="5">
        <v>94</v>
      </c>
      <c r="O119" s="5">
        <v>123</v>
      </c>
      <c r="P119" s="5">
        <v>103</v>
      </c>
      <c r="Q119" s="5">
        <v>120</v>
      </c>
      <c r="R119" s="8">
        <v>5</v>
      </c>
      <c r="S119" s="8">
        <v>9</v>
      </c>
      <c r="T119" s="8">
        <v>1</v>
      </c>
      <c r="U119" s="8">
        <v>5</v>
      </c>
      <c r="V119" s="8">
        <v>9</v>
      </c>
      <c r="W119" t="s">
        <v>473</v>
      </c>
      <c r="X119" t="s">
        <v>473</v>
      </c>
      <c r="Y119" t="s">
        <v>473</v>
      </c>
      <c r="Z119" t="s">
        <v>473</v>
      </c>
      <c r="AA119" t="s">
        <v>473</v>
      </c>
      <c r="AB119" t="s">
        <v>473</v>
      </c>
      <c r="AC119" s="10">
        <v>3</v>
      </c>
      <c r="AD119" s="10">
        <v>11</v>
      </c>
      <c r="AE119" t="s">
        <v>473</v>
      </c>
    </row>
    <row r="120" spans="1:31" x14ac:dyDescent="0.25">
      <c r="A120">
        <v>5234</v>
      </c>
      <c r="B120">
        <v>1967</v>
      </c>
      <c r="C120" t="s">
        <v>46</v>
      </c>
      <c r="D120" t="s">
        <v>31</v>
      </c>
      <c r="E120" t="str">
        <f>IF(OR(Table1[[#This Row],[marital_status]]="Married", Table1[[#This Row],[marital_status]]="Together"), "Partnered", "Single")</f>
        <v>Partnered</v>
      </c>
      <c r="F120" s="7">
        <v>30753</v>
      </c>
      <c r="G120" s="8">
        <v>1</v>
      </c>
      <c r="H120" s="8">
        <v>1</v>
      </c>
      <c r="I120" s="8">
        <f>Table1[[#This Row],[kids]]+Table1[[#This Row],[teens]]</f>
        <v>2</v>
      </c>
      <c r="J120" s="9">
        <v>41466</v>
      </c>
      <c r="K120" s="8">
        <v>85</v>
      </c>
      <c r="L120" s="6">
        <v>12</v>
      </c>
      <c r="M120" s="5">
        <v>5</v>
      </c>
      <c r="N120" s="5">
        <v>25</v>
      </c>
      <c r="O120" s="5">
        <v>0</v>
      </c>
      <c r="P120" s="5">
        <v>9</v>
      </c>
      <c r="Q120" s="5">
        <v>30</v>
      </c>
      <c r="R120" s="8">
        <v>2</v>
      </c>
      <c r="S120" s="8">
        <v>1</v>
      </c>
      <c r="T120" s="8">
        <v>1</v>
      </c>
      <c r="U120" s="8">
        <v>3</v>
      </c>
      <c r="V120" s="8">
        <v>5</v>
      </c>
      <c r="W120" t="s">
        <v>473</v>
      </c>
      <c r="X120" t="s">
        <v>473</v>
      </c>
      <c r="Y120" t="s">
        <v>473</v>
      </c>
      <c r="Z120" t="s">
        <v>473</v>
      </c>
      <c r="AA120" t="s">
        <v>473</v>
      </c>
      <c r="AB120" t="s">
        <v>473</v>
      </c>
      <c r="AC120" s="10">
        <v>3</v>
      </c>
      <c r="AD120" s="10">
        <v>11</v>
      </c>
      <c r="AE120" t="s">
        <v>473</v>
      </c>
    </row>
    <row r="121" spans="1:31" x14ac:dyDescent="0.25">
      <c r="A121">
        <v>9862</v>
      </c>
      <c r="B121">
        <v>1969</v>
      </c>
      <c r="C121" t="s">
        <v>466</v>
      </c>
      <c r="D121" t="s">
        <v>31</v>
      </c>
      <c r="E121" t="str">
        <f>IF(OR(Table1[[#This Row],[marital_status]]="Married", Table1[[#This Row],[marital_status]]="Together"), "Partnered", "Single")</f>
        <v>Partnered</v>
      </c>
      <c r="F121" s="7">
        <v>21918</v>
      </c>
      <c r="G121" s="8">
        <v>1</v>
      </c>
      <c r="H121" s="8">
        <v>0</v>
      </c>
      <c r="I121" s="8">
        <f>Table1[[#This Row],[kids]]+Table1[[#This Row],[teens]]</f>
        <v>1</v>
      </c>
      <c r="J121" s="9">
        <v>41592</v>
      </c>
      <c r="K121" s="8">
        <v>37</v>
      </c>
      <c r="L121" s="6">
        <v>1</v>
      </c>
      <c r="M121" s="5">
        <v>6</v>
      </c>
      <c r="N121" s="5">
        <v>7</v>
      </c>
      <c r="O121" s="5">
        <v>11</v>
      </c>
      <c r="P121" s="5">
        <v>5</v>
      </c>
      <c r="Q121" s="5">
        <v>3</v>
      </c>
      <c r="R121" s="8">
        <v>2</v>
      </c>
      <c r="S121" s="8">
        <v>2</v>
      </c>
      <c r="T121" s="8">
        <v>0</v>
      </c>
      <c r="U121" s="8">
        <v>3</v>
      </c>
      <c r="V121" s="8">
        <v>6</v>
      </c>
      <c r="W121" t="s">
        <v>473</v>
      </c>
      <c r="X121" t="s">
        <v>473</v>
      </c>
      <c r="Y121" t="s">
        <v>473</v>
      </c>
      <c r="Z121" t="s">
        <v>473</v>
      </c>
      <c r="AA121" t="s">
        <v>473</v>
      </c>
      <c r="AB121" t="s">
        <v>473</v>
      </c>
      <c r="AC121" s="10">
        <v>3</v>
      </c>
      <c r="AD121" s="10">
        <v>11</v>
      </c>
      <c r="AE121" t="s">
        <v>473</v>
      </c>
    </row>
    <row r="122" spans="1:31" x14ac:dyDescent="0.25">
      <c r="A122">
        <v>9805</v>
      </c>
      <c r="B122">
        <v>1953</v>
      </c>
      <c r="C122" t="s">
        <v>36</v>
      </c>
      <c r="D122" t="s">
        <v>31</v>
      </c>
      <c r="E122" t="str">
        <f>IF(OR(Table1[[#This Row],[marital_status]]="Married", Table1[[#This Row],[marital_status]]="Together"), "Partnered", "Single")</f>
        <v>Partnered</v>
      </c>
      <c r="F122" s="7">
        <v>56129</v>
      </c>
      <c r="G122" s="8">
        <v>0</v>
      </c>
      <c r="H122" s="8">
        <v>1</v>
      </c>
      <c r="I122" s="8">
        <f>Table1[[#This Row],[kids]]+Table1[[#This Row],[teens]]</f>
        <v>1</v>
      </c>
      <c r="J122" s="9">
        <v>41445</v>
      </c>
      <c r="K122" s="8">
        <v>65</v>
      </c>
      <c r="L122" s="6">
        <v>320</v>
      </c>
      <c r="M122" s="5">
        <v>48</v>
      </c>
      <c r="N122" s="5">
        <v>133</v>
      </c>
      <c r="O122" s="5">
        <v>39</v>
      </c>
      <c r="P122" s="5">
        <v>72</v>
      </c>
      <c r="Q122" s="5">
        <v>48</v>
      </c>
      <c r="R122" s="8">
        <v>4</v>
      </c>
      <c r="S122" s="8">
        <v>6</v>
      </c>
      <c r="T122" s="8">
        <v>2</v>
      </c>
      <c r="U122" s="8">
        <v>10</v>
      </c>
      <c r="V122" s="8">
        <v>4</v>
      </c>
      <c r="W122" t="s">
        <v>473</v>
      </c>
      <c r="X122" t="s">
        <v>473</v>
      </c>
      <c r="Y122" t="s">
        <v>473</v>
      </c>
      <c r="Z122" t="s">
        <v>473</v>
      </c>
      <c r="AA122" t="s">
        <v>473</v>
      </c>
      <c r="AB122" t="s">
        <v>473</v>
      </c>
      <c r="AC122" s="10">
        <v>3</v>
      </c>
      <c r="AD122" s="10">
        <v>11</v>
      </c>
      <c r="AE122" t="s">
        <v>473</v>
      </c>
    </row>
    <row r="123" spans="1:31" x14ac:dyDescent="0.25">
      <c r="A123">
        <v>6205</v>
      </c>
      <c r="B123">
        <v>1967</v>
      </c>
      <c r="C123" t="s">
        <v>36</v>
      </c>
      <c r="D123" t="s">
        <v>30</v>
      </c>
      <c r="E123" t="str">
        <f>IF(OR(Table1[[#This Row],[marital_status]]="Married", Table1[[#This Row],[marital_status]]="Together"), "Partnered", "Single")</f>
        <v>Single</v>
      </c>
      <c r="F123" s="7">
        <v>32557</v>
      </c>
      <c r="G123" s="8">
        <v>1</v>
      </c>
      <c r="H123" s="8">
        <v>0</v>
      </c>
      <c r="I123" s="8">
        <f>Table1[[#This Row],[kids]]+Table1[[#This Row],[teens]]</f>
        <v>1</v>
      </c>
      <c r="J123" s="9">
        <v>41694</v>
      </c>
      <c r="K123" s="8">
        <v>13</v>
      </c>
      <c r="L123" s="6">
        <v>34</v>
      </c>
      <c r="M123" s="5">
        <v>3</v>
      </c>
      <c r="N123" s="5">
        <v>29</v>
      </c>
      <c r="O123" s="5">
        <v>0</v>
      </c>
      <c r="P123" s="5">
        <v>4</v>
      </c>
      <c r="Q123" s="5">
        <v>10</v>
      </c>
      <c r="R123" s="8">
        <v>3</v>
      </c>
      <c r="S123" s="8">
        <v>2</v>
      </c>
      <c r="T123" s="8">
        <v>1</v>
      </c>
      <c r="U123" s="8">
        <v>3</v>
      </c>
      <c r="V123" s="8">
        <v>5</v>
      </c>
      <c r="W123" t="s">
        <v>473</v>
      </c>
      <c r="X123" t="s">
        <v>473</v>
      </c>
      <c r="Y123" t="s">
        <v>473</v>
      </c>
      <c r="Z123" t="s">
        <v>473</v>
      </c>
      <c r="AA123" t="s">
        <v>473</v>
      </c>
      <c r="AB123" t="s">
        <v>473</v>
      </c>
      <c r="AC123" s="10">
        <v>3</v>
      </c>
      <c r="AD123" s="10">
        <v>11</v>
      </c>
      <c r="AE123" t="s">
        <v>474</v>
      </c>
    </row>
    <row r="124" spans="1:31" x14ac:dyDescent="0.25">
      <c r="A124">
        <v>8442</v>
      </c>
      <c r="B124">
        <v>1985</v>
      </c>
      <c r="C124" t="s">
        <v>36</v>
      </c>
      <c r="D124" t="s">
        <v>34</v>
      </c>
      <c r="E124" t="str">
        <f>IF(OR(Table1[[#This Row],[marital_status]]="Married", Table1[[#This Row],[marital_status]]="Together"), "Partnered", "Single")</f>
        <v>Partnered</v>
      </c>
      <c r="F124" s="7">
        <v>19510</v>
      </c>
      <c r="G124" s="8">
        <v>2</v>
      </c>
      <c r="H124" s="8">
        <v>0</v>
      </c>
      <c r="I124" s="8">
        <f>Table1[[#This Row],[kids]]+Table1[[#This Row],[teens]]</f>
        <v>2</v>
      </c>
      <c r="J124" s="9">
        <v>41521</v>
      </c>
      <c r="K124" s="8">
        <v>63</v>
      </c>
      <c r="L124" s="6">
        <v>9</v>
      </c>
      <c r="M124" s="5">
        <v>0</v>
      </c>
      <c r="N124" s="5">
        <v>7</v>
      </c>
      <c r="O124" s="5">
        <v>3</v>
      </c>
      <c r="P124" s="5">
        <v>4</v>
      </c>
      <c r="Q124" s="5">
        <v>7</v>
      </c>
      <c r="R124" s="8">
        <v>2</v>
      </c>
      <c r="S124" s="8">
        <v>1</v>
      </c>
      <c r="T124" s="8">
        <v>0</v>
      </c>
      <c r="U124" s="8">
        <v>3</v>
      </c>
      <c r="V124" s="8">
        <v>7</v>
      </c>
      <c r="W124" t="s">
        <v>473</v>
      </c>
      <c r="X124" t="s">
        <v>473</v>
      </c>
      <c r="Y124" t="s">
        <v>473</v>
      </c>
      <c r="Z124" t="s">
        <v>473</v>
      </c>
      <c r="AA124" t="s">
        <v>473</v>
      </c>
      <c r="AB124" t="s">
        <v>473</v>
      </c>
      <c r="AC124" s="10">
        <v>3</v>
      </c>
      <c r="AD124" s="10">
        <v>11</v>
      </c>
      <c r="AE124" t="s">
        <v>473</v>
      </c>
    </row>
    <row r="125" spans="1:31" x14ac:dyDescent="0.25">
      <c r="A125">
        <v>7386</v>
      </c>
      <c r="B125">
        <v>1976</v>
      </c>
      <c r="C125" t="s">
        <v>466</v>
      </c>
      <c r="D125" t="s">
        <v>37</v>
      </c>
      <c r="E125" t="str">
        <f>IF(OR(Table1[[#This Row],[marital_status]]="Married", Table1[[#This Row],[marital_status]]="Together"), "Partnered", "Single")</f>
        <v>Single</v>
      </c>
      <c r="F125" s="7">
        <v>30992</v>
      </c>
      <c r="G125" s="8">
        <v>1</v>
      </c>
      <c r="H125" s="8">
        <v>0</v>
      </c>
      <c r="I125" s="8">
        <f>Table1[[#This Row],[kids]]+Table1[[#This Row],[teens]]</f>
        <v>1</v>
      </c>
      <c r="J125" s="9">
        <v>41386</v>
      </c>
      <c r="K125" s="8">
        <v>83</v>
      </c>
      <c r="L125" s="6">
        <v>17</v>
      </c>
      <c r="M125" s="5">
        <v>0</v>
      </c>
      <c r="N125" s="5">
        <v>14</v>
      </c>
      <c r="O125" s="5">
        <v>7</v>
      </c>
      <c r="P125" s="5">
        <v>3</v>
      </c>
      <c r="Q125" s="5">
        <v>2</v>
      </c>
      <c r="R125" s="8">
        <v>1</v>
      </c>
      <c r="S125" s="8">
        <v>1</v>
      </c>
      <c r="T125" s="8">
        <v>0</v>
      </c>
      <c r="U125" s="8">
        <v>3</v>
      </c>
      <c r="V125" s="8">
        <v>7</v>
      </c>
      <c r="W125" t="s">
        <v>473</v>
      </c>
      <c r="X125" t="s">
        <v>473</v>
      </c>
      <c r="Y125" t="s">
        <v>473</v>
      </c>
      <c r="Z125" t="s">
        <v>473</v>
      </c>
      <c r="AA125" t="s">
        <v>473</v>
      </c>
      <c r="AB125" t="s">
        <v>473</v>
      </c>
      <c r="AC125" s="10">
        <v>3</v>
      </c>
      <c r="AD125" s="10">
        <v>11</v>
      </c>
      <c r="AE125" t="s">
        <v>473</v>
      </c>
    </row>
    <row r="126" spans="1:31" x14ac:dyDescent="0.25">
      <c r="A126">
        <v>7215</v>
      </c>
      <c r="B126">
        <v>1983</v>
      </c>
      <c r="C126" t="s">
        <v>466</v>
      </c>
      <c r="D126" t="s">
        <v>30</v>
      </c>
      <c r="E126" t="str">
        <f>IF(OR(Table1[[#This Row],[marital_status]]="Married", Table1[[#This Row],[marital_status]]="Together"), "Partnered", "Single")</f>
        <v>Single</v>
      </c>
      <c r="F126" s="7">
        <v>101970</v>
      </c>
      <c r="G126" s="8">
        <v>0</v>
      </c>
      <c r="H126" s="8">
        <v>0</v>
      </c>
      <c r="I126" s="8">
        <f>Table1[[#This Row],[kids]]+Table1[[#This Row],[teens]]</f>
        <v>0</v>
      </c>
      <c r="J126" s="9">
        <v>41345</v>
      </c>
      <c r="K126" s="8">
        <v>69</v>
      </c>
      <c r="L126" s="6">
        <v>722</v>
      </c>
      <c r="M126" s="5">
        <v>27</v>
      </c>
      <c r="N126" s="5">
        <v>102</v>
      </c>
      <c r="O126" s="5">
        <v>44</v>
      </c>
      <c r="P126" s="5">
        <v>72</v>
      </c>
      <c r="Q126" s="5">
        <v>168</v>
      </c>
      <c r="R126" s="8">
        <v>0</v>
      </c>
      <c r="S126" s="8">
        <v>6</v>
      </c>
      <c r="T126" s="8">
        <v>8</v>
      </c>
      <c r="U126" s="8">
        <v>13</v>
      </c>
      <c r="V126" s="8">
        <v>2</v>
      </c>
      <c r="W126" t="s">
        <v>473</v>
      </c>
      <c r="X126" t="s">
        <v>474</v>
      </c>
      <c r="Y126" t="s">
        <v>474</v>
      </c>
      <c r="Z126" t="s">
        <v>474</v>
      </c>
      <c r="AA126" t="s">
        <v>473</v>
      </c>
      <c r="AB126" t="s">
        <v>473</v>
      </c>
      <c r="AC126" s="10">
        <v>3</v>
      </c>
      <c r="AD126" s="10">
        <v>11</v>
      </c>
      <c r="AE126" t="s">
        <v>474</v>
      </c>
    </row>
    <row r="127" spans="1:31" x14ac:dyDescent="0.25">
      <c r="A127">
        <v>1491</v>
      </c>
      <c r="B127">
        <v>1965</v>
      </c>
      <c r="C127" t="s">
        <v>46</v>
      </c>
      <c r="D127" t="s">
        <v>31</v>
      </c>
      <c r="E127" t="str">
        <f>IF(OR(Table1[[#This Row],[marital_status]]="Married", Table1[[#This Row],[marital_status]]="Together"), "Partnered", "Single")</f>
        <v>Partnered</v>
      </c>
      <c r="F127" s="7">
        <v>71488</v>
      </c>
      <c r="G127" s="8">
        <v>0</v>
      </c>
      <c r="H127" s="8">
        <v>0</v>
      </c>
      <c r="I127" s="8">
        <f>Table1[[#This Row],[kids]]+Table1[[#This Row],[teens]]</f>
        <v>0</v>
      </c>
      <c r="J127" s="9">
        <v>41323</v>
      </c>
      <c r="K127" s="8">
        <v>87</v>
      </c>
      <c r="L127" s="6">
        <v>162</v>
      </c>
      <c r="M127" s="5">
        <v>33</v>
      </c>
      <c r="N127" s="5">
        <v>124</v>
      </c>
      <c r="O127" s="5">
        <v>40</v>
      </c>
      <c r="P127" s="5">
        <v>28</v>
      </c>
      <c r="Q127" s="5">
        <v>172</v>
      </c>
      <c r="R127" s="8">
        <v>2</v>
      </c>
      <c r="S127" s="8">
        <v>3</v>
      </c>
      <c r="T127" s="8">
        <v>4</v>
      </c>
      <c r="U127" s="8">
        <v>7</v>
      </c>
      <c r="V127" s="8">
        <v>1</v>
      </c>
      <c r="W127" t="s">
        <v>473</v>
      </c>
      <c r="X127" t="s">
        <v>473</v>
      </c>
      <c r="Y127" t="s">
        <v>473</v>
      </c>
      <c r="Z127" t="s">
        <v>473</v>
      </c>
      <c r="AA127" t="s">
        <v>473</v>
      </c>
      <c r="AB127" t="s">
        <v>473</v>
      </c>
      <c r="AC127" s="10">
        <v>3</v>
      </c>
      <c r="AD127" s="10">
        <v>11</v>
      </c>
      <c r="AE127" t="s">
        <v>473</v>
      </c>
    </row>
    <row r="128" spans="1:31" x14ac:dyDescent="0.25">
      <c r="A128">
        <v>11071</v>
      </c>
      <c r="B128">
        <v>1984</v>
      </c>
      <c r="C128" t="s">
        <v>466</v>
      </c>
      <c r="D128" t="s">
        <v>30</v>
      </c>
      <c r="E128" t="str">
        <f>IF(OR(Table1[[#This Row],[marital_status]]="Married", Table1[[#This Row],[marital_status]]="Together"), "Partnered", "Single")</f>
        <v>Single</v>
      </c>
      <c r="F128" s="7">
        <v>79607</v>
      </c>
      <c r="G128" s="8">
        <v>0</v>
      </c>
      <c r="H128" s="8">
        <v>0</v>
      </c>
      <c r="I128" s="8">
        <f>Table1[[#This Row],[kids]]+Table1[[#This Row],[teens]]</f>
        <v>0</v>
      </c>
      <c r="J128" s="9">
        <v>41385</v>
      </c>
      <c r="K128" s="8">
        <v>37</v>
      </c>
      <c r="L128" s="6">
        <v>450</v>
      </c>
      <c r="M128" s="5">
        <v>133</v>
      </c>
      <c r="N128" s="5">
        <v>951</v>
      </c>
      <c r="O128" s="5">
        <v>173</v>
      </c>
      <c r="P128" s="5">
        <v>0</v>
      </c>
      <c r="Q128" s="5">
        <v>216</v>
      </c>
      <c r="R128" s="8">
        <v>1</v>
      </c>
      <c r="S128" s="8">
        <v>3</v>
      </c>
      <c r="T128" s="8">
        <v>6</v>
      </c>
      <c r="U128" s="8">
        <v>6</v>
      </c>
      <c r="V128" s="8">
        <v>1</v>
      </c>
      <c r="W128" t="s">
        <v>473</v>
      </c>
      <c r="X128" t="s">
        <v>473</v>
      </c>
      <c r="Y128" t="s">
        <v>473</v>
      </c>
      <c r="Z128" t="s">
        <v>473</v>
      </c>
      <c r="AA128" t="s">
        <v>473</v>
      </c>
      <c r="AB128" t="s">
        <v>473</v>
      </c>
      <c r="AC128" s="10">
        <v>3</v>
      </c>
      <c r="AD128" s="10">
        <v>11</v>
      </c>
      <c r="AE128" t="s">
        <v>474</v>
      </c>
    </row>
    <row r="129" spans="1:31" x14ac:dyDescent="0.25">
      <c r="A129">
        <v>3381</v>
      </c>
      <c r="B129">
        <v>1953</v>
      </c>
      <c r="C129" t="s">
        <v>36</v>
      </c>
      <c r="D129" t="s">
        <v>34</v>
      </c>
      <c r="E129" t="str">
        <f>IF(OR(Table1[[#This Row],[marital_status]]="Married", Table1[[#This Row],[marital_status]]="Together"), "Partnered", "Single")</f>
        <v>Partnered</v>
      </c>
      <c r="F129" s="7">
        <v>54348</v>
      </c>
      <c r="G129" s="8">
        <v>1</v>
      </c>
      <c r="H129" s="8">
        <v>1</v>
      </c>
      <c r="I129" s="8">
        <f>Table1[[#This Row],[kids]]+Table1[[#This Row],[teens]]</f>
        <v>2</v>
      </c>
      <c r="J129" s="9">
        <v>41798</v>
      </c>
      <c r="K129" s="8">
        <v>51</v>
      </c>
      <c r="L129" s="6">
        <v>70</v>
      </c>
      <c r="M129" s="5">
        <v>0</v>
      </c>
      <c r="N129" s="5">
        <v>16</v>
      </c>
      <c r="O129" s="5">
        <v>0</v>
      </c>
      <c r="P129" s="5">
        <v>0</v>
      </c>
      <c r="Q129" s="5">
        <v>4</v>
      </c>
      <c r="R129" s="8">
        <v>2</v>
      </c>
      <c r="S129" s="8">
        <v>2</v>
      </c>
      <c r="T129" s="8">
        <v>0</v>
      </c>
      <c r="U129" s="8">
        <v>4</v>
      </c>
      <c r="V129" s="8">
        <v>6</v>
      </c>
      <c r="W129" t="s">
        <v>473</v>
      </c>
      <c r="X129" t="s">
        <v>473</v>
      </c>
      <c r="Y129" t="s">
        <v>473</v>
      </c>
      <c r="Z129" t="s">
        <v>473</v>
      </c>
      <c r="AA129" t="s">
        <v>473</v>
      </c>
      <c r="AB129" t="s">
        <v>473</v>
      </c>
      <c r="AC129" s="10">
        <v>3</v>
      </c>
      <c r="AD129" s="10">
        <v>11</v>
      </c>
      <c r="AE129" t="s">
        <v>473</v>
      </c>
    </row>
    <row r="130" spans="1:31" x14ac:dyDescent="0.25">
      <c r="A130">
        <v>8268</v>
      </c>
      <c r="B130">
        <v>1961</v>
      </c>
      <c r="C130" t="s">
        <v>33</v>
      </c>
      <c r="D130" t="s">
        <v>34</v>
      </c>
      <c r="E130" t="str">
        <f>IF(OR(Table1[[#This Row],[marital_status]]="Married", Table1[[#This Row],[marital_status]]="Together"), "Partnered", "Single")</f>
        <v>Partnered</v>
      </c>
      <c r="F130" s="7" t="s">
        <v>464</v>
      </c>
      <c r="G130" s="8">
        <v>0</v>
      </c>
      <c r="H130" s="8">
        <v>1</v>
      </c>
      <c r="I130" s="8">
        <f>Table1[[#This Row],[kids]]+Table1[[#This Row],[teens]]</f>
        <v>1</v>
      </c>
      <c r="J130" s="9">
        <v>41466</v>
      </c>
      <c r="K130" s="8">
        <v>23</v>
      </c>
      <c r="L130" s="6">
        <v>352</v>
      </c>
      <c r="M130" s="5">
        <v>0</v>
      </c>
      <c r="N130" s="5">
        <v>27</v>
      </c>
      <c r="O130" s="5">
        <v>10</v>
      </c>
      <c r="P130" s="5">
        <v>0</v>
      </c>
      <c r="Q130" s="5">
        <v>15</v>
      </c>
      <c r="R130" s="8">
        <v>3</v>
      </c>
      <c r="S130" s="8">
        <v>6</v>
      </c>
      <c r="T130" s="8">
        <v>1</v>
      </c>
      <c r="U130" s="8">
        <v>7</v>
      </c>
      <c r="V130" s="8">
        <v>6</v>
      </c>
      <c r="W130" t="s">
        <v>473</v>
      </c>
      <c r="X130" t="s">
        <v>473</v>
      </c>
      <c r="Y130" t="s">
        <v>473</v>
      </c>
      <c r="Z130" t="s">
        <v>473</v>
      </c>
      <c r="AA130" t="s">
        <v>473</v>
      </c>
      <c r="AB130" t="s">
        <v>473</v>
      </c>
      <c r="AC130" s="10">
        <v>3</v>
      </c>
      <c r="AD130" s="10">
        <v>11</v>
      </c>
      <c r="AE130" t="s">
        <v>473</v>
      </c>
    </row>
    <row r="131" spans="1:31" x14ac:dyDescent="0.25">
      <c r="A131">
        <v>11051</v>
      </c>
      <c r="B131">
        <v>1956</v>
      </c>
      <c r="C131" t="s">
        <v>33</v>
      </c>
      <c r="D131" t="s">
        <v>31</v>
      </c>
      <c r="E131" t="str">
        <f>IF(OR(Table1[[#This Row],[marital_status]]="Married", Table1[[#This Row],[marital_status]]="Together"), "Partnered", "Single")</f>
        <v>Partnered</v>
      </c>
      <c r="F131" s="7">
        <v>77376</v>
      </c>
      <c r="G131" s="8">
        <v>1</v>
      </c>
      <c r="H131" s="8">
        <v>1</v>
      </c>
      <c r="I131" s="8">
        <f>Table1[[#This Row],[kids]]+Table1[[#This Row],[teens]]</f>
        <v>2</v>
      </c>
      <c r="J131" s="9">
        <v>41769</v>
      </c>
      <c r="K131" s="8">
        <v>72</v>
      </c>
      <c r="L131" s="6">
        <v>492</v>
      </c>
      <c r="M131" s="5">
        <v>19</v>
      </c>
      <c r="N131" s="5">
        <v>110</v>
      </c>
      <c r="O131" s="5">
        <v>16</v>
      </c>
      <c r="P131" s="5">
        <v>12</v>
      </c>
      <c r="Q131" s="5">
        <v>12</v>
      </c>
      <c r="R131" s="8">
        <v>4</v>
      </c>
      <c r="S131" s="8">
        <v>6</v>
      </c>
      <c r="T131" s="8">
        <v>3</v>
      </c>
      <c r="U131" s="8">
        <v>10</v>
      </c>
      <c r="V131" s="8">
        <v>4</v>
      </c>
      <c r="W131" t="s">
        <v>473</v>
      </c>
      <c r="X131" t="s">
        <v>473</v>
      </c>
      <c r="Y131" t="s">
        <v>473</v>
      </c>
      <c r="Z131" t="s">
        <v>473</v>
      </c>
      <c r="AA131" t="s">
        <v>473</v>
      </c>
      <c r="AB131" t="s">
        <v>473</v>
      </c>
      <c r="AC131" s="10">
        <v>3</v>
      </c>
      <c r="AD131" s="10">
        <v>11</v>
      </c>
      <c r="AE131" t="s">
        <v>473</v>
      </c>
    </row>
    <row r="132" spans="1:31" x14ac:dyDescent="0.25">
      <c r="A132">
        <v>8026</v>
      </c>
      <c r="B132">
        <v>1952</v>
      </c>
      <c r="C132" t="s">
        <v>466</v>
      </c>
      <c r="D132" t="s">
        <v>34</v>
      </c>
      <c r="E132" t="str">
        <f>IF(OR(Table1[[#This Row],[marital_status]]="Married", Table1[[#This Row],[marital_status]]="Together"), "Partnered", "Single")</f>
        <v>Partnered</v>
      </c>
      <c r="F132" s="7">
        <v>62998</v>
      </c>
      <c r="G132" s="8">
        <v>0</v>
      </c>
      <c r="H132" s="8">
        <v>1</v>
      </c>
      <c r="I132" s="8">
        <f>Table1[[#This Row],[kids]]+Table1[[#This Row],[teens]]</f>
        <v>1</v>
      </c>
      <c r="J132" s="9">
        <v>41547</v>
      </c>
      <c r="K132" s="8">
        <v>10</v>
      </c>
      <c r="L132" s="6">
        <v>120</v>
      </c>
      <c r="M132" s="5">
        <v>58</v>
      </c>
      <c r="N132" s="5">
        <v>73</v>
      </c>
      <c r="O132" s="5">
        <v>65</v>
      </c>
      <c r="P132" s="5">
        <v>89</v>
      </c>
      <c r="Q132" s="5">
        <v>58</v>
      </c>
      <c r="R132" s="8">
        <v>5</v>
      </c>
      <c r="S132" s="8">
        <v>5</v>
      </c>
      <c r="T132" s="8">
        <v>4</v>
      </c>
      <c r="U132" s="8">
        <v>5</v>
      </c>
      <c r="V132" s="8">
        <v>5</v>
      </c>
      <c r="W132" t="s">
        <v>473</v>
      </c>
      <c r="X132" t="s">
        <v>473</v>
      </c>
      <c r="Y132" t="s">
        <v>473</v>
      </c>
      <c r="Z132" t="s">
        <v>473</v>
      </c>
      <c r="AA132" t="s">
        <v>473</v>
      </c>
      <c r="AB132" t="s">
        <v>473</v>
      </c>
      <c r="AC132" s="10">
        <v>3</v>
      </c>
      <c r="AD132" s="10">
        <v>11</v>
      </c>
      <c r="AE132" t="s">
        <v>473</v>
      </c>
    </row>
    <row r="133" spans="1:31" x14ac:dyDescent="0.25">
      <c r="A133">
        <v>433</v>
      </c>
      <c r="B133">
        <v>1958</v>
      </c>
      <c r="C133" t="s">
        <v>36</v>
      </c>
      <c r="D133" t="s">
        <v>98</v>
      </c>
      <c r="E133" t="str">
        <f>IF(OR(Table1[[#This Row],[marital_status]]="Married", Table1[[#This Row],[marital_status]]="Together"), "Partnered", "Single")</f>
        <v>Single</v>
      </c>
      <c r="F133" s="7">
        <v>61331</v>
      </c>
      <c r="G133" s="8">
        <v>1</v>
      </c>
      <c r="H133" s="8">
        <v>1</v>
      </c>
      <c r="I133" s="8">
        <f>Table1[[#This Row],[kids]]+Table1[[#This Row],[teens]]</f>
        <v>2</v>
      </c>
      <c r="J133" s="9">
        <v>41343</v>
      </c>
      <c r="K133" s="8">
        <v>42</v>
      </c>
      <c r="L133" s="6">
        <v>534</v>
      </c>
      <c r="M133" s="5">
        <v>5</v>
      </c>
      <c r="N133" s="5">
        <v>47</v>
      </c>
      <c r="O133" s="5">
        <v>0</v>
      </c>
      <c r="P133" s="5">
        <v>5</v>
      </c>
      <c r="Q133" s="5">
        <v>41</v>
      </c>
      <c r="R133" s="8">
        <v>5</v>
      </c>
      <c r="S133" s="8">
        <v>11</v>
      </c>
      <c r="T133" s="8">
        <v>1</v>
      </c>
      <c r="U133" s="8">
        <v>6</v>
      </c>
      <c r="V133" s="8">
        <v>8</v>
      </c>
      <c r="W133" t="s">
        <v>473</v>
      </c>
      <c r="X133" t="s">
        <v>473</v>
      </c>
      <c r="Y133" t="s">
        <v>473</v>
      </c>
      <c r="Z133" t="s">
        <v>473</v>
      </c>
      <c r="AA133" t="s">
        <v>473</v>
      </c>
      <c r="AB133" t="s">
        <v>473</v>
      </c>
      <c r="AC133" s="10">
        <v>3</v>
      </c>
      <c r="AD133" s="10">
        <v>11</v>
      </c>
      <c r="AE133" t="s">
        <v>473</v>
      </c>
    </row>
    <row r="134" spans="1:31" x14ac:dyDescent="0.25">
      <c r="A134">
        <v>9597</v>
      </c>
      <c r="B134">
        <v>1969</v>
      </c>
      <c r="C134" t="s">
        <v>466</v>
      </c>
      <c r="D134" t="s">
        <v>34</v>
      </c>
      <c r="E134" t="str">
        <f>IF(OR(Table1[[#This Row],[marital_status]]="Married", Table1[[#This Row],[marital_status]]="Together"), "Partnered", "Single")</f>
        <v>Partnered</v>
      </c>
      <c r="F134" s="7">
        <v>73448</v>
      </c>
      <c r="G134" s="8">
        <v>0</v>
      </c>
      <c r="H134" s="8">
        <v>0</v>
      </c>
      <c r="I134" s="8">
        <f>Table1[[#This Row],[kids]]+Table1[[#This Row],[teens]]</f>
        <v>0</v>
      </c>
      <c r="J134" s="9">
        <v>41680</v>
      </c>
      <c r="K134" s="8">
        <v>10</v>
      </c>
      <c r="L134" s="6">
        <v>236</v>
      </c>
      <c r="M134" s="5">
        <v>106</v>
      </c>
      <c r="N134" s="5">
        <v>189</v>
      </c>
      <c r="O134" s="5">
        <v>23</v>
      </c>
      <c r="P134" s="5">
        <v>41</v>
      </c>
      <c r="Q134" s="5">
        <v>130</v>
      </c>
      <c r="R134" s="8">
        <v>1</v>
      </c>
      <c r="S134" s="8">
        <v>7</v>
      </c>
      <c r="T134" s="8">
        <v>2</v>
      </c>
      <c r="U134" s="8">
        <v>9</v>
      </c>
      <c r="V134" s="8">
        <v>4</v>
      </c>
      <c r="W134" t="s">
        <v>473</v>
      </c>
      <c r="X134" t="s">
        <v>473</v>
      </c>
      <c r="Y134" t="s">
        <v>473</v>
      </c>
      <c r="Z134" t="s">
        <v>473</v>
      </c>
      <c r="AA134" t="s">
        <v>473</v>
      </c>
      <c r="AB134" t="s">
        <v>473</v>
      </c>
      <c r="AC134" s="10">
        <v>3</v>
      </c>
      <c r="AD134" s="10">
        <v>11</v>
      </c>
      <c r="AE134" t="s">
        <v>473</v>
      </c>
    </row>
    <row r="135" spans="1:31" x14ac:dyDescent="0.25">
      <c r="A135">
        <v>1295</v>
      </c>
      <c r="B135">
        <v>1963</v>
      </c>
      <c r="C135" t="s">
        <v>466</v>
      </c>
      <c r="D135" t="s">
        <v>34</v>
      </c>
      <c r="E135" t="str">
        <f>IF(OR(Table1[[#This Row],[marital_status]]="Married", Table1[[#This Row],[marital_status]]="Together"), "Partnered", "Single")</f>
        <v>Partnered</v>
      </c>
      <c r="F135" s="7" t="s">
        <v>464</v>
      </c>
      <c r="G135" s="8">
        <v>0</v>
      </c>
      <c r="H135" s="8">
        <v>1</v>
      </c>
      <c r="I135" s="8">
        <f>Table1[[#This Row],[kids]]+Table1[[#This Row],[teens]]</f>
        <v>1</v>
      </c>
      <c r="J135" s="9">
        <v>41497</v>
      </c>
      <c r="K135" s="8">
        <v>96</v>
      </c>
      <c r="L135" s="6">
        <v>231</v>
      </c>
      <c r="M135" s="5">
        <v>65</v>
      </c>
      <c r="N135" s="5">
        <v>196</v>
      </c>
      <c r="O135" s="5">
        <v>38</v>
      </c>
      <c r="P135" s="5">
        <v>71</v>
      </c>
      <c r="Q135" s="5">
        <v>124</v>
      </c>
      <c r="R135" s="8">
        <v>1</v>
      </c>
      <c r="S135" s="8">
        <v>6</v>
      </c>
      <c r="T135" s="8">
        <v>5</v>
      </c>
      <c r="U135" s="8">
        <v>7</v>
      </c>
      <c r="V135" s="8">
        <v>4</v>
      </c>
      <c r="W135" t="s">
        <v>473</v>
      </c>
      <c r="X135" t="s">
        <v>473</v>
      </c>
      <c r="Y135" t="s">
        <v>473</v>
      </c>
      <c r="Z135" t="s">
        <v>473</v>
      </c>
      <c r="AA135" t="s">
        <v>473</v>
      </c>
      <c r="AB135" t="s">
        <v>473</v>
      </c>
      <c r="AC135" s="10">
        <v>3</v>
      </c>
      <c r="AD135" s="10">
        <v>11</v>
      </c>
      <c r="AE135" t="s">
        <v>473</v>
      </c>
    </row>
    <row r="136" spans="1:31" x14ac:dyDescent="0.25">
      <c r="A136">
        <v>5290</v>
      </c>
      <c r="B136">
        <v>1964</v>
      </c>
      <c r="C136" t="s">
        <v>33</v>
      </c>
      <c r="D136" t="s">
        <v>34</v>
      </c>
      <c r="E136" t="str">
        <f>IF(OR(Table1[[#This Row],[marital_status]]="Married", Table1[[#This Row],[marital_status]]="Together"), "Partnered", "Single")</f>
        <v>Partnered</v>
      </c>
      <c r="F136" s="7">
        <v>41551</v>
      </c>
      <c r="G136" s="8">
        <v>1</v>
      </c>
      <c r="H136" s="8">
        <v>1</v>
      </c>
      <c r="I136" s="8">
        <f>Table1[[#This Row],[kids]]+Table1[[#This Row],[teens]]</f>
        <v>2</v>
      </c>
      <c r="J136" s="9">
        <v>41500</v>
      </c>
      <c r="K136" s="8">
        <v>51</v>
      </c>
      <c r="L136" s="6">
        <v>220</v>
      </c>
      <c r="M136" s="5">
        <v>0</v>
      </c>
      <c r="N136" s="5">
        <v>33</v>
      </c>
      <c r="O136" s="5">
        <v>3</v>
      </c>
      <c r="P136" s="5">
        <v>0</v>
      </c>
      <c r="Q136" s="5">
        <v>23</v>
      </c>
      <c r="R136" s="8">
        <v>5</v>
      </c>
      <c r="S136" s="8">
        <v>5</v>
      </c>
      <c r="T136" s="8">
        <v>1</v>
      </c>
      <c r="U136" s="8">
        <v>5</v>
      </c>
      <c r="V136" s="8">
        <v>8</v>
      </c>
      <c r="W136" t="s">
        <v>473</v>
      </c>
      <c r="X136" t="s">
        <v>473</v>
      </c>
      <c r="Y136" t="s">
        <v>473</v>
      </c>
      <c r="Z136" t="s">
        <v>473</v>
      </c>
      <c r="AA136" t="s">
        <v>473</v>
      </c>
      <c r="AB136" t="s">
        <v>473</v>
      </c>
      <c r="AC136" s="10">
        <v>3</v>
      </c>
      <c r="AD136" s="10">
        <v>11</v>
      </c>
      <c r="AE136" t="s">
        <v>473</v>
      </c>
    </row>
    <row r="137" spans="1:31" x14ac:dyDescent="0.25">
      <c r="A137">
        <v>1685</v>
      </c>
      <c r="B137">
        <v>1967</v>
      </c>
      <c r="C137" t="s">
        <v>33</v>
      </c>
      <c r="D137" t="s">
        <v>31</v>
      </c>
      <c r="E137" t="str">
        <f>IF(OR(Table1[[#This Row],[marital_status]]="Married", Table1[[#This Row],[marital_status]]="Together"), "Partnered", "Single")</f>
        <v>Partnered</v>
      </c>
      <c r="F137" s="7">
        <v>62981</v>
      </c>
      <c r="G137" s="8">
        <v>0</v>
      </c>
      <c r="H137" s="8">
        <v>0</v>
      </c>
      <c r="I137" s="8">
        <f>Table1[[#This Row],[kids]]+Table1[[#This Row],[teens]]</f>
        <v>0</v>
      </c>
      <c r="J137" s="9">
        <v>41350</v>
      </c>
      <c r="K137" s="8">
        <v>21</v>
      </c>
      <c r="L137" s="6">
        <v>796</v>
      </c>
      <c r="M137" s="5">
        <v>14</v>
      </c>
      <c r="N137" s="5">
        <v>590</v>
      </c>
      <c r="O137" s="5">
        <v>38</v>
      </c>
      <c r="P137" s="5">
        <v>44</v>
      </c>
      <c r="Q137" s="5">
        <v>0</v>
      </c>
      <c r="R137" s="8">
        <v>1</v>
      </c>
      <c r="S137" s="8">
        <v>4</v>
      </c>
      <c r="T137" s="8">
        <v>5</v>
      </c>
      <c r="U137" s="8">
        <v>13</v>
      </c>
      <c r="V137" s="8">
        <v>3</v>
      </c>
      <c r="W137" t="s">
        <v>473</v>
      </c>
      <c r="X137" t="s">
        <v>474</v>
      </c>
      <c r="Y137" t="s">
        <v>473</v>
      </c>
      <c r="Z137" t="s">
        <v>473</v>
      </c>
      <c r="AA137" t="s">
        <v>473</v>
      </c>
      <c r="AB137" t="s">
        <v>473</v>
      </c>
      <c r="AC137" s="10">
        <v>3</v>
      </c>
      <c r="AD137" s="10">
        <v>11</v>
      </c>
      <c r="AE137" t="s">
        <v>473</v>
      </c>
    </row>
    <row r="138" spans="1:31" x14ac:dyDescent="0.25">
      <c r="A138">
        <v>5342</v>
      </c>
      <c r="B138">
        <v>1976</v>
      </c>
      <c r="C138" t="s">
        <v>41</v>
      </c>
      <c r="D138" t="s">
        <v>37</v>
      </c>
      <c r="E138" t="str">
        <f>IF(OR(Table1[[#This Row],[marital_status]]="Married", Table1[[#This Row],[marital_status]]="Together"), "Partnered", "Single")</f>
        <v>Single</v>
      </c>
      <c r="F138" s="7">
        <v>9548</v>
      </c>
      <c r="G138" s="8">
        <v>1</v>
      </c>
      <c r="H138" s="8">
        <v>0</v>
      </c>
      <c r="I138" s="8">
        <f>Table1[[#This Row],[kids]]+Table1[[#This Row],[teens]]</f>
        <v>1</v>
      </c>
      <c r="J138" s="9">
        <v>41129</v>
      </c>
      <c r="K138" s="8">
        <v>31</v>
      </c>
      <c r="L138" s="6">
        <v>0</v>
      </c>
      <c r="M138" s="5">
        <v>1</v>
      </c>
      <c r="N138" s="5">
        <v>3</v>
      </c>
      <c r="O138" s="5">
        <v>10</v>
      </c>
      <c r="P138" s="5">
        <v>6</v>
      </c>
      <c r="Q138" s="5">
        <v>9</v>
      </c>
      <c r="R138" s="8">
        <v>2</v>
      </c>
      <c r="S138" s="8">
        <v>1</v>
      </c>
      <c r="T138" s="8">
        <v>0</v>
      </c>
      <c r="U138" s="8">
        <v>3</v>
      </c>
      <c r="V138" s="8">
        <v>8</v>
      </c>
      <c r="W138" t="s">
        <v>473</v>
      </c>
      <c r="X138" t="s">
        <v>473</v>
      </c>
      <c r="Y138" t="s">
        <v>473</v>
      </c>
      <c r="Z138" t="s">
        <v>473</v>
      </c>
      <c r="AA138" t="s">
        <v>473</v>
      </c>
      <c r="AB138" t="s">
        <v>473</v>
      </c>
      <c r="AC138" s="10">
        <v>3</v>
      </c>
      <c r="AD138" s="10">
        <v>11</v>
      </c>
      <c r="AE138" t="s">
        <v>473</v>
      </c>
    </row>
    <row r="139" spans="1:31" x14ac:dyDescent="0.25">
      <c r="A139">
        <v>9579</v>
      </c>
      <c r="B139">
        <v>1959</v>
      </c>
      <c r="C139" t="s">
        <v>33</v>
      </c>
      <c r="D139" t="s">
        <v>34</v>
      </c>
      <c r="E139" t="str">
        <f>IF(OR(Table1[[#This Row],[marital_status]]="Married", Table1[[#This Row],[marital_status]]="Together"), "Partnered", "Single")</f>
        <v>Partnered</v>
      </c>
      <c r="F139" s="7">
        <v>33762</v>
      </c>
      <c r="G139" s="8">
        <v>2</v>
      </c>
      <c r="H139" s="8">
        <v>1</v>
      </c>
      <c r="I139" s="8">
        <f>Table1[[#This Row],[kids]]+Table1[[#This Row],[teens]]</f>
        <v>3</v>
      </c>
      <c r="J139" s="9">
        <v>41462</v>
      </c>
      <c r="K139" s="8">
        <v>61</v>
      </c>
      <c r="L139" s="6">
        <v>53</v>
      </c>
      <c r="M139" s="5">
        <v>1</v>
      </c>
      <c r="N139" s="5">
        <v>34</v>
      </c>
      <c r="O139" s="5">
        <v>2</v>
      </c>
      <c r="P139" s="5">
        <v>0</v>
      </c>
      <c r="Q139" s="5">
        <v>16</v>
      </c>
      <c r="R139" s="8">
        <v>3</v>
      </c>
      <c r="S139" s="8">
        <v>2</v>
      </c>
      <c r="T139" s="8">
        <v>2</v>
      </c>
      <c r="U139" s="8">
        <v>2</v>
      </c>
      <c r="V139" s="8">
        <v>8</v>
      </c>
      <c r="W139" t="s">
        <v>473</v>
      </c>
      <c r="X139" t="s">
        <v>473</v>
      </c>
      <c r="Y139" t="s">
        <v>473</v>
      </c>
      <c r="Z139" t="s">
        <v>473</v>
      </c>
      <c r="AA139" t="s">
        <v>473</v>
      </c>
      <c r="AB139" t="s">
        <v>473</v>
      </c>
      <c r="AC139" s="10">
        <v>3</v>
      </c>
      <c r="AD139" s="10">
        <v>11</v>
      </c>
      <c r="AE139" t="s">
        <v>473</v>
      </c>
    </row>
    <row r="140" spans="1:31" x14ac:dyDescent="0.25">
      <c r="A140">
        <v>7660</v>
      </c>
      <c r="B140">
        <v>1973</v>
      </c>
      <c r="C140" t="s">
        <v>33</v>
      </c>
      <c r="D140" t="s">
        <v>98</v>
      </c>
      <c r="E140" t="str">
        <f>IF(OR(Table1[[#This Row],[marital_status]]="Married", Table1[[#This Row],[marital_status]]="Together"), "Partnered", "Single")</f>
        <v>Single</v>
      </c>
      <c r="F140" s="7">
        <v>35860</v>
      </c>
      <c r="G140" s="8">
        <v>1</v>
      </c>
      <c r="H140" s="8">
        <v>1</v>
      </c>
      <c r="I140" s="8">
        <f>Table1[[#This Row],[kids]]+Table1[[#This Row],[teens]]</f>
        <v>2</v>
      </c>
      <c r="J140" s="9">
        <v>41778</v>
      </c>
      <c r="K140" s="8">
        <v>37</v>
      </c>
      <c r="L140" s="6">
        <v>15</v>
      </c>
      <c r="M140" s="5">
        <v>0</v>
      </c>
      <c r="N140" s="5">
        <v>8</v>
      </c>
      <c r="O140" s="5">
        <v>4</v>
      </c>
      <c r="P140" s="5">
        <v>2</v>
      </c>
      <c r="Q140" s="5">
        <v>20</v>
      </c>
      <c r="R140" s="8">
        <v>2</v>
      </c>
      <c r="S140" s="8">
        <v>1</v>
      </c>
      <c r="T140" s="8">
        <v>1</v>
      </c>
      <c r="U140" s="8">
        <v>2</v>
      </c>
      <c r="V140" s="8">
        <v>5</v>
      </c>
      <c r="W140" t="s">
        <v>474</v>
      </c>
      <c r="X140" t="s">
        <v>473</v>
      </c>
      <c r="Y140" t="s">
        <v>473</v>
      </c>
      <c r="Z140" t="s">
        <v>473</v>
      </c>
      <c r="AA140" t="s">
        <v>473</v>
      </c>
      <c r="AB140" t="s">
        <v>473</v>
      </c>
      <c r="AC140" s="10">
        <v>3</v>
      </c>
      <c r="AD140" s="10">
        <v>11</v>
      </c>
      <c r="AE140" t="s">
        <v>474</v>
      </c>
    </row>
    <row r="141" spans="1:31" x14ac:dyDescent="0.25">
      <c r="A141">
        <v>1461</v>
      </c>
      <c r="B141">
        <v>1965</v>
      </c>
      <c r="C141" t="s">
        <v>33</v>
      </c>
      <c r="D141" t="s">
        <v>37</v>
      </c>
      <c r="E141" t="str">
        <f>IF(OR(Table1[[#This Row],[marital_status]]="Married", Table1[[#This Row],[marital_status]]="Together"), "Partnered", "Single")</f>
        <v>Single</v>
      </c>
      <c r="F141" s="7">
        <v>36921</v>
      </c>
      <c r="G141" s="8">
        <v>1</v>
      </c>
      <c r="H141" s="8">
        <v>1</v>
      </c>
      <c r="I141" s="8">
        <f>Table1[[#This Row],[kids]]+Table1[[#This Row],[teens]]</f>
        <v>2</v>
      </c>
      <c r="J141" s="9">
        <v>41483</v>
      </c>
      <c r="K141" s="8">
        <v>74</v>
      </c>
      <c r="L141" s="6">
        <v>17</v>
      </c>
      <c r="M141" s="5">
        <v>1</v>
      </c>
      <c r="N141" s="5">
        <v>12</v>
      </c>
      <c r="O141" s="5">
        <v>3</v>
      </c>
      <c r="P141" s="5">
        <v>1</v>
      </c>
      <c r="Q141" s="5">
        <v>4</v>
      </c>
      <c r="R141" s="8">
        <v>2</v>
      </c>
      <c r="S141" s="8">
        <v>2</v>
      </c>
      <c r="T141" s="8">
        <v>0</v>
      </c>
      <c r="U141" s="8">
        <v>3</v>
      </c>
      <c r="V141" s="8">
        <v>7</v>
      </c>
      <c r="W141" t="s">
        <v>473</v>
      </c>
      <c r="X141" t="s">
        <v>473</v>
      </c>
      <c r="Y141" t="s">
        <v>473</v>
      </c>
      <c r="Z141" t="s">
        <v>473</v>
      </c>
      <c r="AA141" t="s">
        <v>473</v>
      </c>
      <c r="AB141" t="s">
        <v>473</v>
      </c>
      <c r="AC141" s="10">
        <v>3</v>
      </c>
      <c r="AD141" s="10">
        <v>11</v>
      </c>
      <c r="AE141" t="s">
        <v>473</v>
      </c>
    </row>
    <row r="142" spans="1:31" x14ac:dyDescent="0.25">
      <c r="A142">
        <v>821</v>
      </c>
      <c r="B142">
        <v>1992</v>
      </c>
      <c r="C142" t="s">
        <v>36</v>
      </c>
      <c r="D142" t="s">
        <v>30</v>
      </c>
      <c r="E142" t="str">
        <f>IF(OR(Table1[[#This Row],[marital_status]]="Married", Table1[[#This Row],[marital_status]]="Together"), "Partnered", "Single")</f>
        <v>Single</v>
      </c>
      <c r="F142" s="7">
        <v>92859</v>
      </c>
      <c r="G142" s="8">
        <v>0</v>
      </c>
      <c r="H142" s="8">
        <v>0</v>
      </c>
      <c r="I142" s="8">
        <f>Table1[[#This Row],[kids]]+Table1[[#This Row],[teens]]</f>
        <v>0</v>
      </c>
      <c r="J142" s="9">
        <v>41201</v>
      </c>
      <c r="K142" s="8">
        <v>46</v>
      </c>
      <c r="L142" s="6">
        <v>962</v>
      </c>
      <c r="M142" s="5">
        <v>61</v>
      </c>
      <c r="N142" s="5">
        <v>921</v>
      </c>
      <c r="O142" s="5">
        <v>52</v>
      </c>
      <c r="P142" s="5">
        <v>61</v>
      </c>
      <c r="Q142" s="5">
        <v>20</v>
      </c>
      <c r="R142" s="8">
        <v>1</v>
      </c>
      <c r="S142" s="8">
        <v>5</v>
      </c>
      <c r="T142" s="8">
        <v>4</v>
      </c>
      <c r="U142" s="8">
        <v>12</v>
      </c>
      <c r="V142" s="8">
        <v>2</v>
      </c>
      <c r="W142" t="s">
        <v>473</v>
      </c>
      <c r="X142" t="s">
        <v>473</v>
      </c>
      <c r="Y142" t="s">
        <v>473</v>
      </c>
      <c r="Z142" t="s">
        <v>473</v>
      </c>
      <c r="AA142" t="s">
        <v>473</v>
      </c>
      <c r="AB142" t="s">
        <v>473</v>
      </c>
      <c r="AC142" s="10">
        <v>3</v>
      </c>
      <c r="AD142" s="10">
        <v>11</v>
      </c>
      <c r="AE142" t="s">
        <v>473</v>
      </c>
    </row>
    <row r="143" spans="1:31" x14ac:dyDescent="0.25">
      <c r="A143">
        <v>11084</v>
      </c>
      <c r="B143">
        <v>1976</v>
      </c>
      <c r="C143" t="s">
        <v>36</v>
      </c>
      <c r="D143" t="s">
        <v>31</v>
      </c>
      <c r="E143" t="str">
        <f>IF(OR(Table1[[#This Row],[marital_status]]="Married", Table1[[#This Row],[marital_status]]="Together"), "Partnered", "Single")</f>
        <v>Partnered</v>
      </c>
      <c r="F143" s="7">
        <v>65104</v>
      </c>
      <c r="G143" s="8">
        <v>0</v>
      </c>
      <c r="H143" s="8">
        <v>1</v>
      </c>
      <c r="I143" s="8">
        <f>Table1[[#This Row],[kids]]+Table1[[#This Row],[teens]]</f>
        <v>1</v>
      </c>
      <c r="J143" s="9">
        <v>41592</v>
      </c>
      <c r="K143" s="8">
        <v>4</v>
      </c>
      <c r="L143" s="6">
        <v>738</v>
      </c>
      <c r="M143" s="5">
        <v>0</v>
      </c>
      <c r="N143" s="5">
        <v>232</v>
      </c>
      <c r="O143" s="5">
        <v>13</v>
      </c>
      <c r="P143" s="5">
        <v>20</v>
      </c>
      <c r="Q143" s="5">
        <v>50</v>
      </c>
      <c r="R143" s="8">
        <v>2</v>
      </c>
      <c r="S143" s="8">
        <v>3</v>
      </c>
      <c r="T143" s="8">
        <v>5</v>
      </c>
      <c r="U143" s="8">
        <v>7</v>
      </c>
      <c r="V143" s="8">
        <v>7</v>
      </c>
      <c r="W143" t="s">
        <v>473</v>
      </c>
      <c r="X143" t="s">
        <v>473</v>
      </c>
      <c r="Y143" t="s">
        <v>473</v>
      </c>
      <c r="Z143" t="s">
        <v>473</v>
      </c>
      <c r="AA143" t="s">
        <v>473</v>
      </c>
      <c r="AB143" t="s">
        <v>473</v>
      </c>
      <c r="AC143" s="10">
        <v>3</v>
      </c>
      <c r="AD143" s="10">
        <v>11</v>
      </c>
      <c r="AE143" t="s">
        <v>474</v>
      </c>
    </row>
    <row r="144" spans="1:31" x14ac:dyDescent="0.25">
      <c r="A144">
        <v>8690</v>
      </c>
      <c r="B144">
        <v>1962</v>
      </c>
      <c r="C144" t="s">
        <v>466</v>
      </c>
      <c r="D144" t="s">
        <v>34</v>
      </c>
      <c r="E144" t="str">
        <f>IF(OR(Table1[[#This Row],[marital_status]]="Married", Table1[[#This Row],[marital_status]]="Together"), "Partnered", "Single")</f>
        <v>Partnered</v>
      </c>
      <c r="F144" s="7">
        <v>86111</v>
      </c>
      <c r="G144" s="8">
        <v>0</v>
      </c>
      <c r="H144" s="8">
        <v>0</v>
      </c>
      <c r="I144" s="8">
        <f>Table1[[#This Row],[kids]]+Table1[[#This Row],[teens]]</f>
        <v>0</v>
      </c>
      <c r="J144" s="9">
        <v>41383</v>
      </c>
      <c r="K144" s="8">
        <v>73</v>
      </c>
      <c r="L144" s="6">
        <v>399</v>
      </c>
      <c r="M144" s="5">
        <v>28</v>
      </c>
      <c r="N144" s="5">
        <v>756</v>
      </c>
      <c r="O144" s="5">
        <v>36</v>
      </c>
      <c r="P144" s="5">
        <v>40</v>
      </c>
      <c r="Q144" s="5">
        <v>126</v>
      </c>
      <c r="R144" s="8">
        <v>1</v>
      </c>
      <c r="S144" s="8">
        <v>5</v>
      </c>
      <c r="T144" s="8">
        <v>7</v>
      </c>
      <c r="U144" s="8">
        <v>10</v>
      </c>
      <c r="V144" s="8">
        <v>2</v>
      </c>
      <c r="W144" t="s">
        <v>473</v>
      </c>
      <c r="X144" t="s">
        <v>473</v>
      </c>
      <c r="Y144" t="s">
        <v>473</v>
      </c>
      <c r="Z144" t="s">
        <v>473</v>
      </c>
      <c r="AA144" t="s">
        <v>473</v>
      </c>
      <c r="AB144" t="s">
        <v>473</v>
      </c>
      <c r="AC144" s="10">
        <v>3</v>
      </c>
      <c r="AD144" s="10">
        <v>11</v>
      </c>
      <c r="AE144" t="s">
        <v>473</v>
      </c>
    </row>
    <row r="145" spans="1:31" x14ac:dyDescent="0.25">
      <c r="A145">
        <v>2937</v>
      </c>
      <c r="B145">
        <v>1974</v>
      </c>
      <c r="C145" t="s">
        <v>33</v>
      </c>
      <c r="D145" t="s">
        <v>30</v>
      </c>
      <c r="E145" t="str">
        <f>IF(OR(Table1[[#This Row],[marital_status]]="Married", Table1[[#This Row],[marital_status]]="Together"), "Partnered", "Single")</f>
        <v>Single</v>
      </c>
      <c r="F145" s="7">
        <v>68352</v>
      </c>
      <c r="G145" s="8">
        <v>0</v>
      </c>
      <c r="H145" s="8">
        <v>1</v>
      </c>
      <c r="I145" s="8">
        <f>Table1[[#This Row],[kids]]+Table1[[#This Row],[teens]]</f>
        <v>1</v>
      </c>
      <c r="J145" s="9">
        <v>41514</v>
      </c>
      <c r="K145" s="8">
        <v>47</v>
      </c>
      <c r="L145" s="6">
        <v>614</v>
      </c>
      <c r="M145" s="5">
        <v>16</v>
      </c>
      <c r="N145" s="5">
        <v>132</v>
      </c>
      <c r="O145" s="5">
        <v>43</v>
      </c>
      <c r="P145" s="5">
        <v>33</v>
      </c>
      <c r="Q145" s="5">
        <v>33</v>
      </c>
      <c r="R145" s="8">
        <v>3</v>
      </c>
      <c r="S145" s="8">
        <v>8</v>
      </c>
      <c r="T145" s="8">
        <v>5</v>
      </c>
      <c r="U145" s="8">
        <v>9</v>
      </c>
      <c r="V145" s="8">
        <v>6</v>
      </c>
      <c r="W145" t="s">
        <v>473</v>
      </c>
      <c r="X145" t="s">
        <v>473</v>
      </c>
      <c r="Y145" t="s">
        <v>473</v>
      </c>
      <c r="Z145" t="s">
        <v>473</v>
      </c>
      <c r="AA145" t="s">
        <v>473</v>
      </c>
      <c r="AB145" t="s">
        <v>473</v>
      </c>
      <c r="AC145" s="10">
        <v>3</v>
      </c>
      <c r="AD145" s="10">
        <v>11</v>
      </c>
      <c r="AE145" t="s">
        <v>473</v>
      </c>
    </row>
    <row r="146" spans="1:31" x14ac:dyDescent="0.25">
      <c r="A146">
        <v>9701</v>
      </c>
      <c r="B146">
        <v>1988</v>
      </c>
      <c r="C146" t="s">
        <v>466</v>
      </c>
      <c r="D146" t="s">
        <v>31</v>
      </c>
      <c r="E146" t="str">
        <f>IF(OR(Table1[[#This Row],[marital_status]]="Married", Table1[[#This Row],[marital_status]]="Together"), "Partnered", "Single")</f>
        <v>Partnered</v>
      </c>
      <c r="F146" s="7">
        <v>41883</v>
      </c>
      <c r="G146" s="8">
        <v>1</v>
      </c>
      <c r="H146" s="8">
        <v>0</v>
      </c>
      <c r="I146" s="8">
        <f>Table1[[#This Row],[kids]]+Table1[[#This Row],[teens]]</f>
        <v>1</v>
      </c>
      <c r="J146" s="9">
        <v>41352</v>
      </c>
      <c r="K146" s="8">
        <v>13</v>
      </c>
      <c r="L146" s="6">
        <v>32</v>
      </c>
      <c r="M146" s="5">
        <v>34</v>
      </c>
      <c r="N146" s="5">
        <v>41</v>
      </c>
      <c r="O146" s="5">
        <v>73</v>
      </c>
      <c r="P146" s="5">
        <v>16</v>
      </c>
      <c r="Q146" s="5">
        <v>116</v>
      </c>
      <c r="R146" s="8">
        <v>3</v>
      </c>
      <c r="S146" s="8">
        <v>4</v>
      </c>
      <c r="T146" s="8">
        <v>2</v>
      </c>
      <c r="U146" s="8">
        <v>3</v>
      </c>
      <c r="V146" s="8">
        <v>7</v>
      </c>
      <c r="W146" t="s">
        <v>473</v>
      </c>
      <c r="X146" t="s">
        <v>473</v>
      </c>
      <c r="Y146" t="s">
        <v>473</v>
      </c>
      <c r="Z146" t="s">
        <v>473</v>
      </c>
      <c r="AA146" t="s">
        <v>473</v>
      </c>
      <c r="AB146" t="s">
        <v>473</v>
      </c>
      <c r="AC146" s="10">
        <v>3</v>
      </c>
      <c r="AD146" s="10">
        <v>11</v>
      </c>
      <c r="AE146" t="s">
        <v>473</v>
      </c>
    </row>
    <row r="147" spans="1:31" x14ac:dyDescent="0.25">
      <c r="A147">
        <v>9949</v>
      </c>
      <c r="B147">
        <v>1976</v>
      </c>
      <c r="C147" t="s">
        <v>466</v>
      </c>
      <c r="D147" t="s">
        <v>34</v>
      </c>
      <c r="E147" t="str">
        <f>IF(OR(Table1[[#This Row],[marital_status]]="Married", Table1[[#This Row],[marital_status]]="Together"), "Partnered", "Single")</f>
        <v>Partnered</v>
      </c>
      <c r="F147" s="7">
        <v>59809</v>
      </c>
      <c r="G147" s="8">
        <v>0</v>
      </c>
      <c r="H147" s="8">
        <v>2</v>
      </c>
      <c r="I147" s="8">
        <f>Table1[[#This Row],[kids]]+Table1[[#This Row],[teens]]</f>
        <v>2</v>
      </c>
      <c r="J147" s="9">
        <v>41200</v>
      </c>
      <c r="K147" s="8">
        <v>36</v>
      </c>
      <c r="L147" s="6">
        <v>598</v>
      </c>
      <c r="M147" s="5">
        <v>16</v>
      </c>
      <c r="N147" s="5">
        <v>141</v>
      </c>
      <c r="O147" s="5">
        <v>32</v>
      </c>
      <c r="P147" s="5">
        <v>41</v>
      </c>
      <c r="Q147" s="5">
        <v>49</v>
      </c>
      <c r="R147" s="8">
        <v>3</v>
      </c>
      <c r="S147" s="8">
        <v>3</v>
      </c>
      <c r="T147" s="8">
        <v>3</v>
      </c>
      <c r="U147" s="8">
        <v>6</v>
      </c>
      <c r="V147" s="8">
        <v>8</v>
      </c>
      <c r="W147" t="s">
        <v>473</v>
      </c>
      <c r="X147" t="s">
        <v>473</v>
      </c>
      <c r="Y147" t="s">
        <v>473</v>
      </c>
      <c r="Z147" t="s">
        <v>473</v>
      </c>
      <c r="AA147" t="s">
        <v>473</v>
      </c>
      <c r="AB147" t="s">
        <v>473</v>
      </c>
      <c r="AC147" s="10">
        <v>3</v>
      </c>
      <c r="AD147" s="10">
        <v>11</v>
      </c>
      <c r="AE147" t="s">
        <v>473</v>
      </c>
    </row>
    <row r="148" spans="1:31" x14ac:dyDescent="0.25">
      <c r="A148">
        <v>10837</v>
      </c>
      <c r="B148">
        <v>1975</v>
      </c>
      <c r="C148" t="s">
        <v>466</v>
      </c>
      <c r="D148" t="s">
        <v>34</v>
      </c>
      <c r="E148" t="str">
        <f>IF(OR(Table1[[#This Row],[marital_status]]="Married", Table1[[#This Row],[marital_status]]="Together"), "Partnered", "Single")</f>
        <v>Partnered</v>
      </c>
      <c r="F148" s="7">
        <v>23957</v>
      </c>
      <c r="G148" s="8">
        <v>1</v>
      </c>
      <c r="H148" s="8">
        <v>0</v>
      </c>
      <c r="I148" s="8">
        <f>Table1[[#This Row],[kids]]+Table1[[#This Row],[teens]]</f>
        <v>1</v>
      </c>
      <c r="J148" s="9">
        <v>41210</v>
      </c>
      <c r="K148" s="8">
        <v>47</v>
      </c>
      <c r="L148" s="6">
        <v>2</v>
      </c>
      <c r="M148" s="5">
        <v>1</v>
      </c>
      <c r="N148" s="5">
        <v>18</v>
      </c>
      <c r="O148" s="5">
        <v>20</v>
      </c>
      <c r="P148" s="5">
        <v>11</v>
      </c>
      <c r="Q148" s="5">
        <v>16</v>
      </c>
      <c r="R148" s="8">
        <v>1</v>
      </c>
      <c r="S148" s="8">
        <v>2</v>
      </c>
      <c r="T148" s="8">
        <v>0</v>
      </c>
      <c r="U148" s="8">
        <v>3</v>
      </c>
      <c r="V148" s="8">
        <v>6</v>
      </c>
      <c r="W148" t="s">
        <v>473</v>
      </c>
      <c r="X148" t="s">
        <v>473</v>
      </c>
      <c r="Y148" t="s">
        <v>473</v>
      </c>
      <c r="Z148" t="s">
        <v>473</v>
      </c>
      <c r="AA148" t="s">
        <v>473</v>
      </c>
      <c r="AB148" t="s">
        <v>473</v>
      </c>
      <c r="AC148" s="10">
        <v>3</v>
      </c>
      <c r="AD148" s="10">
        <v>11</v>
      </c>
      <c r="AE148" t="s">
        <v>474</v>
      </c>
    </row>
    <row r="149" spans="1:31" x14ac:dyDescent="0.25">
      <c r="A149">
        <v>3120</v>
      </c>
      <c r="B149">
        <v>1981</v>
      </c>
      <c r="C149" t="s">
        <v>466</v>
      </c>
      <c r="D149" t="s">
        <v>31</v>
      </c>
      <c r="E149" t="str">
        <f>IF(OR(Table1[[#This Row],[marital_status]]="Married", Table1[[#This Row],[marital_status]]="Together"), "Partnered", "Single")</f>
        <v>Partnered</v>
      </c>
      <c r="F149" s="7">
        <v>38547</v>
      </c>
      <c r="G149" s="8">
        <v>1</v>
      </c>
      <c r="H149" s="8">
        <v>0</v>
      </c>
      <c r="I149" s="8">
        <f>Table1[[#This Row],[kids]]+Table1[[#This Row],[teens]]</f>
        <v>1</v>
      </c>
      <c r="J149" s="9">
        <v>41514</v>
      </c>
      <c r="K149" s="8">
        <v>49</v>
      </c>
      <c r="L149" s="6">
        <v>6</v>
      </c>
      <c r="M149" s="5">
        <v>1</v>
      </c>
      <c r="N149" s="5">
        <v>10</v>
      </c>
      <c r="O149" s="5">
        <v>0</v>
      </c>
      <c r="P149" s="5">
        <v>1</v>
      </c>
      <c r="Q149" s="5">
        <v>4</v>
      </c>
      <c r="R149" s="8">
        <v>1</v>
      </c>
      <c r="S149" s="8">
        <v>1</v>
      </c>
      <c r="T149" s="8">
        <v>0</v>
      </c>
      <c r="U149" s="8">
        <v>2</v>
      </c>
      <c r="V149" s="8">
        <v>8</v>
      </c>
      <c r="W149" t="s">
        <v>473</v>
      </c>
      <c r="X149" t="s">
        <v>473</v>
      </c>
      <c r="Y149" t="s">
        <v>473</v>
      </c>
      <c r="Z149" t="s">
        <v>473</v>
      </c>
      <c r="AA149" t="s">
        <v>473</v>
      </c>
      <c r="AB149" t="s">
        <v>474</v>
      </c>
      <c r="AC149" s="10">
        <v>3</v>
      </c>
      <c r="AD149" s="10">
        <v>11</v>
      </c>
      <c r="AE149" t="s">
        <v>473</v>
      </c>
    </row>
    <row r="150" spans="1:31" x14ac:dyDescent="0.25">
      <c r="A150">
        <v>5885</v>
      </c>
      <c r="B150">
        <v>1973</v>
      </c>
      <c r="C150" t="s">
        <v>46</v>
      </c>
      <c r="D150" t="s">
        <v>34</v>
      </c>
      <c r="E150" t="str">
        <f>IF(OR(Table1[[#This Row],[marital_status]]="Married", Table1[[#This Row],[marital_status]]="Together"), "Partnered", "Single")</f>
        <v>Partnered</v>
      </c>
      <c r="F150" s="7">
        <v>35688</v>
      </c>
      <c r="G150" s="8">
        <v>2</v>
      </c>
      <c r="H150" s="8">
        <v>1</v>
      </c>
      <c r="I150" s="8">
        <f>Table1[[#This Row],[kids]]+Table1[[#This Row],[teens]]</f>
        <v>3</v>
      </c>
      <c r="J150" s="9">
        <v>41143</v>
      </c>
      <c r="K150" s="8">
        <v>94</v>
      </c>
      <c r="L150" s="6">
        <v>73</v>
      </c>
      <c r="M150" s="5">
        <v>3</v>
      </c>
      <c r="N150" s="5">
        <v>90</v>
      </c>
      <c r="O150" s="5">
        <v>12</v>
      </c>
      <c r="P150" s="5">
        <v>1</v>
      </c>
      <c r="Q150" s="5">
        <v>32</v>
      </c>
      <c r="R150" s="8">
        <v>7</v>
      </c>
      <c r="S150" s="8">
        <v>4</v>
      </c>
      <c r="T150" s="8">
        <v>1</v>
      </c>
      <c r="U150" s="8">
        <v>4</v>
      </c>
      <c r="V150" s="8">
        <v>8</v>
      </c>
      <c r="W150" t="s">
        <v>473</v>
      </c>
      <c r="X150" t="s">
        <v>473</v>
      </c>
      <c r="Y150" t="s">
        <v>473</v>
      </c>
      <c r="Z150" t="s">
        <v>473</v>
      </c>
      <c r="AA150" t="s">
        <v>473</v>
      </c>
      <c r="AB150" t="s">
        <v>473</v>
      </c>
      <c r="AC150" s="10">
        <v>3</v>
      </c>
      <c r="AD150" s="10">
        <v>11</v>
      </c>
      <c r="AE150" t="s">
        <v>473</v>
      </c>
    </row>
    <row r="151" spans="1:31" x14ac:dyDescent="0.25">
      <c r="A151">
        <v>4050</v>
      </c>
      <c r="B151">
        <v>1966</v>
      </c>
      <c r="C151" t="s">
        <v>36</v>
      </c>
      <c r="D151" t="s">
        <v>34</v>
      </c>
      <c r="E151" t="str">
        <f>IF(OR(Table1[[#This Row],[marital_status]]="Married", Table1[[#This Row],[marital_status]]="Together"), "Partnered", "Single")</f>
        <v>Partnered</v>
      </c>
      <c r="F151" s="7">
        <v>49605</v>
      </c>
      <c r="G151" s="8">
        <v>0</v>
      </c>
      <c r="H151" s="8">
        <v>0</v>
      </c>
      <c r="I151" s="8">
        <f>Table1[[#This Row],[kids]]+Table1[[#This Row],[teens]]</f>
        <v>0</v>
      </c>
      <c r="J151" s="9">
        <v>41811</v>
      </c>
      <c r="K151" s="8">
        <v>65</v>
      </c>
      <c r="L151" s="6">
        <v>42</v>
      </c>
      <c r="M151" s="5">
        <v>16</v>
      </c>
      <c r="N151" s="5">
        <v>29</v>
      </c>
      <c r="O151" s="5">
        <v>12</v>
      </c>
      <c r="P151" s="5">
        <v>20</v>
      </c>
      <c r="Q151" s="5">
        <v>8</v>
      </c>
      <c r="R151" s="8">
        <v>1</v>
      </c>
      <c r="S151" s="8">
        <v>2</v>
      </c>
      <c r="T151" s="8">
        <v>1</v>
      </c>
      <c r="U151" s="8">
        <v>4</v>
      </c>
      <c r="V151" s="8">
        <v>3</v>
      </c>
      <c r="W151" t="s">
        <v>473</v>
      </c>
      <c r="X151" t="s">
        <v>473</v>
      </c>
      <c r="Y151" t="s">
        <v>473</v>
      </c>
      <c r="Z151" t="s">
        <v>473</v>
      </c>
      <c r="AA151" t="s">
        <v>473</v>
      </c>
      <c r="AB151" t="s">
        <v>473</v>
      </c>
      <c r="AC151" s="10">
        <v>3</v>
      </c>
      <c r="AD151" s="10">
        <v>11</v>
      </c>
      <c r="AE151" t="s">
        <v>473</v>
      </c>
    </row>
    <row r="152" spans="1:31" x14ac:dyDescent="0.25">
      <c r="A152">
        <v>3830</v>
      </c>
      <c r="B152">
        <v>1953</v>
      </c>
      <c r="C152" t="s">
        <v>36</v>
      </c>
      <c r="D152" t="s">
        <v>34</v>
      </c>
      <c r="E152" t="str">
        <f>IF(OR(Table1[[#This Row],[marital_status]]="Married", Table1[[#This Row],[marital_status]]="Together"), "Partnered", "Single")</f>
        <v>Partnered</v>
      </c>
      <c r="F152" s="7">
        <v>59354</v>
      </c>
      <c r="G152" s="8">
        <v>0</v>
      </c>
      <c r="H152" s="8">
        <v>2</v>
      </c>
      <c r="I152" s="8">
        <f>Table1[[#This Row],[kids]]+Table1[[#This Row],[teens]]</f>
        <v>2</v>
      </c>
      <c r="J152" s="9">
        <v>41753</v>
      </c>
      <c r="K152" s="8">
        <v>59</v>
      </c>
      <c r="L152" s="6">
        <v>295</v>
      </c>
      <c r="M152" s="5">
        <v>21</v>
      </c>
      <c r="N152" s="5">
        <v>78</v>
      </c>
      <c r="O152" s="5">
        <v>39</v>
      </c>
      <c r="P152" s="5">
        <v>13</v>
      </c>
      <c r="Q152" s="5">
        <v>13</v>
      </c>
      <c r="R152" s="8">
        <v>1</v>
      </c>
      <c r="S152" s="8">
        <v>4</v>
      </c>
      <c r="T152" s="8">
        <v>4</v>
      </c>
      <c r="U152" s="8">
        <v>7</v>
      </c>
      <c r="V152" s="8">
        <v>3</v>
      </c>
      <c r="W152" t="s">
        <v>473</v>
      </c>
      <c r="X152" t="s">
        <v>473</v>
      </c>
      <c r="Y152" t="s">
        <v>473</v>
      </c>
      <c r="Z152" t="s">
        <v>473</v>
      </c>
      <c r="AA152" t="s">
        <v>473</v>
      </c>
      <c r="AB152" t="s">
        <v>473</v>
      </c>
      <c r="AC152" s="10">
        <v>3</v>
      </c>
      <c r="AD152" s="10">
        <v>11</v>
      </c>
      <c r="AE152" t="s">
        <v>473</v>
      </c>
    </row>
    <row r="153" spans="1:31" x14ac:dyDescent="0.25">
      <c r="A153">
        <v>7987</v>
      </c>
      <c r="B153">
        <v>1969</v>
      </c>
      <c r="C153" t="s">
        <v>466</v>
      </c>
      <c r="D153" t="s">
        <v>34</v>
      </c>
      <c r="E153" t="str">
        <f>IF(OR(Table1[[#This Row],[marital_status]]="Married", Table1[[#This Row],[marital_status]]="Together"), "Partnered", "Single")</f>
        <v>Partnered</v>
      </c>
      <c r="F153" s="7">
        <v>65747</v>
      </c>
      <c r="G153" s="8">
        <v>0</v>
      </c>
      <c r="H153" s="8">
        <v>1</v>
      </c>
      <c r="I153" s="8">
        <f>Table1[[#This Row],[kids]]+Table1[[#This Row],[teens]]</f>
        <v>1</v>
      </c>
      <c r="J153" s="9">
        <v>41705</v>
      </c>
      <c r="K153" s="8">
        <v>96</v>
      </c>
      <c r="L153" s="6">
        <v>346</v>
      </c>
      <c r="M153" s="5">
        <v>17</v>
      </c>
      <c r="N153" s="5">
        <v>48</v>
      </c>
      <c r="O153" s="5">
        <v>23</v>
      </c>
      <c r="P153" s="5">
        <v>13</v>
      </c>
      <c r="Q153" s="5">
        <v>13</v>
      </c>
      <c r="R153" s="8">
        <v>4</v>
      </c>
      <c r="S153" s="8">
        <v>8</v>
      </c>
      <c r="T153" s="8">
        <v>1</v>
      </c>
      <c r="U153" s="8">
        <v>6</v>
      </c>
      <c r="V153" s="8">
        <v>6</v>
      </c>
      <c r="W153" t="s">
        <v>473</v>
      </c>
      <c r="X153" t="s">
        <v>474</v>
      </c>
      <c r="Y153" t="s">
        <v>473</v>
      </c>
      <c r="Z153" t="s">
        <v>473</v>
      </c>
      <c r="AA153" t="s">
        <v>473</v>
      </c>
      <c r="AB153" t="s">
        <v>473</v>
      </c>
      <c r="AC153" s="10">
        <v>3</v>
      </c>
      <c r="AD153" s="10">
        <v>11</v>
      </c>
      <c r="AE153" t="s">
        <v>473</v>
      </c>
    </row>
    <row r="154" spans="1:31" x14ac:dyDescent="0.25">
      <c r="A154">
        <v>7798</v>
      </c>
      <c r="B154">
        <v>1972</v>
      </c>
      <c r="C154" t="s">
        <v>46</v>
      </c>
      <c r="D154" t="s">
        <v>31</v>
      </c>
      <c r="E154" t="str">
        <f>IF(OR(Table1[[#This Row],[marital_status]]="Married", Table1[[#This Row],[marital_status]]="Together"), "Partnered", "Single")</f>
        <v>Partnered</v>
      </c>
      <c r="F154" s="7">
        <v>46344</v>
      </c>
      <c r="G154" s="8">
        <v>0</v>
      </c>
      <c r="H154" s="8">
        <v>1</v>
      </c>
      <c r="I154" s="8">
        <f>Table1[[#This Row],[kids]]+Table1[[#This Row],[teens]]</f>
        <v>1</v>
      </c>
      <c r="J154" s="9">
        <v>41257</v>
      </c>
      <c r="K154" s="8">
        <v>28</v>
      </c>
      <c r="L154" s="6">
        <v>233</v>
      </c>
      <c r="M154" s="5">
        <v>20</v>
      </c>
      <c r="N154" s="5">
        <v>57</v>
      </c>
      <c r="O154" s="5">
        <v>8</v>
      </c>
      <c r="P154" s="5">
        <v>20</v>
      </c>
      <c r="Q154" s="5">
        <v>91</v>
      </c>
      <c r="R154" s="8">
        <v>4</v>
      </c>
      <c r="S154" s="8">
        <v>7</v>
      </c>
      <c r="T154" s="8">
        <v>1</v>
      </c>
      <c r="U154" s="8">
        <v>5</v>
      </c>
      <c r="V154" s="8">
        <v>7</v>
      </c>
      <c r="W154" t="s">
        <v>473</v>
      </c>
      <c r="X154" t="s">
        <v>473</v>
      </c>
      <c r="Y154" t="s">
        <v>473</v>
      </c>
      <c r="Z154" t="s">
        <v>473</v>
      </c>
      <c r="AA154" t="s">
        <v>473</v>
      </c>
      <c r="AB154" t="s">
        <v>473</v>
      </c>
      <c r="AC154" s="10">
        <v>3</v>
      </c>
      <c r="AD154" s="10">
        <v>11</v>
      </c>
      <c r="AE154" t="s">
        <v>473</v>
      </c>
    </row>
    <row r="155" spans="1:31" x14ac:dyDescent="0.25">
      <c r="A155">
        <v>92</v>
      </c>
      <c r="B155">
        <v>1988</v>
      </c>
      <c r="C155" t="s">
        <v>466</v>
      </c>
      <c r="D155" t="s">
        <v>98</v>
      </c>
      <c r="E155" t="str">
        <f>IF(OR(Table1[[#This Row],[marital_status]]="Married", Table1[[#This Row],[marital_status]]="Together"), "Partnered", "Single")</f>
        <v>Single</v>
      </c>
      <c r="F155" s="7">
        <v>34176</v>
      </c>
      <c r="G155" s="8">
        <v>1</v>
      </c>
      <c r="H155" s="8">
        <v>0</v>
      </c>
      <c r="I155" s="8">
        <f>Table1[[#This Row],[kids]]+Table1[[#This Row],[teens]]</f>
        <v>1</v>
      </c>
      <c r="J155" s="9">
        <v>41771</v>
      </c>
      <c r="K155" s="8">
        <v>12</v>
      </c>
      <c r="L155" s="6">
        <v>5</v>
      </c>
      <c r="M155" s="5">
        <v>7</v>
      </c>
      <c r="N155" s="5">
        <v>24</v>
      </c>
      <c r="O155" s="5">
        <v>19</v>
      </c>
      <c r="P155" s="5">
        <v>14</v>
      </c>
      <c r="Q155" s="5">
        <v>20</v>
      </c>
      <c r="R155" s="8">
        <v>4</v>
      </c>
      <c r="S155" s="8">
        <v>3</v>
      </c>
      <c r="T155" s="8">
        <v>0</v>
      </c>
      <c r="U155" s="8">
        <v>4</v>
      </c>
      <c r="V155" s="8">
        <v>6</v>
      </c>
      <c r="W155" t="s">
        <v>473</v>
      </c>
      <c r="X155" t="s">
        <v>473</v>
      </c>
      <c r="Y155" t="s">
        <v>473</v>
      </c>
      <c r="Z155" t="s">
        <v>473</v>
      </c>
      <c r="AA155" t="s">
        <v>473</v>
      </c>
      <c r="AB155" t="s">
        <v>473</v>
      </c>
      <c r="AC155" s="10">
        <v>3</v>
      </c>
      <c r="AD155" s="10">
        <v>11</v>
      </c>
      <c r="AE155" t="s">
        <v>473</v>
      </c>
    </row>
    <row r="156" spans="1:31" x14ac:dyDescent="0.25">
      <c r="A156">
        <v>7055</v>
      </c>
      <c r="B156">
        <v>1952</v>
      </c>
      <c r="C156" t="s">
        <v>33</v>
      </c>
      <c r="D156" t="s">
        <v>31</v>
      </c>
      <c r="E156" t="str">
        <f>IF(OR(Table1[[#This Row],[marital_status]]="Married", Table1[[#This Row],[marital_status]]="Together"), "Partnered", "Single")</f>
        <v>Partnered</v>
      </c>
      <c r="F156" s="7">
        <v>61010</v>
      </c>
      <c r="G156" s="8">
        <v>0</v>
      </c>
      <c r="H156" s="8">
        <v>1</v>
      </c>
      <c r="I156" s="8">
        <f>Table1[[#This Row],[kids]]+Table1[[#This Row],[teens]]</f>
        <v>1</v>
      </c>
      <c r="J156" s="9">
        <v>41191</v>
      </c>
      <c r="K156" s="8">
        <v>57</v>
      </c>
      <c r="L156" s="6">
        <v>888</v>
      </c>
      <c r="M156" s="5">
        <v>0</v>
      </c>
      <c r="N156" s="5">
        <v>57</v>
      </c>
      <c r="O156" s="5">
        <v>0</v>
      </c>
      <c r="P156" s="5">
        <v>0</v>
      </c>
      <c r="Q156" s="5">
        <v>76</v>
      </c>
      <c r="R156" s="8">
        <v>2</v>
      </c>
      <c r="S156" s="8">
        <v>8</v>
      </c>
      <c r="T156" s="8">
        <v>5</v>
      </c>
      <c r="U156" s="8">
        <v>11</v>
      </c>
      <c r="V156" s="8">
        <v>5</v>
      </c>
      <c r="W156" t="s">
        <v>473</v>
      </c>
      <c r="X156" t="s">
        <v>473</v>
      </c>
      <c r="Y156" t="s">
        <v>473</v>
      </c>
      <c r="Z156" t="s">
        <v>473</v>
      </c>
      <c r="AA156" t="s">
        <v>473</v>
      </c>
      <c r="AB156" t="s">
        <v>473</v>
      </c>
      <c r="AC156" s="10">
        <v>3</v>
      </c>
      <c r="AD156" s="10">
        <v>11</v>
      </c>
      <c r="AE156" t="s">
        <v>473</v>
      </c>
    </row>
    <row r="157" spans="1:31" x14ac:dyDescent="0.25">
      <c r="A157">
        <v>10240</v>
      </c>
      <c r="B157">
        <v>1949</v>
      </c>
      <c r="C157" t="s">
        <v>466</v>
      </c>
      <c r="D157" t="s">
        <v>31</v>
      </c>
      <c r="E157" t="str">
        <f>IF(OR(Table1[[#This Row],[marital_status]]="Married", Table1[[#This Row],[marital_status]]="Together"), "Partnered", "Single")</f>
        <v>Partnered</v>
      </c>
      <c r="F157" s="7">
        <v>69372</v>
      </c>
      <c r="G157" s="8">
        <v>0</v>
      </c>
      <c r="H157" s="8">
        <v>0</v>
      </c>
      <c r="I157" s="8">
        <f>Table1[[#This Row],[kids]]+Table1[[#This Row],[teens]]</f>
        <v>0</v>
      </c>
      <c r="J157" s="9">
        <v>41324</v>
      </c>
      <c r="K157" s="8">
        <v>10</v>
      </c>
      <c r="L157" s="6">
        <v>997</v>
      </c>
      <c r="M157" s="5">
        <v>26</v>
      </c>
      <c r="N157" s="5">
        <v>269</v>
      </c>
      <c r="O157" s="5">
        <v>34</v>
      </c>
      <c r="P157" s="5">
        <v>13</v>
      </c>
      <c r="Q157" s="5">
        <v>42</v>
      </c>
      <c r="R157" s="8">
        <v>1</v>
      </c>
      <c r="S157" s="8">
        <v>10</v>
      </c>
      <c r="T157" s="8">
        <v>4</v>
      </c>
      <c r="U157" s="8">
        <v>6</v>
      </c>
      <c r="V157" s="8">
        <v>4</v>
      </c>
      <c r="W157" t="s">
        <v>473</v>
      </c>
      <c r="X157" t="s">
        <v>474</v>
      </c>
      <c r="Y157" t="s">
        <v>474</v>
      </c>
      <c r="Z157" t="s">
        <v>473</v>
      </c>
      <c r="AA157" t="s">
        <v>473</v>
      </c>
      <c r="AB157" t="s">
        <v>473</v>
      </c>
      <c r="AC157" s="10">
        <v>3</v>
      </c>
      <c r="AD157" s="10">
        <v>11</v>
      </c>
      <c r="AE157" t="s">
        <v>474</v>
      </c>
    </row>
    <row r="158" spans="1:31" x14ac:dyDescent="0.25">
      <c r="A158">
        <v>3025</v>
      </c>
      <c r="B158">
        <v>1958</v>
      </c>
      <c r="C158" t="s">
        <v>466</v>
      </c>
      <c r="D158" t="s">
        <v>30</v>
      </c>
      <c r="E158" t="str">
        <f>IF(OR(Table1[[#This Row],[marital_status]]="Married", Table1[[#This Row],[marital_status]]="Together"), "Partnered", "Single")</f>
        <v>Single</v>
      </c>
      <c r="F158" s="7">
        <v>49967</v>
      </c>
      <c r="G158" s="8">
        <v>0</v>
      </c>
      <c r="H158" s="8">
        <v>1</v>
      </c>
      <c r="I158" s="8">
        <f>Table1[[#This Row],[kids]]+Table1[[#This Row],[teens]]</f>
        <v>1</v>
      </c>
      <c r="J158" s="9">
        <v>41463</v>
      </c>
      <c r="K158" s="8">
        <v>4</v>
      </c>
      <c r="L158" s="6">
        <v>212</v>
      </c>
      <c r="M158" s="5">
        <v>6</v>
      </c>
      <c r="N158" s="5">
        <v>69</v>
      </c>
      <c r="O158" s="5">
        <v>4</v>
      </c>
      <c r="P158" s="5">
        <v>12</v>
      </c>
      <c r="Q158" s="5">
        <v>3</v>
      </c>
      <c r="R158" s="8">
        <v>3</v>
      </c>
      <c r="S158" s="8">
        <v>6</v>
      </c>
      <c r="T158" s="8">
        <v>1</v>
      </c>
      <c r="U158" s="8">
        <v>5</v>
      </c>
      <c r="V158" s="8">
        <v>7</v>
      </c>
      <c r="W158" t="s">
        <v>473</v>
      </c>
      <c r="X158" t="s">
        <v>473</v>
      </c>
      <c r="Y158" t="s">
        <v>473</v>
      </c>
      <c r="Z158" t="s">
        <v>473</v>
      </c>
      <c r="AA158" t="s">
        <v>473</v>
      </c>
      <c r="AB158" t="s">
        <v>473</v>
      </c>
      <c r="AC158" s="10">
        <v>3</v>
      </c>
      <c r="AD158" s="10">
        <v>11</v>
      </c>
      <c r="AE158" t="s">
        <v>473</v>
      </c>
    </row>
    <row r="159" spans="1:31" x14ac:dyDescent="0.25">
      <c r="A159">
        <v>9283</v>
      </c>
      <c r="B159">
        <v>1978</v>
      </c>
      <c r="C159" t="s">
        <v>466</v>
      </c>
      <c r="D159" t="s">
        <v>30</v>
      </c>
      <c r="E159" t="str">
        <f>IF(OR(Table1[[#This Row],[marital_status]]="Married", Table1[[#This Row],[marital_status]]="Together"), "Partnered", "Single")</f>
        <v>Single</v>
      </c>
      <c r="F159" s="7">
        <v>60199</v>
      </c>
      <c r="G159" s="8">
        <v>1</v>
      </c>
      <c r="H159" s="8">
        <v>2</v>
      </c>
      <c r="I159" s="8">
        <f>Table1[[#This Row],[kids]]+Table1[[#This Row],[teens]]</f>
        <v>3</v>
      </c>
      <c r="J159" s="9">
        <v>41529</v>
      </c>
      <c r="K159" s="8">
        <v>49</v>
      </c>
      <c r="L159" s="6">
        <v>8</v>
      </c>
      <c r="M159" s="5">
        <v>1</v>
      </c>
      <c r="N159" s="5">
        <v>7</v>
      </c>
      <c r="O159" s="5">
        <v>2</v>
      </c>
      <c r="P159" s="5">
        <v>0</v>
      </c>
      <c r="Q159" s="5">
        <v>0</v>
      </c>
      <c r="R159" s="8">
        <v>1</v>
      </c>
      <c r="S159" s="8">
        <v>0</v>
      </c>
      <c r="T159" s="8">
        <v>0</v>
      </c>
      <c r="U159" s="8">
        <v>3</v>
      </c>
      <c r="V159" s="8">
        <v>4</v>
      </c>
      <c r="W159" t="s">
        <v>473</v>
      </c>
      <c r="X159" t="s">
        <v>473</v>
      </c>
      <c r="Y159" t="s">
        <v>473</v>
      </c>
      <c r="Z159" t="s">
        <v>473</v>
      </c>
      <c r="AA159" t="s">
        <v>473</v>
      </c>
      <c r="AB159" t="s">
        <v>473</v>
      </c>
      <c r="AC159" s="10">
        <v>3</v>
      </c>
      <c r="AD159" s="10">
        <v>11</v>
      </c>
      <c r="AE159" t="s">
        <v>473</v>
      </c>
    </row>
    <row r="160" spans="1:31" x14ac:dyDescent="0.25">
      <c r="A160">
        <v>9970</v>
      </c>
      <c r="B160">
        <v>1977</v>
      </c>
      <c r="C160" t="s">
        <v>466</v>
      </c>
      <c r="D160" t="s">
        <v>31</v>
      </c>
      <c r="E160" t="str">
        <f>IF(OR(Table1[[#This Row],[marital_status]]="Married", Table1[[#This Row],[marital_status]]="Together"), "Partnered", "Single")</f>
        <v>Partnered</v>
      </c>
      <c r="F160" s="7">
        <v>55375</v>
      </c>
      <c r="G160" s="8">
        <v>0</v>
      </c>
      <c r="H160" s="8">
        <v>1</v>
      </c>
      <c r="I160" s="8">
        <f>Table1[[#This Row],[kids]]+Table1[[#This Row],[teens]]</f>
        <v>1</v>
      </c>
      <c r="J160" s="9">
        <v>41564</v>
      </c>
      <c r="K160" s="8">
        <v>3</v>
      </c>
      <c r="L160" s="6">
        <v>42</v>
      </c>
      <c r="M160" s="5">
        <v>11</v>
      </c>
      <c r="N160" s="5">
        <v>57</v>
      </c>
      <c r="O160" s="5">
        <v>10</v>
      </c>
      <c r="P160" s="5">
        <v>28</v>
      </c>
      <c r="Q160" s="5">
        <v>14</v>
      </c>
      <c r="R160" s="8">
        <v>1</v>
      </c>
      <c r="S160" s="8">
        <v>1</v>
      </c>
      <c r="T160" s="8">
        <v>1</v>
      </c>
      <c r="U160" s="8">
        <v>6</v>
      </c>
      <c r="V160" s="8">
        <v>2</v>
      </c>
      <c r="W160" t="s">
        <v>473</v>
      </c>
      <c r="X160" t="s">
        <v>473</v>
      </c>
      <c r="Y160" t="s">
        <v>473</v>
      </c>
      <c r="Z160" t="s">
        <v>473</v>
      </c>
      <c r="AA160" t="s">
        <v>473</v>
      </c>
      <c r="AB160" t="s">
        <v>473</v>
      </c>
      <c r="AC160" s="10">
        <v>3</v>
      </c>
      <c r="AD160" s="10">
        <v>11</v>
      </c>
      <c r="AE160" t="s">
        <v>473</v>
      </c>
    </row>
    <row r="161" spans="1:31" x14ac:dyDescent="0.25">
      <c r="A161">
        <v>2730</v>
      </c>
      <c r="B161">
        <v>1955</v>
      </c>
      <c r="C161" t="s">
        <v>466</v>
      </c>
      <c r="D161" t="s">
        <v>30</v>
      </c>
      <c r="E161" t="str">
        <f>IF(OR(Table1[[#This Row],[marital_status]]="Married", Table1[[#This Row],[marital_status]]="Together"), "Partnered", "Single")</f>
        <v>Single</v>
      </c>
      <c r="F161" s="7">
        <v>80317</v>
      </c>
      <c r="G161" s="8">
        <v>0</v>
      </c>
      <c r="H161" s="8">
        <v>0</v>
      </c>
      <c r="I161" s="8">
        <f>Table1[[#This Row],[kids]]+Table1[[#This Row],[teens]]</f>
        <v>0</v>
      </c>
      <c r="J161" s="9">
        <v>41506</v>
      </c>
      <c r="K161" s="8">
        <v>64</v>
      </c>
      <c r="L161" s="6">
        <v>536</v>
      </c>
      <c r="M161" s="5">
        <v>11</v>
      </c>
      <c r="N161" s="5">
        <v>387</v>
      </c>
      <c r="O161" s="5">
        <v>149</v>
      </c>
      <c r="P161" s="5">
        <v>91</v>
      </c>
      <c r="Q161" s="5">
        <v>57</v>
      </c>
      <c r="R161" s="8">
        <v>1</v>
      </c>
      <c r="S161" s="8">
        <v>3</v>
      </c>
      <c r="T161" s="8">
        <v>4</v>
      </c>
      <c r="U161" s="8">
        <v>10</v>
      </c>
      <c r="V161" s="8">
        <v>1</v>
      </c>
      <c r="W161" t="s">
        <v>473</v>
      </c>
      <c r="X161" t="s">
        <v>473</v>
      </c>
      <c r="Y161" t="s">
        <v>473</v>
      </c>
      <c r="Z161" t="s">
        <v>473</v>
      </c>
      <c r="AA161" t="s">
        <v>473</v>
      </c>
      <c r="AB161" t="s">
        <v>473</v>
      </c>
      <c r="AC161" s="10">
        <v>3</v>
      </c>
      <c r="AD161" s="10">
        <v>11</v>
      </c>
      <c r="AE161" t="s">
        <v>473</v>
      </c>
    </row>
    <row r="162" spans="1:31" x14ac:dyDescent="0.25">
      <c r="A162">
        <v>2795</v>
      </c>
      <c r="B162">
        <v>1958</v>
      </c>
      <c r="C162" t="s">
        <v>36</v>
      </c>
      <c r="D162" t="s">
        <v>30</v>
      </c>
      <c r="E162" t="str">
        <f>IF(OR(Table1[[#This Row],[marital_status]]="Married", Table1[[#This Row],[marital_status]]="Together"), "Partnered", "Single")</f>
        <v>Single</v>
      </c>
      <c r="F162" s="7">
        <v>30523</v>
      </c>
      <c r="G162" s="8">
        <v>2</v>
      </c>
      <c r="H162" s="8">
        <v>1</v>
      </c>
      <c r="I162" s="8">
        <f>Table1[[#This Row],[kids]]+Table1[[#This Row],[teens]]</f>
        <v>3</v>
      </c>
      <c r="J162" s="9">
        <v>41456</v>
      </c>
      <c r="K162" s="8">
        <v>0</v>
      </c>
      <c r="L162" s="6">
        <v>5</v>
      </c>
      <c r="M162" s="5">
        <v>0</v>
      </c>
      <c r="N162" s="5">
        <v>3</v>
      </c>
      <c r="O162" s="5">
        <v>0</v>
      </c>
      <c r="P162" s="5">
        <v>0</v>
      </c>
      <c r="Q162" s="5">
        <v>5</v>
      </c>
      <c r="R162" s="8">
        <v>1</v>
      </c>
      <c r="S162" s="8">
        <v>1</v>
      </c>
      <c r="T162" s="8">
        <v>0</v>
      </c>
      <c r="U162" s="8">
        <v>2</v>
      </c>
      <c r="V162" s="8">
        <v>7</v>
      </c>
      <c r="W162" t="s">
        <v>473</v>
      </c>
      <c r="X162" t="s">
        <v>473</v>
      </c>
      <c r="Y162" t="s">
        <v>473</v>
      </c>
      <c r="Z162" t="s">
        <v>473</v>
      </c>
      <c r="AA162" t="s">
        <v>473</v>
      </c>
      <c r="AB162" t="s">
        <v>473</v>
      </c>
      <c r="AC162" s="10">
        <v>3</v>
      </c>
      <c r="AD162" s="10">
        <v>11</v>
      </c>
      <c r="AE162" t="s">
        <v>473</v>
      </c>
    </row>
    <row r="163" spans="1:31" x14ac:dyDescent="0.25">
      <c r="A163">
        <v>9260</v>
      </c>
      <c r="B163">
        <v>1945</v>
      </c>
      <c r="C163" t="s">
        <v>33</v>
      </c>
      <c r="D163" t="s">
        <v>34</v>
      </c>
      <c r="E163" t="str">
        <f>IF(OR(Table1[[#This Row],[marital_status]]="Married", Table1[[#This Row],[marital_status]]="Together"), "Partnered", "Single")</f>
        <v>Partnered</v>
      </c>
      <c r="F163" s="7">
        <v>70356</v>
      </c>
      <c r="G163" s="8">
        <v>0</v>
      </c>
      <c r="H163" s="8">
        <v>0</v>
      </c>
      <c r="I163" s="8">
        <f>Table1[[#This Row],[kids]]+Table1[[#This Row],[teens]]</f>
        <v>0</v>
      </c>
      <c r="J163" s="9">
        <v>41218</v>
      </c>
      <c r="K163" s="8">
        <v>20</v>
      </c>
      <c r="L163" s="6">
        <v>1349</v>
      </c>
      <c r="M163" s="5">
        <v>16</v>
      </c>
      <c r="N163" s="5">
        <v>249</v>
      </c>
      <c r="O163" s="5">
        <v>43</v>
      </c>
      <c r="P163" s="5">
        <v>16</v>
      </c>
      <c r="Q163" s="5">
        <v>33</v>
      </c>
      <c r="R163" s="8">
        <v>2</v>
      </c>
      <c r="S163" s="8">
        <v>10</v>
      </c>
      <c r="T163" s="8">
        <v>6</v>
      </c>
      <c r="U163" s="8">
        <v>9</v>
      </c>
      <c r="V163" s="8">
        <v>6</v>
      </c>
      <c r="W163" t="s">
        <v>473</v>
      </c>
      <c r="X163" t="s">
        <v>473</v>
      </c>
      <c r="Y163" t="s">
        <v>473</v>
      </c>
      <c r="Z163" t="s">
        <v>473</v>
      </c>
      <c r="AA163" t="s">
        <v>473</v>
      </c>
      <c r="AB163" t="s">
        <v>473</v>
      </c>
      <c r="AC163" s="10">
        <v>3</v>
      </c>
      <c r="AD163" s="10">
        <v>11</v>
      </c>
      <c r="AE163" t="s">
        <v>473</v>
      </c>
    </row>
    <row r="164" spans="1:31" x14ac:dyDescent="0.25">
      <c r="A164">
        <v>8182</v>
      </c>
      <c r="B164">
        <v>1984</v>
      </c>
      <c r="C164" t="s">
        <v>466</v>
      </c>
      <c r="D164" t="s">
        <v>34</v>
      </c>
      <c r="E164" t="str">
        <f>IF(OR(Table1[[#This Row],[marital_status]]="Married", Table1[[#This Row],[marital_status]]="Together"), "Partnered", "Single")</f>
        <v>Partnered</v>
      </c>
      <c r="F164" s="7">
        <v>23228</v>
      </c>
      <c r="G164" s="8">
        <v>1</v>
      </c>
      <c r="H164" s="8">
        <v>0</v>
      </c>
      <c r="I164" s="8">
        <f>Table1[[#This Row],[kids]]+Table1[[#This Row],[teens]]</f>
        <v>1</v>
      </c>
      <c r="J164" s="9">
        <v>41644</v>
      </c>
      <c r="K164" s="8">
        <v>91</v>
      </c>
      <c r="L164" s="6">
        <v>53</v>
      </c>
      <c r="M164" s="5">
        <v>3</v>
      </c>
      <c r="N164" s="5">
        <v>49</v>
      </c>
      <c r="O164" s="5">
        <v>7</v>
      </c>
      <c r="P164" s="5">
        <v>4</v>
      </c>
      <c r="Q164" s="5">
        <v>5</v>
      </c>
      <c r="R164" s="8">
        <v>4</v>
      </c>
      <c r="S164" s="8">
        <v>3</v>
      </c>
      <c r="T164" s="8">
        <v>0</v>
      </c>
      <c r="U164" s="8">
        <v>4</v>
      </c>
      <c r="V164" s="8">
        <v>8</v>
      </c>
      <c r="W164" t="s">
        <v>473</v>
      </c>
      <c r="X164" t="s">
        <v>473</v>
      </c>
      <c r="Y164" t="s">
        <v>473</v>
      </c>
      <c r="Z164" t="s">
        <v>473</v>
      </c>
      <c r="AA164" t="s">
        <v>473</v>
      </c>
      <c r="AB164" t="s">
        <v>473</v>
      </c>
      <c r="AC164" s="10">
        <v>3</v>
      </c>
      <c r="AD164" s="10">
        <v>11</v>
      </c>
      <c r="AE164" t="s">
        <v>473</v>
      </c>
    </row>
    <row r="165" spans="1:31" x14ac:dyDescent="0.25">
      <c r="A165">
        <v>10095</v>
      </c>
      <c r="B165">
        <v>1975</v>
      </c>
      <c r="C165" t="s">
        <v>33</v>
      </c>
      <c r="D165" t="s">
        <v>37</v>
      </c>
      <c r="E165" t="str">
        <f>IF(OR(Table1[[#This Row],[marital_status]]="Married", Table1[[#This Row],[marital_status]]="Together"), "Partnered", "Single")</f>
        <v>Single</v>
      </c>
      <c r="F165" s="7">
        <v>74165</v>
      </c>
      <c r="G165" s="8">
        <v>0</v>
      </c>
      <c r="H165" s="8">
        <v>0</v>
      </c>
      <c r="I165" s="8">
        <f>Table1[[#This Row],[kids]]+Table1[[#This Row],[teens]]</f>
        <v>0</v>
      </c>
      <c r="J165" s="9">
        <v>41395</v>
      </c>
      <c r="K165" s="8">
        <v>9</v>
      </c>
      <c r="L165" s="6">
        <v>1001</v>
      </c>
      <c r="M165" s="5">
        <v>12</v>
      </c>
      <c r="N165" s="5">
        <v>240</v>
      </c>
      <c r="O165" s="5">
        <v>16</v>
      </c>
      <c r="P165" s="5">
        <v>12</v>
      </c>
      <c r="Q165" s="5">
        <v>12</v>
      </c>
      <c r="R165" s="8">
        <v>1</v>
      </c>
      <c r="S165" s="8">
        <v>5</v>
      </c>
      <c r="T165" s="8">
        <v>4</v>
      </c>
      <c r="U165" s="8">
        <v>10</v>
      </c>
      <c r="V165" s="8">
        <v>2</v>
      </c>
      <c r="W165" t="s">
        <v>473</v>
      </c>
      <c r="X165" t="s">
        <v>473</v>
      </c>
      <c r="Y165" t="s">
        <v>473</v>
      </c>
      <c r="Z165" t="s">
        <v>473</v>
      </c>
      <c r="AA165" t="s">
        <v>473</v>
      </c>
      <c r="AB165" t="s">
        <v>473</v>
      </c>
      <c r="AC165" s="10">
        <v>3</v>
      </c>
      <c r="AD165" s="10">
        <v>11</v>
      </c>
      <c r="AE165" t="s">
        <v>473</v>
      </c>
    </row>
    <row r="166" spans="1:31" x14ac:dyDescent="0.25">
      <c r="A166">
        <v>8475</v>
      </c>
      <c r="B166">
        <v>1973</v>
      </c>
      <c r="C166" t="s">
        <v>33</v>
      </c>
      <c r="D166" t="s">
        <v>34</v>
      </c>
      <c r="E166" t="str">
        <f>IF(OR(Table1[[#This Row],[marital_status]]="Married", Table1[[#This Row],[marital_status]]="Together"), "Partnered", "Single")</f>
        <v>Partnered</v>
      </c>
      <c r="F166" s="7">
        <v>157243</v>
      </c>
      <c r="G166" s="8">
        <v>0</v>
      </c>
      <c r="H166" s="8">
        <v>1</v>
      </c>
      <c r="I166" s="8">
        <f>Table1[[#This Row],[kids]]+Table1[[#This Row],[teens]]</f>
        <v>1</v>
      </c>
      <c r="J166" s="9">
        <v>41699</v>
      </c>
      <c r="K166" s="8">
        <v>98</v>
      </c>
      <c r="L166" s="6">
        <v>20</v>
      </c>
      <c r="M166" s="5">
        <v>2</v>
      </c>
      <c r="N166" s="5">
        <v>1582</v>
      </c>
      <c r="O166" s="5">
        <v>1</v>
      </c>
      <c r="P166" s="5">
        <v>2</v>
      </c>
      <c r="Q166" s="5">
        <v>1</v>
      </c>
      <c r="R166" s="8">
        <v>15</v>
      </c>
      <c r="S166" s="8">
        <v>0</v>
      </c>
      <c r="T166" s="8">
        <v>22</v>
      </c>
      <c r="U166" s="8">
        <v>0</v>
      </c>
      <c r="V166" s="8">
        <v>0</v>
      </c>
      <c r="W166" t="s">
        <v>473</v>
      </c>
      <c r="X166" t="s">
        <v>473</v>
      </c>
      <c r="Y166" t="s">
        <v>473</v>
      </c>
      <c r="Z166" t="s">
        <v>473</v>
      </c>
      <c r="AA166" t="s">
        <v>473</v>
      </c>
      <c r="AB166" t="s">
        <v>473</v>
      </c>
      <c r="AC166" s="10">
        <v>3</v>
      </c>
      <c r="AD166" s="10">
        <v>11</v>
      </c>
      <c r="AE166" t="s">
        <v>473</v>
      </c>
    </row>
    <row r="167" spans="1:31" x14ac:dyDescent="0.25">
      <c r="A167">
        <v>4370</v>
      </c>
      <c r="B167">
        <v>1966</v>
      </c>
      <c r="C167" t="s">
        <v>466</v>
      </c>
      <c r="D167" t="s">
        <v>31</v>
      </c>
      <c r="E167" t="str">
        <f>IF(OR(Table1[[#This Row],[marital_status]]="Married", Table1[[#This Row],[marital_status]]="Together"), "Partnered", "Single")</f>
        <v>Partnered</v>
      </c>
      <c r="F167" s="7">
        <v>43482</v>
      </c>
      <c r="G167" s="8">
        <v>2</v>
      </c>
      <c r="H167" s="8">
        <v>1</v>
      </c>
      <c r="I167" s="8">
        <f>Table1[[#This Row],[kids]]+Table1[[#This Row],[teens]]</f>
        <v>3</v>
      </c>
      <c r="J167" s="9">
        <v>41591</v>
      </c>
      <c r="K167" s="8">
        <v>83</v>
      </c>
      <c r="L167" s="6">
        <v>18</v>
      </c>
      <c r="M167" s="5">
        <v>1</v>
      </c>
      <c r="N167" s="5">
        <v>32</v>
      </c>
      <c r="O167" s="5">
        <v>6</v>
      </c>
      <c r="P167" s="5">
        <v>3</v>
      </c>
      <c r="Q167" s="5">
        <v>28</v>
      </c>
      <c r="R167" s="8">
        <v>3</v>
      </c>
      <c r="S167" s="8">
        <v>2</v>
      </c>
      <c r="T167" s="8">
        <v>0</v>
      </c>
      <c r="U167" s="8">
        <v>4</v>
      </c>
      <c r="V167" s="8">
        <v>6</v>
      </c>
      <c r="W167" t="s">
        <v>473</v>
      </c>
      <c r="X167" t="s">
        <v>473</v>
      </c>
      <c r="Y167" t="s">
        <v>473</v>
      </c>
      <c r="Z167" t="s">
        <v>473</v>
      </c>
      <c r="AA167" t="s">
        <v>473</v>
      </c>
      <c r="AB167" t="s">
        <v>473</v>
      </c>
      <c r="AC167" s="10">
        <v>3</v>
      </c>
      <c r="AD167" s="10">
        <v>11</v>
      </c>
      <c r="AE167" t="s">
        <v>473</v>
      </c>
    </row>
    <row r="168" spans="1:31" x14ac:dyDescent="0.25">
      <c r="A168">
        <v>10573</v>
      </c>
      <c r="B168">
        <v>1953</v>
      </c>
      <c r="C168" t="s">
        <v>466</v>
      </c>
      <c r="D168" t="s">
        <v>37</v>
      </c>
      <c r="E168" t="str">
        <f>IF(OR(Table1[[#This Row],[marital_status]]="Married", Table1[[#This Row],[marital_status]]="Together"), "Partnered", "Single")</f>
        <v>Single</v>
      </c>
      <c r="F168" s="7">
        <v>62551</v>
      </c>
      <c r="G168" s="8">
        <v>0</v>
      </c>
      <c r="H168" s="8">
        <v>0</v>
      </c>
      <c r="I168" s="8">
        <f>Table1[[#This Row],[kids]]+Table1[[#This Row],[teens]]</f>
        <v>0</v>
      </c>
      <c r="J168" s="9">
        <v>41596</v>
      </c>
      <c r="K168" s="8">
        <v>27</v>
      </c>
      <c r="L168" s="6">
        <v>125</v>
      </c>
      <c r="M168" s="5">
        <v>16</v>
      </c>
      <c r="N168" s="5">
        <v>98</v>
      </c>
      <c r="O168" s="5">
        <v>134</v>
      </c>
      <c r="P168" s="5">
        <v>21</v>
      </c>
      <c r="Q168" s="5">
        <v>27</v>
      </c>
      <c r="R168" s="8">
        <v>1</v>
      </c>
      <c r="S168" s="8">
        <v>6</v>
      </c>
      <c r="T168" s="8">
        <v>7</v>
      </c>
      <c r="U168" s="8">
        <v>4</v>
      </c>
      <c r="V168" s="8">
        <v>3</v>
      </c>
      <c r="W168" t="s">
        <v>474</v>
      </c>
      <c r="X168" t="s">
        <v>473</v>
      </c>
      <c r="Y168" t="s">
        <v>473</v>
      </c>
      <c r="Z168" t="s">
        <v>473</v>
      </c>
      <c r="AA168" t="s">
        <v>473</v>
      </c>
      <c r="AB168" t="s">
        <v>473</v>
      </c>
      <c r="AC168" s="10">
        <v>3</v>
      </c>
      <c r="AD168" s="10">
        <v>11</v>
      </c>
      <c r="AE168" t="s">
        <v>473</v>
      </c>
    </row>
    <row r="169" spans="1:31" x14ac:dyDescent="0.25">
      <c r="A169">
        <v>3712</v>
      </c>
      <c r="B169">
        <v>1959</v>
      </c>
      <c r="C169" t="s">
        <v>466</v>
      </c>
      <c r="D169" t="s">
        <v>37</v>
      </c>
      <c r="E169" t="str">
        <f>IF(OR(Table1[[#This Row],[marital_status]]="Married", Table1[[#This Row],[marital_status]]="Together"), "Partnered", "Single")</f>
        <v>Single</v>
      </c>
      <c r="F169" s="7">
        <v>52332</v>
      </c>
      <c r="G169" s="8">
        <v>0</v>
      </c>
      <c r="H169" s="8">
        <v>0</v>
      </c>
      <c r="I169" s="8">
        <f>Table1[[#This Row],[kids]]+Table1[[#This Row],[teens]]</f>
        <v>0</v>
      </c>
      <c r="J169" s="9">
        <v>41514</v>
      </c>
      <c r="K169" s="8">
        <v>63</v>
      </c>
      <c r="L169" s="6">
        <v>212</v>
      </c>
      <c r="M169" s="5">
        <v>5</v>
      </c>
      <c r="N169" s="5">
        <v>33</v>
      </c>
      <c r="O169" s="5">
        <v>7</v>
      </c>
      <c r="P169" s="5">
        <v>0</v>
      </c>
      <c r="Q169" s="5">
        <v>2</v>
      </c>
      <c r="R169" s="8">
        <v>1</v>
      </c>
      <c r="S169" s="8">
        <v>3</v>
      </c>
      <c r="T169" s="8">
        <v>2</v>
      </c>
      <c r="U169" s="8">
        <v>6</v>
      </c>
      <c r="V169" s="8">
        <v>4</v>
      </c>
      <c r="W169" t="s">
        <v>473</v>
      </c>
      <c r="X169" t="s">
        <v>474</v>
      </c>
      <c r="Y169" t="s">
        <v>473</v>
      </c>
      <c r="Z169" t="s">
        <v>473</v>
      </c>
      <c r="AA169" t="s">
        <v>473</v>
      </c>
      <c r="AB169" t="s">
        <v>473</v>
      </c>
      <c r="AC169" s="10">
        <v>3</v>
      </c>
      <c r="AD169" s="10">
        <v>11</v>
      </c>
      <c r="AE169" t="s">
        <v>473</v>
      </c>
    </row>
    <row r="170" spans="1:31" x14ac:dyDescent="0.25">
      <c r="A170">
        <v>6637</v>
      </c>
      <c r="B170">
        <v>1988</v>
      </c>
      <c r="C170" t="s">
        <v>466</v>
      </c>
      <c r="D170" t="s">
        <v>30</v>
      </c>
      <c r="E170" t="str">
        <f>IF(OR(Table1[[#This Row],[marital_status]]="Married", Table1[[#This Row],[marital_status]]="Together"), "Partnered", "Single")</f>
        <v>Single</v>
      </c>
      <c r="F170" s="7">
        <v>66951</v>
      </c>
      <c r="G170" s="8">
        <v>0</v>
      </c>
      <c r="H170" s="8">
        <v>0</v>
      </c>
      <c r="I170" s="8">
        <f>Table1[[#This Row],[kids]]+Table1[[#This Row],[teens]]</f>
        <v>0</v>
      </c>
      <c r="J170" s="9">
        <v>41580</v>
      </c>
      <c r="K170" s="8">
        <v>46</v>
      </c>
      <c r="L170" s="6">
        <v>277</v>
      </c>
      <c r="M170" s="5">
        <v>162</v>
      </c>
      <c r="N170" s="5">
        <v>305</v>
      </c>
      <c r="O170" s="5">
        <v>173</v>
      </c>
      <c r="P170" s="5">
        <v>76</v>
      </c>
      <c r="Q170" s="5">
        <v>124</v>
      </c>
      <c r="R170" s="8">
        <v>1</v>
      </c>
      <c r="S170" s="8">
        <v>3</v>
      </c>
      <c r="T170" s="8">
        <v>4</v>
      </c>
      <c r="U170" s="8">
        <v>7</v>
      </c>
      <c r="V170" s="8">
        <v>1</v>
      </c>
      <c r="W170" t="s">
        <v>473</v>
      </c>
      <c r="X170" t="s">
        <v>473</v>
      </c>
      <c r="Y170" t="s">
        <v>473</v>
      </c>
      <c r="Z170" t="s">
        <v>473</v>
      </c>
      <c r="AA170" t="s">
        <v>473</v>
      </c>
      <c r="AB170" t="s">
        <v>473</v>
      </c>
      <c r="AC170" s="10">
        <v>3</v>
      </c>
      <c r="AD170" s="10">
        <v>11</v>
      </c>
      <c r="AE170" t="s">
        <v>473</v>
      </c>
    </row>
    <row r="171" spans="1:31" x14ac:dyDescent="0.25">
      <c r="A171">
        <v>3152</v>
      </c>
      <c r="B171">
        <v>1957</v>
      </c>
      <c r="C171" t="s">
        <v>466</v>
      </c>
      <c r="D171" t="s">
        <v>31</v>
      </c>
      <c r="E171" t="str">
        <f>IF(OR(Table1[[#This Row],[marital_status]]="Married", Table1[[#This Row],[marital_status]]="Together"), "Partnered", "Single")</f>
        <v>Partnered</v>
      </c>
      <c r="F171" s="7">
        <v>26091</v>
      </c>
      <c r="G171" s="8">
        <v>1</v>
      </c>
      <c r="H171" s="8">
        <v>1</v>
      </c>
      <c r="I171" s="8">
        <f>Table1[[#This Row],[kids]]+Table1[[#This Row],[teens]]</f>
        <v>2</v>
      </c>
      <c r="J171" s="9">
        <v>41695</v>
      </c>
      <c r="K171" s="8">
        <v>84</v>
      </c>
      <c r="L171" s="6">
        <v>15</v>
      </c>
      <c r="M171" s="5">
        <v>10</v>
      </c>
      <c r="N171" s="5">
        <v>19</v>
      </c>
      <c r="O171" s="5">
        <v>8</v>
      </c>
      <c r="P171" s="5">
        <v>17</v>
      </c>
      <c r="Q171" s="5">
        <v>20</v>
      </c>
      <c r="R171" s="8">
        <v>3</v>
      </c>
      <c r="S171" s="8">
        <v>2</v>
      </c>
      <c r="T171" s="8">
        <v>1</v>
      </c>
      <c r="U171" s="8">
        <v>3</v>
      </c>
      <c r="V171" s="8">
        <v>5</v>
      </c>
      <c r="W171" t="s">
        <v>473</v>
      </c>
      <c r="X171" t="s">
        <v>473</v>
      </c>
      <c r="Y171" t="s">
        <v>473</v>
      </c>
      <c r="Z171" t="s">
        <v>473</v>
      </c>
      <c r="AA171" t="s">
        <v>473</v>
      </c>
      <c r="AB171" t="s">
        <v>473</v>
      </c>
      <c r="AC171" s="10">
        <v>3</v>
      </c>
      <c r="AD171" s="10">
        <v>11</v>
      </c>
      <c r="AE171" t="s">
        <v>473</v>
      </c>
    </row>
    <row r="172" spans="1:31" x14ac:dyDescent="0.25">
      <c r="A172">
        <v>5610</v>
      </c>
      <c r="B172">
        <v>1965</v>
      </c>
      <c r="C172" t="s">
        <v>466</v>
      </c>
      <c r="D172" t="s">
        <v>31</v>
      </c>
      <c r="E172" t="str">
        <f>IF(OR(Table1[[#This Row],[marital_status]]="Married", Table1[[#This Row],[marital_status]]="Together"), "Partnered", "Single")</f>
        <v>Partnered</v>
      </c>
      <c r="F172" s="7">
        <v>33456</v>
      </c>
      <c r="G172" s="8">
        <v>1</v>
      </c>
      <c r="H172" s="8">
        <v>1</v>
      </c>
      <c r="I172" s="8">
        <f>Table1[[#This Row],[kids]]+Table1[[#This Row],[teens]]</f>
        <v>2</v>
      </c>
      <c r="J172" s="9">
        <v>41750</v>
      </c>
      <c r="K172" s="8">
        <v>58</v>
      </c>
      <c r="L172" s="6">
        <v>7</v>
      </c>
      <c r="M172" s="5">
        <v>3</v>
      </c>
      <c r="N172" s="5">
        <v>10</v>
      </c>
      <c r="O172" s="5">
        <v>8</v>
      </c>
      <c r="P172" s="5">
        <v>1</v>
      </c>
      <c r="Q172" s="5">
        <v>7</v>
      </c>
      <c r="R172" s="8">
        <v>2</v>
      </c>
      <c r="S172" s="8">
        <v>1</v>
      </c>
      <c r="T172" s="8">
        <v>0</v>
      </c>
      <c r="U172" s="8">
        <v>3</v>
      </c>
      <c r="V172" s="8">
        <v>7</v>
      </c>
      <c r="W172" t="s">
        <v>473</v>
      </c>
      <c r="X172" t="s">
        <v>473</v>
      </c>
      <c r="Y172" t="s">
        <v>473</v>
      </c>
      <c r="Z172" t="s">
        <v>473</v>
      </c>
      <c r="AA172" t="s">
        <v>473</v>
      </c>
      <c r="AB172" t="s">
        <v>473</v>
      </c>
      <c r="AC172" s="10">
        <v>3</v>
      </c>
      <c r="AD172" s="10">
        <v>11</v>
      </c>
      <c r="AE172" t="s">
        <v>473</v>
      </c>
    </row>
    <row r="173" spans="1:31" x14ac:dyDescent="0.25">
      <c r="A173">
        <v>6460</v>
      </c>
      <c r="B173">
        <v>1982</v>
      </c>
      <c r="C173" t="s">
        <v>466</v>
      </c>
      <c r="D173" t="s">
        <v>34</v>
      </c>
      <c r="E173" t="str">
        <f>IF(OR(Table1[[#This Row],[marital_status]]="Married", Table1[[#This Row],[marital_status]]="Together"), "Partnered", "Single")</f>
        <v>Partnered</v>
      </c>
      <c r="F173" s="7">
        <v>28718</v>
      </c>
      <c r="G173" s="8">
        <v>1</v>
      </c>
      <c r="H173" s="8">
        <v>0</v>
      </c>
      <c r="I173" s="8">
        <f>Table1[[#This Row],[kids]]+Table1[[#This Row],[teens]]</f>
        <v>1</v>
      </c>
      <c r="J173" s="9">
        <v>41468</v>
      </c>
      <c r="K173" s="8">
        <v>78</v>
      </c>
      <c r="L173" s="6">
        <v>12</v>
      </c>
      <c r="M173" s="5">
        <v>4</v>
      </c>
      <c r="N173" s="5">
        <v>6</v>
      </c>
      <c r="O173" s="5">
        <v>11</v>
      </c>
      <c r="P173" s="5">
        <v>8</v>
      </c>
      <c r="Q173" s="5">
        <v>16</v>
      </c>
      <c r="R173" s="8">
        <v>2</v>
      </c>
      <c r="S173" s="8">
        <v>2</v>
      </c>
      <c r="T173" s="8">
        <v>0</v>
      </c>
      <c r="U173" s="8">
        <v>3</v>
      </c>
      <c r="V173" s="8">
        <v>8</v>
      </c>
      <c r="W173" t="s">
        <v>473</v>
      </c>
      <c r="X173" t="s">
        <v>473</v>
      </c>
      <c r="Y173" t="s">
        <v>473</v>
      </c>
      <c r="Z173" t="s">
        <v>473</v>
      </c>
      <c r="AA173" t="s">
        <v>473</v>
      </c>
      <c r="AB173" t="s">
        <v>473</v>
      </c>
      <c r="AC173" s="10">
        <v>3</v>
      </c>
      <c r="AD173" s="10">
        <v>11</v>
      </c>
      <c r="AE173" t="s">
        <v>473</v>
      </c>
    </row>
    <row r="174" spans="1:31" x14ac:dyDescent="0.25">
      <c r="A174">
        <v>1349</v>
      </c>
      <c r="B174">
        <v>1970</v>
      </c>
      <c r="C174" t="s">
        <v>466</v>
      </c>
      <c r="D174" t="s">
        <v>34</v>
      </c>
      <c r="E174" t="str">
        <f>IF(OR(Table1[[#This Row],[marital_status]]="Married", Table1[[#This Row],[marital_status]]="Together"), "Partnered", "Single")</f>
        <v>Partnered</v>
      </c>
      <c r="F174" s="7">
        <v>50447</v>
      </c>
      <c r="G174" s="8">
        <v>2</v>
      </c>
      <c r="H174" s="8">
        <v>0</v>
      </c>
      <c r="I174" s="8">
        <f>Table1[[#This Row],[kids]]+Table1[[#This Row],[teens]]</f>
        <v>2</v>
      </c>
      <c r="J174" s="9">
        <v>41750</v>
      </c>
      <c r="K174" s="8">
        <v>4</v>
      </c>
      <c r="L174" s="6">
        <v>85</v>
      </c>
      <c r="M174" s="5">
        <v>7</v>
      </c>
      <c r="N174" s="5">
        <v>24</v>
      </c>
      <c r="O174" s="5">
        <v>2</v>
      </c>
      <c r="P174" s="5">
        <v>3</v>
      </c>
      <c r="Q174" s="5">
        <v>27</v>
      </c>
      <c r="R174" s="8">
        <v>1</v>
      </c>
      <c r="S174" s="8">
        <v>3</v>
      </c>
      <c r="T174" s="8">
        <v>1</v>
      </c>
      <c r="U174" s="8">
        <v>3</v>
      </c>
      <c r="V174" s="8">
        <v>6</v>
      </c>
      <c r="W174" t="s">
        <v>473</v>
      </c>
      <c r="X174" t="s">
        <v>473</v>
      </c>
      <c r="Y174" t="s">
        <v>473</v>
      </c>
      <c r="Z174" t="s">
        <v>473</v>
      </c>
      <c r="AA174" t="s">
        <v>473</v>
      </c>
      <c r="AB174" t="s">
        <v>473</v>
      </c>
      <c r="AC174" s="10">
        <v>3</v>
      </c>
      <c r="AD174" s="10">
        <v>11</v>
      </c>
      <c r="AE174" t="s">
        <v>473</v>
      </c>
    </row>
    <row r="175" spans="1:31" x14ac:dyDescent="0.25">
      <c r="A175">
        <v>1880</v>
      </c>
      <c r="B175">
        <v>1959</v>
      </c>
      <c r="C175" t="s">
        <v>33</v>
      </c>
      <c r="D175" t="s">
        <v>31</v>
      </c>
      <c r="E175" t="str">
        <f>IF(OR(Table1[[#This Row],[marital_status]]="Married", Table1[[#This Row],[marital_status]]="Together"), "Partnered", "Single")</f>
        <v>Partnered</v>
      </c>
      <c r="F175" s="7">
        <v>53537</v>
      </c>
      <c r="G175" s="8">
        <v>1</v>
      </c>
      <c r="H175" s="8">
        <v>1</v>
      </c>
      <c r="I175" s="8">
        <f>Table1[[#This Row],[kids]]+Table1[[#This Row],[teens]]</f>
        <v>2</v>
      </c>
      <c r="J175" s="9">
        <v>41669</v>
      </c>
      <c r="K175" s="8">
        <v>17</v>
      </c>
      <c r="L175" s="6">
        <v>81</v>
      </c>
      <c r="M175" s="5">
        <v>0</v>
      </c>
      <c r="N175" s="5">
        <v>6</v>
      </c>
      <c r="O175" s="5">
        <v>0</v>
      </c>
      <c r="P175" s="5">
        <v>0</v>
      </c>
      <c r="Q175" s="5">
        <v>6</v>
      </c>
      <c r="R175" s="8">
        <v>2</v>
      </c>
      <c r="S175" s="8">
        <v>2</v>
      </c>
      <c r="T175" s="8">
        <v>1</v>
      </c>
      <c r="U175" s="8">
        <v>3</v>
      </c>
      <c r="V175" s="8">
        <v>5</v>
      </c>
      <c r="W175" t="s">
        <v>473</v>
      </c>
      <c r="X175" t="s">
        <v>473</v>
      </c>
      <c r="Y175" t="s">
        <v>473</v>
      </c>
      <c r="Z175" t="s">
        <v>473</v>
      </c>
      <c r="AA175" t="s">
        <v>473</v>
      </c>
      <c r="AB175" t="s">
        <v>473</v>
      </c>
      <c r="AC175" s="10">
        <v>3</v>
      </c>
      <c r="AD175" s="10">
        <v>11</v>
      </c>
      <c r="AE175" t="s">
        <v>473</v>
      </c>
    </row>
    <row r="176" spans="1:31" x14ac:dyDescent="0.25">
      <c r="A176">
        <v>641</v>
      </c>
      <c r="B176">
        <v>1967</v>
      </c>
      <c r="C176" t="s">
        <v>466</v>
      </c>
      <c r="D176" t="s">
        <v>30</v>
      </c>
      <c r="E176" t="str">
        <f>IF(OR(Table1[[#This Row],[marital_status]]="Married", Table1[[#This Row],[marital_status]]="Together"), "Partnered", "Single")</f>
        <v>Single</v>
      </c>
      <c r="F176" s="7">
        <v>52074</v>
      </c>
      <c r="G176" s="8">
        <v>0</v>
      </c>
      <c r="H176" s="8">
        <v>1</v>
      </c>
      <c r="I176" s="8">
        <f>Table1[[#This Row],[kids]]+Table1[[#This Row],[teens]]</f>
        <v>1</v>
      </c>
      <c r="J176" s="9">
        <v>41733</v>
      </c>
      <c r="K176" s="8">
        <v>77</v>
      </c>
      <c r="L176" s="6">
        <v>59</v>
      </c>
      <c r="M176" s="5">
        <v>0</v>
      </c>
      <c r="N176" s="5">
        <v>12</v>
      </c>
      <c r="O176" s="5">
        <v>0</v>
      </c>
      <c r="P176" s="5">
        <v>0</v>
      </c>
      <c r="Q176" s="5">
        <v>48</v>
      </c>
      <c r="R176" s="8">
        <v>1</v>
      </c>
      <c r="S176" s="8">
        <v>2</v>
      </c>
      <c r="T176" s="8">
        <v>2</v>
      </c>
      <c r="U176" s="8">
        <v>2</v>
      </c>
      <c r="V176" s="8">
        <v>4</v>
      </c>
      <c r="W176" t="s">
        <v>474</v>
      </c>
      <c r="X176" t="s">
        <v>473</v>
      </c>
      <c r="Y176" t="s">
        <v>473</v>
      </c>
      <c r="Z176" t="s">
        <v>473</v>
      </c>
      <c r="AA176" t="s">
        <v>473</v>
      </c>
      <c r="AB176" t="s">
        <v>473</v>
      </c>
      <c r="AC176" s="10">
        <v>3</v>
      </c>
      <c r="AD176" s="10">
        <v>11</v>
      </c>
      <c r="AE176" t="s">
        <v>473</v>
      </c>
    </row>
    <row r="177" spans="1:31" x14ac:dyDescent="0.25">
      <c r="A177">
        <v>8717</v>
      </c>
      <c r="B177">
        <v>1975</v>
      </c>
      <c r="C177" t="s">
        <v>33</v>
      </c>
      <c r="D177" t="s">
        <v>34</v>
      </c>
      <c r="E177" t="str">
        <f>IF(OR(Table1[[#This Row],[marital_status]]="Married", Table1[[#This Row],[marital_status]]="Together"), "Partnered", "Single")</f>
        <v>Partnered</v>
      </c>
      <c r="F177" s="7">
        <v>80427</v>
      </c>
      <c r="G177" s="8">
        <v>0</v>
      </c>
      <c r="H177" s="8">
        <v>1</v>
      </c>
      <c r="I177" s="8">
        <f>Table1[[#This Row],[kids]]+Table1[[#This Row],[teens]]</f>
        <v>1</v>
      </c>
      <c r="J177" s="9">
        <v>41164</v>
      </c>
      <c r="K177" s="8">
        <v>56</v>
      </c>
      <c r="L177" s="6">
        <v>1149</v>
      </c>
      <c r="M177" s="5">
        <v>71</v>
      </c>
      <c r="N177" s="5">
        <v>449</v>
      </c>
      <c r="O177" s="5">
        <v>69</v>
      </c>
      <c r="P177" s="5">
        <v>71</v>
      </c>
      <c r="Q177" s="5">
        <v>26</v>
      </c>
      <c r="R177" s="8">
        <v>1</v>
      </c>
      <c r="S177" s="8">
        <v>11</v>
      </c>
      <c r="T177" s="8">
        <v>8</v>
      </c>
      <c r="U177" s="8">
        <v>8</v>
      </c>
      <c r="V177" s="8">
        <v>5</v>
      </c>
      <c r="W177" t="s">
        <v>473</v>
      </c>
      <c r="X177" t="s">
        <v>473</v>
      </c>
      <c r="Y177" t="s">
        <v>473</v>
      </c>
      <c r="Z177" t="s">
        <v>473</v>
      </c>
      <c r="AA177" t="s">
        <v>473</v>
      </c>
      <c r="AB177" t="s">
        <v>473</v>
      </c>
      <c r="AC177" s="10">
        <v>3</v>
      </c>
      <c r="AD177" s="10">
        <v>11</v>
      </c>
      <c r="AE177" t="s">
        <v>473</v>
      </c>
    </row>
    <row r="178" spans="1:31" x14ac:dyDescent="0.25">
      <c r="A178">
        <v>10314</v>
      </c>
      <c r="B178">
        <v>1948</v>
      </c>
      <c r="C178" t="s">
        <v>33</v>
      </c>
      <c r="D178" t="s">
        <v>34</v>
      </c>
      <c r="E178" t="str">
        <f>IF(OR(Table1[[#This Row],[marital_status]]="Married", Table1[[#This Row],[marital_status]]="Together"), "Partnered", "Single")</f>
        <v>Partnered</v>
      </c>
      <c r="F178" s="7">
        <v>83837</v>
      </c>
      <c r="G178" s="8">
        <v>0</v>
      </c>
      <c r="H178" s="8">
        <v>0</v>
      </c>
      <c r="I178" s="8">
        <f>Table1[[#This Row],[kids]]+Table1[[#This Row],[teens]]</f>
        <v>0</v>
      </c>
      <c r="J178" s="9">
        <v>41259</v>
      </c>
      <c r="K178" s="8">
        <v>79</v>
      </c>
      <c r="L178" s="6">
        <v>847</v>
      </c>
      <c r="M178" s="5">
        <v>66</v>
      </c>
      <c r="N178" s="5">
        <v>119</v>
      </c>
      <c r="O178" s="5">
        <v>86</v>
      </c>
      <c r="P178" s="5">
        <v>89</v>
      </c>
      <c r="Q178" s="5">
        <v>111</v>
      </c>
      <c r="R178" s="8">
        <v>1</v>
      </c>
      <c r="S178" s="8">
        <v>9</v>
      </c>
      <c r="T178" s="8">
        <v>10</v>
      </c>
      <c r="U178" s="8">
        <v>5</v>
      </c>
      <c r="V178" s="8">
        <v>4</v>
      </c>
      <c r="W178" t="s">
        <v>473</v>
      </c>
      <c r="X178" t="s">
        <v>474</v>
      </c>
      <c r="Y178" t="s">
        <v>473</v>
      </c>
      <c r="Z178" t="s">
        <v>474</v>
      </c>
      <c r="AA178" t="s">
        <v>473</v>
      </c>
      <c r="AB178" t="s">
        <v>473</v>
      </c>
      <c r="AC178" s="10">
        <v>3</v>
      </c>
      <c r="AD178" s="10">
        <v>11</v>
      </c>
      <c r="AE178" t="s">
        <v>474</v>
      </c>
    </row>
    <row r="179" spans="1:31" x14ac:dyDescent="0.25">
      <c r="A179">
        <v>10854</v>
      </c>
      <c r="B179">
        <v>1970</v>
      </c>
      <c r="C179" t="s">
        <v>33</v>
      </c>
      <c r="D179" t="s">
        <v>34</v>
      </c>
      <c r="E179" t="str">
        <f>IF(OR(Table1[[#This Row],[marital_status]]="Married", Table1[[#This Row],[marital_status]]="Together"), "Partnered", "Single")</f>
        <v>Partnered</v>
      </c>
      <c r="F179" s="7">
        <v>38853</v>
      </c>
      <c r="G179" s="8">
        <v>1</v>
      </c>
      <c r="H179" s="8">
        <v>1</v>
      </c>
      <c r="I179" s="8">
        <f>Table1[[#This Row],[kids]]+Table1[[#This Row],[teens]]</f>
        <v>2</v>
      </c>
      <c r="J179" s="9">
        <v>41782</v>
      </c>
      <c r="K179" s="8">
        <v>90</v>
      </c>
      <c r="L179" s="6">
        <v>29</v>
      </c>
      <c r="M179" s="5">
        <v>0</v>
      </c>
      <c r="N179" s="5">
        <v>14</v>
      </c>
      <c r="O179" s="5">
        <v>0</v>
      </c>
      <c r="P179" s="5">
        <v>0</v>
      </c>
      <c r="Q179" s="5">
        <v>2</v>
      </c>
      <c r="R179" s="8">
        <v>2</v>
      </c>
      <c r="S179" s="8">
        <v>2</v>
      </c>
      <c r="T179" s="8">
        <v>0</v>
      </c>
      <c r="U179" s="8">
        <v>3</v>
      </c>
      <c r="V179" s="8">
        <v>7</v>
      </c>
      <c r="W179" t="s">
        <v>473</v>
      </c>
      <c r="X179" t="s">
        <v>473</v>
      </c>
      <c r="Y179" t="s">
        <v>473</v>
      </c>
      <c r="Z179" t="s">
        <v>473</v>
      </c>
      <c r="AA179" t="s">
        <v>473</v>
      </c>
      <c r="AB179" t="s">
        <v>473</v>
      </c>
      <c r="AC179" s="10">
        <v>3</v>
      </c>
      <c r="AD179" s="10">
        <v>11</v>
      </c>
      <c r="AE179" t="s">
        <v>473</v>
      </c>
    </row>
    <row r="180" spans="1:31" x14ac:dyDescent="0.25">
      <c r="A180">
        <v>10492</v>
      </c>
      <c r="B180">
        <v>1959</v>
      </c>
      <c r="C180" t="s">
        <v>466</v>
      </c>
      <c r="D180" t="s">
        <v>31</v>
      </c>
      <c r="E180" t="str">
        <f>IF(OR(Table1[[#This Row],[marital_status]]="Married", Table1[[#This Row],[marital_status]]="Together"), "Partnered", "Single")</f>
        <v>Partnered</v>
      </c>
      <c r="F180" s="7">
        <v>38285</v>
      </c>
      <c r="G180" s="8">
        <v>2</v>
      </c>
      <c r="H180" s="8">
        <v>1</v>
      </c>
      <c r="I180" s="8">
        <f>Table1[[#This Row],[kids]]+Table1[[#This Row],[teens]]</f>
        <v>3</v>
      </c>
      <c r="J180" s="9">
        <v>41814</v>
      </c>
      <c r="K180" s="8">
        <v>96</v>
      </c>
      <c r="L180" s="6">
        <v>2</v>
      </c>
      <c r="M180" s="5">
        <v>0</v>
      </c>
      <c r="N180" s="5">
        <v>5</v>
      </c>
      <c r="O180" s="5">
        <v>2</v>
      </c>
      <c r="P180" s="5">
        <v>0</v>
      </c>
      <c r="Q180" s="5">
        <v>1</v>
      </c>
      <c r="R180" s="8">
        <v>1</v>
      </c>
      <c r="S180" s="8">
        <v>0</v>
      </c>
      <c r="T180" s="8">
        <v>0</v>
      </c>
      <c r="U180" s="8">
        <v>3</v>
      </c>
      <c r="V180" s="8">
        <v>2</v>
      </c>
      <c r="W180" t="s">
        <v>473</v>
      </c>
      <c r="X180" t="s">
        <v>473</v>
      </c>
      <c r="Y180" t="s">
        <v>473</v>
      </c>
      <c r="Z180" t="s">
        <v>473</v>
      </c>
      <c r="AA180" t="s">
        <v>473</v>
      </c>
      <c r="AB180" t="s">
        <v>473</v>
      </c>
      <c r="AC180" s="10">
        <v>3</v>
      </c>
      <c r="AD180" s="10">
        <v>11</v>
      </c>
      <c r="AE180" t="s">
        <v>473</v>
      </c>
    </row>
    <row r="181" spans="1:31" x14ac:dyDescent="0.25">
      <c r="A181">
        <v>6935</v>
      </c>
      <c r="B181">
        <v>1951</v>
      </c>
      <c r="C181" t="s">
        <v>46</v>
      </c>
      <c r="D181" t="s">
        <v>34</v>
      </c>
      <c r="E181" t="str">
        <f>IF(OR(Table1[[#This Row],[marital_status]]="Married", Table1[[#This Row],[marital_status]]="Together"), "Partnered", "Single")</f>
        <v>Partnered</v>
      </c>
      <c r="F181" s="7">
        <v>78497</v>
      </c>
      <c r="G181" s="8">
        <v>0</v>
      </c>
      <c r="H181" s="8">
        <v>0</v>
      </c>
      <c r="I181" s="8">
        <f>Table1[[#This Row],[kids]]+Table1[[#This Row],[teens]]</f>
        <v>0</v>
      </c>
      <c r="J181" s="9">
        <v>41609</v>
      </c>
      <c r="K181" s="8">
        <v>44</v>
      </c>
      <c r="L181" s="6">
        <v>207</v>
      </c>
      <c r="M181" s="5">
        <v>26</v>
      </c>
      <c r="N181" s="5">
        <v>447</v>
      </c>
      <c r="O181" s="5">
        <v>75</v>
      </c>
      <c r="P181" s="5">
        <v>0</v>
      </c>
      <c r="Q181" s="5">
        <v>223</v>
      </c>
      <c r="R181" s="8">
        <v>1</v>
      </c>
      <c r="S181" s="8">
        <v>5</v>
      </c>
      <c r="T181" s="8">
        <v>7</v>
      </c>
      <c r="U181" s="8">
        <v>12</v>
      </c>
      <c r="V181" s="8">
        <v>2</v>
      </c>
      <c r="W181" t="s">
        <v>473</v>
      </c>
      <c r="X181" t="s">
        <v>473</v>
      </c>
      <c r="Y181" t="s">
        <v>473</v>
      </c>
      <c r="Z181" t="s">
        <v>474</v>
      </c>
      <c r="AA181" t="s">
        <v>473</v>
      </c>
      <c r="AB181" t="s">
        <v>473</v>
      </c>
      <c r="AC181" s="10">
        <v>3</v>
      </c>
      <c r="AD181" s="10">
        <v>11</v>
      </c>
      <c r="AE181" t="s">
        <v>473</v>
      </c>
    </row>
    <row r="182" spans="1:31" x14ac:dyDescent="0.25">
      <c r="A182">
        <v>7698</v>
      </c>
      <c r="B182">
        <v>1976</v>
      </c>
      <c r="C182" t="s">
        <v>33</v>
      </c>
      <c r="D182" t="s">
        <v>34</v>
      </c>
      <c r="E182" t="str">
        <f>IF(OR(Table1[[#This Row],[marital_status]]="Married", Table1[[#This Row],[marital_status]]="Together"), "Partnered", "Single")</f>
        <v>Partnered</v>
      </c>
      <c r="F182" s="7">
        <v>51650</v>
      </c>
      <c r="G182" s="8">
        <v>0</v>
      </c>
      <c r="H182" s="8">
        <v>1</v>
      </c>
      <c r="I182" s="8">
        <f>Table1[[#This Row],[kids]]+Table1[[#This Row],[teens]]</f>
        <v>1</v>
      </c>
      <c r="J182" s="9">
        <v>41770</v>
      </c>
      <c r="K182" s="8">
        <v>81</v>
      </c>
      <c r="L182" s="6">
        <v>152</v>
      </c>
      <c r="M182" s="5">
        <v>3</v>
      </c>
      <c r="N182" s="5">
        <v>22</v>
      </c>
      <c r="O182" s="5">
        <v>2</v>
      </c>
      <c r="P182" s="5">
        <v>5</v>
      </c>
      <c r="Q182" s="5">
        <v>7</v>
      </c>
      <c r="R182" s="8">
        <v>1</v>
      </c>
      <c r="S182" s="8">
        <v>4</v>
      </c>
      <c r="T182" s="8">
        <v>1</v>
      </c>
      <c r="U182" s="8">
        <v>4</v>
      </c>
      <c r="V182" s="8">
        <v>5</v>
      </c>
      <c r="W182" t="s">
        <v>473</v>
      </c>
      <c r="X182" t="s">
        <v>473</v>
      </c>
      <c r="Y182" t="s">
        <v>473</v>
      </c>
      <c r="Z182" t="s">
        <v>473</v>
      </c>
      <c r="AA182" t="s">
        <v>473</v>
      </c>
      <c r="AB182" t="s">
        <v>473</v>
      </c>
      <c r="AC182" s="10">
        <v>3</v>
      </c>
      <c r="AD182" s="10">
        <v>11</v>
      </c>
      <c r="AE182" t="s">
        <v>473</v>
      </c>
    </row>
    <row r="183" spans="1:31" x14ac:dyDescent="0.25">
      <c r="A183">
        <v>3559</v>
      </c>
      <c r="B183">
        <v>1988</v>
      </c>
      <c r="C183" t="s">
        <v>46</v>
      </c>
      <c r="D183" t="s">
        <v>34</v>
      </c>
      <c r="E183" t="str">
        <f>IF(OR(Table1[[#This Row],[marital_status]]="Married", Table1[[#This Row],[marital_status]]="Together"), "Partnered", "Single")</f>
        <v>Partnered</v>
      </c>
      <c r="F183" s="7">
        <v>16248</v>
      </c>
      <c r="G183" s="8">
        <v>1</v>
      </c>
      <c r="H183" s="8">
        <v>0</v>
      </c>
      <c r="I183" s="8">
        <f>Table1[[#This Row],[kids]]+Table1[[#This Row],[teens]]</f>
        <v>1</v>
      </c>
      <c r="J183" s="9">
        <v>41769</v>
      </c>
      <c r="K183" s="8">
        <v>77</v>
      </c>
      <c r="L183" s="6">
        <v>12</v>
      </c>
      <c r="M183" s="5">
        <v>11</v>
      </c>
      <c r="N183" s="5">
        <v>10</v>
      </c>
      <c r="O183" s="5">
        <v>3</v>
      </c>
      <c r="P183" s="5">
        <v>12</v>
      </c>
      <c r="Q183" s="5">
        <v>9</v>
      </c>
      <c r="R183" s="8">
        <v>3</v>
      </c>
      <c r="S183" s="8">
        <v>2</v>
      </c>
      <c r="T183" s="8">
        <v>1</v>
      </c>
      <c r="U183" s="8">
        <v>3</v>
      </c>
      <c r="V183" s="8">
        <v>6</v>
      </c>
      <c r="W183" t="s">
        <v>473</v>
      </c>
      <c r="X183" t="s">
        <v>473</v>
      </c>
      <c r="Y183" t="s">
        <v>473</v>
      </c>
      <c r="Z183" t="s">
        <v>473</v>
      </c>
      <c r="AA183" t="s">
        <v>473</v>
      </c>
      <c r="AB183" t="s">
        <v>473</v>
      </c>
      <c r="AC183" s="10">
        <v>3</v>
      </c>
      <c r="AD183" s="10">
        <v>11</v>
      </c>
      <c r="AE183" t="s">
        <v>473</v>
      </c>
    </row>
    <row r="184" spans="1:31" x14ac:dyDescent="0.25">
      <c r="A184">
        <v>10562</v>
      </c>
      <c r="B184">
        <v>1946</v>
      </c>
      <c r="C184" t="s">
        <v>36</v>
      </c>
      <c r="D184" t="s">
        <v>34</v>
      </c>
      <c r="E184" t="str">
        <f>IF(OR(Table1[[#This Row],[marital_status]]="Married", Table1[[#This Row],[marital_status]]="Together"), "Partnered", "Single")</f>
        <v>Partnered</v>
      </c>
      <c r="F184" s="7">
        <v>66835</v>
      </c>
      <c r="G184" s="8">
        <v>0</v>
      </c>
      <c r="H184" s="8">
        <v>0</v>
      </c>
      <c r="I184" s="8">
        <f>Table1[[#This Row],[kids]]+Table1[[#This Row],[teens]]</f>
        <v>0</v>
      </c>
      <c r="J184" s="9">
        <v>41545</v>
      </c>
      <c r="K184" s="8">
        <v>21</v>
      </c>
      <c r="L184" s="6">
        <v>620</v>
      </c>
      <c r="M184" s="5">
        <v>26</v>
      </c>
      <c r="N184" s="5">
        <v>195</v>
      </c>
      <c r="O184" s="5">
        <v>34</v>
      </c>
      <c r="P184" s="5">
        <v>17</v>
      </c>
      <c r="Q184" s="5">
        <v>141</v>
      </c>
      <c r="R184" s="8">
        <v>1</v>
      </c>
      <c r="S184" s="8">
        <v>6</v>
      </c>
      <c r="T184" s="8">
        <v>4</v>
      </c>
      <c r="U184" s="8">
        <v>13</v>
      </c>
      <c r="V184" s="8">
        <v>2</v>
      </c>
      <c r="W184" t="s">
        <v>473</v>
      </c>
      <c r="X184" t="s">
        <v>473</v>
      </c>
      <c r="Y184" t="s">
        <v>473</v>
      </c>
      <c r="Z184" t="s">
        <v>473</v>
      </c>
      <c r="AA184" t="s">
        <v>473</v>
      </c>
      <c r="AB184" t="s">
        <v>473</v>
      </c>
      <c r="AC184" s="10">
        <v>3</v>
      </c>
      <c r="AD184" s="10">
        <v>11</v>
      </c>
      <c r="AE184" t="s">
        <v>473</v>
      </c>
    </row>
    <row r="185" spans="1:31" x14ac:dyDescent="0.25">
      <c r="A185">
        <v>10796</v>
      </c>
      <c r="B185">
        <v>1984</v>
      </c>
      <c r="C185" t="s">
        <v>36</v>
      </c>
      <c r="D185" t="s">
        <v>34</v>
      </c>
      <c r="E185" t="str">
        <f>IF(OR(Table1[[#This Row],[marital_status]]="Married", Table1[[#This Row],[marital_status]]="Together"), "Partnered", "Single")</f>
        <v>Partnered</v>
      </c>
      <c r="F185" s="7">
        <v>30477</v>
      </c>
      <c r="G185" s="8">
        <v>1</v>
      </c>
      <c r="H185" s="8">
        <v>0</v>
      </c>
      <c r="I185" s="8">
        <f>Table1[[#This Row],[kids]]+Table1[[#This Row],[teens]]</f>
        <v>1</v>
      </c>
      <c r="J185" s="9">
        <v>41661</v>
      </c>
      <c r="K185" s="8">
        <v>16</v>
      </c>
      <c r="L185" s="6">
        <v>47</v>
      </c>
      <c r="M185" s="5">
        <v>1</v>
      </c>
      <c r="N185" s="5">
        <v>6</v>
      </c>
      <c r="O185" s="5">
        <v>0</v>
      </c>
      <c r="P185" s="5">
        <v>0</v>
      </c>
      <c r="Q185" s="5">
        <v>12</v>
      </c>
      <c r="R185" s="8">
        <v>1</v>
      </c>
      <c r="S185" s="8">
        <v>1</v>
      </c>
      <c r="T185" s="8">
        <v>1</v>
      </c>
      <c r="U185" s="8">
        <v>3</v>
      </c>
      <c r="V185" s="8">
        <v>6</v>
      </c>
      <c r="W185" t="s">
        <v>473</v>
      </c>
      <c r="X185" t="s">
        <v>473</v>
      </c>
      <c r="Y185" t="s">
        <v>473</v>
      </c>
      <c r="Z185" t="s">
        <v>473</v>
      </c>
      <c r="AA185" t="s">
        <v>473</v>
      </c>
      <c r="AB185" t="s">
        <v>473</v>
      </c>
      <c r="AC185" s="10">
        <v>3</v>
      </c>
      <c r="AD185" s="10">
        <v>11</v>
      </c>
      <c r="AE185" t="s">
        <v>473</v>
      </c>
    </row>
    <row r="186" spans="1:31" x14ac:dyDescent="0.25">
      <c r="A186">
        <v>2563</v>
      </c>
      <c r="B186">
        <v>1961</v>
      </c>
      <c r="C186" t="s">
        <v>41</v>
      </c>
      <c r="D186" t="s">
        <v>34</v>
      </c>
      <c r="E186" t="str">
        <f>IF(OR(Table1[[#This Row],[marital_status]]="Married", Table1[[#This Row],[marital_status]]="Together"), "Partnered", "Single")</f>
        <v>Partnered</v>
      </c>
      <c r="F186" s="7">
        <v>28249</v>
      </c>
      <c r="G186" s="8">
        <v>0</v>
      </c>
      <c r="H186" s="8">
        <v>0</v>
      </c>
      <c r="I186" s="8">
        <f>Table1[[#This Row],[kids]]+Table1[[#This Row],[teens]]</f>
        <v>0</v>
      </c>
      <c r="J186" s="9">
        <v>41805</v>
      </c>
      <c r="K186" s="8">
        <v>80</v>
      </c>
      <c r="L186" s="6">
        <v>1</v>
      </c>
      <c r="M186" s="5">
        <v>9</v>
      </c>
      <c r="N186" s="5">
        <v>7</v>
      </c>
      <c r="O186" s="5">
        <v>2</v>
      </c>
      <c r="P186" s="5">
        <v>14</v>
      </c>
      <c r="Q186" s="5">
        <v>10</v>
      </c>
      <c r="R186" s="8">
        <v>1</v>
      </c>
      <c r="S186" s="8">
        <v>2</v>
      </c>
      <c r="T186" s="8">
        <v>0</v>
      </c>
      <c r="U186" s="8">
        <v>3</v>
      </c>
      <c r="V186" s="8">
        <v>6</v>
      </c>
      <c r="W186" t="s">
        <v>473</v>
      </c>
      <c r="X186" t="s">
        <v>473</v>
      </c>
      <c r="Y186" t="s">
        <v>473</v>
      </c>
      <c r="Z186" t="s">
        <v>473</v>
      </c>
      <c r="AA186" t="s">
        <v>473</v>
      </c>
      <c r="AB186" t="s">
        <v>473</v>
      </c>
      <c r="AC186" s="10">
        <v>3</v>
      </c>
      <c r="AD186" s="10">
        <v>11</v>
      </c>
      <c r="AE186" t="s">
        <v>473</v>
      </c>
    </row>
    <row r="187" spans="1:31" x14ac:dyDescent="0.25">
      <c r="A187">
        <v>3518</v>
      </c>
      <c r="B187">
        <v>1983</v>
      </c>
      <c r="C187" t="s">
        <v>466</v>
      </c>
      <c r="D187" t="s">
        <v>34</v>
      </c>
      <c r="E187" t="str">
        <f>IF(OR(Table1[[#This Row],[marital_status]]="Married", Table1[[#This Row],[marital_status]]="Together"), "Partnered", "Single")</f>
        <v>Partnered</v>
      </c>
      <c r="F187" s="7">
        <v>25271</v>
      </c>
      <c r="G187" s="8">
        <v>1</v>
      </c>
      <c r="H187" s="8">
        <v>0</v>
      </c>
      <c r="I187" s="8">
        <f>Table1[[#This Row],[kids]]+Table1[[#This Row],[teens]]</f>
        <v>1</v>
      </c>
      <c r="J187" s="9">
        <v>41248</v>
      </c>
      <c r="K187" s="8">
        <v>45</v>
      </c>
      <c r="L187" s="6">
        <v>10</v>
      </c>
      <c r="M187" s="5">
        <v>1</v>
      </c>
      <c r="N187" s="5">
        <v>18</v>
      </c>
      <c r="O187" s="5">
        <v>10</v>
      </c>
      <c r="P187" s="5">
        <v>4</v>
      </c>
      <c r="Q187" s="5">
        <v>7</v>
      </c>
      <c r="R187" s="8">
        <v>1</v>
      </c>
      <c r="S187" s="8">
        <v>1</v>
      </c>
      <c r="T187" s="8">
        <v>1</v>
      </c>
      <c r="U187" s="8">
        <v>2</v>
      </c>
      <c r="V187" s="8">
        <v>9</v>
      </c>
      <c r="W187" t="s">
        <v>473</v>
      </c>
      <c r="X187" t="s">
        <v>473</v>
      </c>
      <c r="Y187" t="s">
        <v>473</v>
      </c>
      <c r="Z187" t="s">
        <v>473</v>
      </c>
      <c r="AA187" t="s">
        <v>473</v>
      </c>
      <c r="AB187" t="s">
        <v>473</v>
      </c>
      <c r="AC187" s="10">
        <v>3</v>
      </c>
      <c r="AD187" s="10">
        <v>11</v>
      </c>
      <c r="AE187" t="s">
        <v>473</v>
      </c>
    </row>
    <row r="188" spans="1:31" x14ac:dyDescent="0.25">
      <c r="A188">
        <v>5823</v>
      </c>
      <c r="B188">
        <v>1970</v>
      </c>
      <c r="C188" t="s">
        <v>33</v>
      </c>
      <c r="D188" t="s">
        <v>30</v>
      </c>
      <c r="E188" t="str">
        <f>IF(OR(Table1[[#This Row],[marital_status]]="Married", Table1[[#This Row],[marital_status]]="Together"), "Partnered", "Single")</f>
        <v>Single</v>
      </c>
      <c r="F188" s="7">
        <v>32303</v>
      </c>
      <c r="G188" s="8">
        <v>0</v>
      </c>
      <c r="H188" s="8">
        <v>1</v>
      </c>
      <c r="I188" s="8">
        <f>Table1[[#This Row],[kids]]+Table1[[#This Row],[teens]]</f>
        <v>1</v>
      </c>
      <c r="J188" s="9">
        <v>41706</v>
      </c>
      <c r="K188" s="8">
        <v>63</v>
      </c>
      <c r="L188" s="6">
        <v>35</v>
      </c>
      <c r="M188" s="5">
        <v>0</v>
      </c>
      <c r="N188" s="5">
        <v>2</v>
      </c>
      <c r="O188" s="5">
        <v>0</v>
      </c>
      <c r="P188" s="5">
        <v>0</v>
      </c>
      <c r="Q188" s="5">
        <v>2</v>
      </c>
      <c r="R188" s="8">
        <v>2</v>
      </c>
      <c r="S188" s="8">
        <v>1</v>
      </c>
      <c r="T188" s="8">
        <v>0</v>
      </c>
      <c r="U188" s="8">
        <v>4</v>
      </c>
      <c r="V188" s="8">
        <v>5</v>
      </c>
      <c r="W188" t="s">
        <v>473</v>
      </c>
      <c r="X188" t="s">
        <v>473</v>
      </c>
      <c r="Y188" t="s">
        <v>473</v>
      </c>
      <c r="Z188" t="s">
        <v>473</v>
      </c>
      <c r="AA188" t="s">
        <v>473</v>
      </c>
      <c r="AB188" t="s">
        <v>473</v>
      </c>
      <c r="AC188" s="10">
        <v>3</v>
      </c>
      <c r="AD188" s="10">
        <v>11</v>
      </c>
      <c r="AE188" t="s">
        <v>473</v>
      </c>
    </row>
    <row r="189" spans="1:31" x14ac:dyDescent="0.25">
      <c r="A189">
        <v>3934</v>
      </c>
      <c r="B189">
        <v>1966</v>
      </c>
      <c r="C189" t="s">
        <v>466</v>
      </c>
      <c r="D189" t="s">
        <v>34</v>
      </c>
      <c r="E189" t="str">
        <f>IF(OR(Table1[[#This Row],[marital_status]]="Married", Table1[[#This Row],[marital_status]]="Together"), "Partnered", "Single")</f>
        <v>Partnered</v>
      </c>
      <c r="F189" s="7">
        <v>61286</v>
      </c>
      <c r="G189" s="8">
        <v>0</v>
      </c>
      <c r="H189" s="8">
        <v>1</v>
      </c>
      <c r="I189" s="8">
        <f>Table1[[#This Row],[kids]]+Table1[[#This Row],[teens]]</f>
        <v>1</v>
      </c>
      <c r="J189" s="9">
        <v>41488</v>
      </c>
      <c r="K189" s="8">
        <v>34</v>
      </c>
      <c r="L189" s="6">
        <v>356</v>
      </c>
      <c r="M189" s="5">
        <v>0</v>
      </c>
      <c r="N189" s="5">
        <v>107</v>
      </c>
      <c r="O189" s="5">
        <v>19</v>
      </c>
      <c r="P189" s="5">
        <v>9</v>
      </c>
      <c r="Q189" s="5">
        <v>117</v>
      </c>
      <c r="R189" s="8">
        <v>2</v>
      </c>
      <c r="S189" s="8">
        <v>7</v>
      </c>
      <c r="T189" s="8">
        <v>1</v>
      </c>
      <c r="U189" s="8">
        <v>8</v>
      </c>
      <c r="V189" s="8">
        <v>5</v>
      </c>
      <c r="W189" t="s">
        <v>473</v>
      </c>
      <c r="X189" t="s">
        <v>473</v>
      </c>
      <c r="Y189" t="s">
        <v>473</v>
      </c>
      <c r="Z189" t="s">
        <v>473</v>
      </c>
      <c r="AA189" t="s">
        <v>473</v>
      </c>
      <c r="AB189" t="s">
        <v>473</v>
      </c>
      <c r="AC189" s="10">
        <v>3</v>
      </c>
      <c r="AD189" s="10">
        <v>11</v>
      </c>
      <c r="AE189" t="s">
        <v>473</v>
      </c>
    </row>
    <row r="190" spans="1:31" x14ac:dyDescent="0.25">
      <c r="A190">
        <v>6982</v>
      </c>
      <c r="B190">
        <v>1976</v>
      </c>
      <c r="C190" t="s">
        <v>466</v>
      </c>
      <c r="D190" t="s">
        <v>34</v>
      </c>
      <c r="E190" t="str">
        <f>IF(OR(Table1[[#This Row],[marital_status]]="Married", Table1[[#This Row],[marital_status]]="Together"), "Partnered", "Single")</f>
        <v>Partnered</v>
      </c>
      <c r="F190" s="7">
        <v>74068</v>
      </c>
      <c r="G190" s="8">
        <v>0</v>
      </c>
      <c r="H190" s="8">
        <v>0</v>
      </c>
      <c r="I190" s="8">
        <f>Table1[[#This Row],[kids]]+Table1[[#This Row],[teens]]</f>
        <v>0</v>
      </c>
      <c r="J190" s="9">
        <v>41352</v>
      </c>
      <c r="K190" s="8">
        <v>14</v>
      </c>
      <c r="L190" s="6">
        <v>783</v>
      </c>
      <c r="M190" s="5">
        <v>30</v>
      </c>
      <c r="N190" s="5">
        <v>537</v>
      </c>
      <c r="O190" s="5">
        <v>140</v>
      </c>
      <c r="P190" s="5">
        <v>76</v>
      </c>
      <c r="Q190" s="5">
        <v>15</v>
      </c>
      <c r="R190" s="8">
        <v>1</v>
      </c>
      <c r="S190" s="8">
        <v>4</v>
      </c>
      <c r="T190" s="8">
        <v>10</v>
      </c>
      <c r="U190" s="8">
        <v>9</v>
      </c>
      <c r="V190" s="8">
        <v>2</v>
      </c>
      <c r="W190" t="s">
        <v>473</v>
      </c>
      <c r="X190" t="s">
        <v>473</v>
      </c>
      <c r="Y190" t="s">
        <v>473</v>
      </c>
      <c r="Z190" t="s">
        <v>473</v>
      </c>
      <c r="AA190" t="s">
        <v>473</v>
      </c>
      <c r="AB190" t="s">
        <v>473</v>
      </c>
      <c r="AC190" s="10">
        <v>3</v>
      </c>
      <c r="AD190" s="10">
        <v>11</v>
      </c>
      <c r="AE190" t="s">
        <v>473</v>
      </c>
    </row>
    <row r="191" spans="1:31" x14ac:dyDescent="0.25">
      <c r="A191">
        <v>6431</v>
      </c>
      <c r="B191">
        <v>1964</v>
      </c>
      <c r="C191" t="s">
        <v>33</v>
      </c>
      <c r="D191" t="s">
        <v>34</v>
      </c>
      <c r="E191" t="str">
        <f>IF(OR(Table1[[#This Row],[marital_status]]="Married", Table1[[#This Row],[marital_status]]="Together"), "Partnered", "Single")</f>
        <v>Partnered</v>
      </c>
      <c r="F191" s="7">
        <v>45759</v>
      </c>
      <c r="G191" s="8">
        <v>1</v>
      </c>
      <c r="H191" s="8">
        <v>1</v>
      </c>
      <c r="I191" s="8">
        <f>Table1[[#This Row],[kids]]+Table1[[#This Row],[teens]]</f>
        <v>2</v>
      </c>
      <c r="J191" s="9">
        <v>41328</v>
      </c>
      <c r="K191" s="8">
        <v>13</v>
      </c>
      <c r="L191" s="6">
        <v>42</v>
      </c>
      <c r="M191" s="5">
        <v>1</v>
      </c>
      <c r="N191" s="5">
        <v>18</v>
      </c>
      <c r="O191" s="5">
        <v>3</v>
      </c>
      <c r="P191" s="5">
        <v>0</v>
      </c>
      <c r="Q191" s="5">
        <v>4</v>
      </c>
      <c r="R191" s="8">
        <v>2</v>
      </c>
      <c r="S191" s="8">
        <v>2</v>
      </c>
      <c r="T191" s="8">
        <v>0</v>
      </c>
      <c r="U191" s="8">
        <v>3</v>
      </c>
      <c r="V191" s="8">
        <v>7</v>
      </c>
      <c r="W191" t="s">
        <v>473</v>
      </c>
      <c r="X191" t="s">
        <v>473</v>
      </c>
      <c r="Y191" t="s">
        <v>473</v>
      </c>
      <c r="Z191" t="s">
        <v>473</v>
      </c>
      <c r="AA191" t="s">
        <v>473</v>
      </c>
      <c r="AB191" t="s">
        <v>473</v>
      </c>
      <c r="AC191" s="10">
        <v>3</v>
      </c>
      <c r="AD191" s="10">
        <v>11</v>
      </c>
      <c r="AE191" t="s">
        <v>473</v>
      </c>
    </row>
    <row r="192" spans="1:31" x14ac:dyDescent="0.25">
      <c r="A192">
        <v>9733</v>
      </c>
      <c r="B192">
        <v>1978</v>
      </c>
      <c r="C192" t="s">
        <v>41</v>
      </c>
      <c r="D192" t="s">
        <v>31</v>
      </c>
      <c r="E192" t="str">
        <f>IF(OR(Table1[[#This Row],[marital_status]]="Married", Table1[[#This Row],[marital_status]]="Together"), "Partnered", "Single")</f>
        <v>Partnered</v>
      </c>
      <c r="F192" s="7">
        <v>24882</v>
      </c>
      <c r="G192" s="8">
        <v>1</v>
      </c>
      <c r="H192" s="8">
        <v>0</v>
      </c>
      <c r="I192" s="8">
        <f>Table1[[#This Row],[kids]]+Table1[[#This Row],[teens]]</f>
        <v>1</v>
      </c>
      <c r="J192" s="9">
        <v>41161</v>
      </c>
      <c r="K192" s="8">
        <v>52</v>
      </c>
      <c r="L192" s="6">
        <v>1</v>
      </c>
      <c r="M192" s="5">
        <v>4</v>
      </c>
      <c r="N192" s="5">
        <v>10</v>
      </c>
      <c r="O192" s="5">
        <v>29</v>
      </c>
      <c r="P192" s="5">
        <v>0</v>
      </c>
      <c r="Q192" s="5">
        <v>36</v>
      </c>
      <c r="R192" s="8">
        <v>1</v>
      </c>
      <c r="S192" s="8">
        <v>1</v>
      </c>
      <c r="T192" s="8">
        <v>1</v>
      </c>
      <c r="U192" s="8">
        <v>2</v>
      </c>
      <c r="V192" s="8">
        <v>6</v>
      </c>
      <c r="W192" t="s">
        <v>474</v>
      </c>
      <c r="X192" t="s">
        <v>473</v>
      </c>
      <c r="Y192" t="s">
        <v>473</v>
      </c>
      <c r="Z192" t="s">
        <v>473</v>
      </c>
      <c r="AA192" t="s">
        <v>473</v>
      </c>
      <c r="AB192" t="s">
        <v>473</v>
      </c>
      <c r="AC192" s="10">
        <v>3</v>
      </c>
      <c r="AD192" s="10">
        <v>11</v>
      </c>
      <c r="AE192" t="s">
        <v>473</v>
      </c>
    </row>
    <row r="193" spans="1:31" x14ac:dyDescent="0.25">
      <c r="A193">
        <v>5602</v>
      </c>
      <c r="B193">
        <v>1989</v>
      </c>
      <c r="C193" t="s">
        <v>33</v>
      </c>
      <c r="D193" t="s">
        <v>31</v>
      </c>
      <c r="E193" t="str">
        <f>IF(OR(Table1[[#This Row],[marital_status]]="Married", Table1[[#This Row],[marital_status]]="Together"), "Partnered", "Single")</f>
        <v>Partnered</v>
      </c>
      <c r="F193" s="7">
        <v>66973</v>
      </c>
      <c r="G193" s="8">
        <v>0</v>
      </c>
      <c r="H193" s="8">
        <v>0</v>
      </c>
      <c r="I193" s="8">
        <f>Table1[[#This Row],[kids]]+Table1[[#This Row],[teens]]</f>
        <v>0</v>
      </c>
      <c r="J193" s="9">
        <v>41411</v>
      </c>
      <c r="K193" s="8">
        <v>98</v>
      </c>
      <c r="L193" s="6">
        <v>466</v>
      </c>
      <c r="M193" s="5">
        <v>22</v>
      </c>
      <c r="N193" s="5">
        <v>432</v>
      </c>
      <c r="O193" s="5">
        <v>147</v>
      </c>
      <c r="P193" s="5">
        <v>113</v>
      </c>
      <c r="Q193" s="5">
        <v>102</v>
      </c>
      <c r="R193" s="8">
        <v>1</v>
      </c>
      <c r="S193" s="8">
        <v>8</v>
      </c>
      <c r="T193" s="8">
        <v>7</v>
      </c>
      <c r="U193" s="8">
        <v>12</v>
      </c>
      <c r="V193" s="8">
        <v>3</v>
      </c>
      <c r="W193" t="s">
        <v>473</v>
      </c>
      <c r="X193" t="s">
        <v>473</v>
      </c>
      <c r="Y193" t="s">
        <v>473</v>
      </c>
      <c r="Z193" t="s">
        <v>473</v>
      </c>
      <c r="AA193" t="s">
        <v>473</v>
      </c>
      <c r="AB193" t="s">
        <v>473</v>
      </c>
      <c r="AC193" s="10">
        <v>3</v>
      </c>
      <c r="AD193" s="10">
        <v>11</v>
      </c>
      <c r="AE193" t="s">
        <v>473</v>
      </c>
    </row>
    <row r="194" spans="1:31" x14ac:dyDescent="0.25">
      <c r="A194">
        <v>7829</v>
      </c>
      <c r="B194">
        <v>1900</v>
      </c>
      <c r="C194" t="s">
        <v>46</v>
      </c>
      <c r="D194" t="s">
        <v>37</v>
      </c>
      <c r="E194" t="str">
        <f>IF(OR(Table1[[#This Row],[marital_status]]="Married", Table1[[#This Row],[marital_status]]="Together"), "Partnered", "Single")</f>
        <v>Single</v>
      </c>
      <c r="F194" s="7">
        <v>36640</v>
      </c>
      <c r="G194" s="8">
        <v>1</v>
      </c>
      <c r="H194" s="8">
        <v>0</v>
      </c>
      <c r="I194" s="8">
        <f>Table1[[#This Row],[kids]]+Table1[[#This Row],[teens]]</f>
        <v>1</v>
      </c>
      <c r="J194" s="9">
        <v>41543</v>
      </c>
      <c r="K194" s="8">
        <v>99</v>
      </c>
      <c r="L194" s="6">
        <v>15</v>
      </c>
      <c r="M194" s="5">
        <v>6</v>
      </c>
      <c r="N194" s="5">
        <v>8</v>
      </c>
      <c r="O194" s="5">
        <v>7</v>
      </c>
      <c r="P194" s="5">
        <v>4</v>
      </c>
      <c r="Q194" s="5">
        <v>25</v>
      </c>
      <c r="R194" s="8">
        <v>1</v>
      </c>
      <c r="S194" s="8">
        <v>2</v>
      </c>
      <c r="T194" s="8">
        <v>1</v>
      </c>
      <c r="U194" s="8">
        <v>2</v>
      </c>
      <c r="V194" s="8">
        <v>5</v>
      </c>
      <c r="W194" t="s">
        <v>473</v>
      </c>
      <c r="X194" t="s">
        <v>473</v>
      </c>
      <c r="Y194" t="s">
        <v>473</v>
      </c>
      <c r="Z194" t="s">
        <v>473</v>
      </c>
      <c r="AA194" t="s">
        <v>473</v>
      </c>
      <c r="AB194" t="s">
        <v>474</v>
      </c>
      <c r="AC194" s="10">
        <v>3</v>
      </c>
      <c r="AD194" s="10">
        <v>11</v>
      </c>
      <c r="AE194" t="s">
        <v>473</v>
      </c>
    </row>
    <row r="195" spans="1:31" x14ac:dyDescent="0.25">
      <c r="A195">
        <v>1324</v>
      </c>
      <c r="B195">
        <v>1988</v>
      </c>
      <c r="C195" t="s">
        <v>466</v>
      </c>
      <c r="D195" t="s">
        <v>34</v>
      </c>
      <c r="E195" t="str">
        <f>IF(OR(Table1[[#This Row],[marital_status]]="Married", Table1[[#This Row],[marital_status]]="Together"), "Partnered", "Single")</f>
        <v>Partnered</v>
      </c>
      <c r="F195" s="7">
        <v>38872</v>
      </c>
      <c r="G195" s="8">
        <v>1</v>
      </c>
      <c r="H195" s="8">
        <v>0</v>
      </c>
      <c r="I195" s="8">
        <f>Table1[[#This Row],[kids]]+Table1[[#This Row],[teens]]</f>
        <v>1</v>
      </c>
      <c r="J195" s="9">
        <v>41424</v>
      </c>
      <c r="K195" s="8">
        <v>93</v>
      </c>
      <c r="L195" s="6">
        <v>23</v>
      </c>
      <c r="M195" s="5">
        <v>3</v>
      </c>
      <c r="N195" s="5">
        <v>21</v>
      </c>
      <c r="O195" s="5">
        <v>3</v>
      </c>
      <c r="P195" s="5">
        <v>19</v>
      </c>
      <c r="Q195" s="5">
        <v>22</v>
      </c>
      <c r="R195" s="8">
        <v>2</v>
      </c>
      <c r="S195" s="8">
        <v>3</v>
      </c>
      <c r="T195" s="8">
        <v>0</v>
      </c>
      <c r="U195" s="8">
        <v>3</v>
      </c>
      <c r="V195" s="8">
        <v>8</v>
      </c>
      <c r="W195" t="s">
        <v>473</v>
      </c>
      <c r="X195" t="s">
        <v>473</v>
      </c>
      <c r="Y195" t="s">
        <v>473</v>
      </c>
      <c r="Z195" t="s">
        <v>473</v>
      </c>
      <c r="AA195" t="s">
        <v>473</v>
      </c>
      <c r="AB195" t="s">
        <v>473</v>
      </c>
      <c r="AC195" s="10">
        <v>3</v>
      </c>
      <c r="AD195" s="10">
        <v>11</v>
      </c>
      <c r="AE195" t="s">
        <v>473</v>
      </c>
    </row>
    <row r="196" spans="1:31" x14ac:dyDescent="0.25">
      <c r="A196">
        <v>326</v>
      </c>
      <c r="B196">
        <v>1973</v>
      </c>
      <c r="C196" t="s">
        <v>466</v>
      </c>
      <c r="D196" t="s">
        <v>34</v>
      </c>
      <c r="E196" t="str">
        <f>IF(OR(Table1[[#This Row],[marital_status]]="Married", Table1[[#This Row],[marital_status]]="Together"), "Partnered", "Single")</f>
        <v>Partnered</v>
      </c>
      <c r="F196" s="7">
        <v>51148</v>
      </c>
      <c r="G196" s="8">
        <v>1</v>
      </c>
      <c r="H196" s="8">
        <v>1</v>
      </c>
      <c r="I196" s="8">
        <f>Table1[[#This Row],[kids]]+Table1[[#This Row],[teens]]</f>
        <v>2</v>
      </c>
      <c r="J196" s="9">
        <v>41323</v>
      </c>
      <c r="K196" s="8">
        <v>38</v>
      </c>
      <c r="L196" s="6">
        <v>235</v>
      </c>
      <c r="M196" s="5">
        <v>6</v>
      </c>
      <c r="N196" s="5">
        <v>45</v>
      </c>
      <c r="O196" s="5">
        <v>8</v>
      </c>
      <c r="P196" s="5">
        <v>9</v>
      </c>
      <c r="Q196" s="5">
        <v>12</v>
      </c>
      <c r="R196" s="8">
        <v>4</v>
      </c>
      <c r="S196" s="8">
        <v>5</v>
      </c>
      <c r="T196" s="8">
        <v>1</v>
      </c>
      <c r="U196" s="8">
        <v>6</v>
      </c>
      <c r="V196" s="8">
        <v>6</v>
      </c>
      <c r="W196" t="s">
        <v>473</v>
      </c>
      <c r="X196" t="s">
        <v>473</v>
      </c>
      <c r="Y196" t="s">
        <v>473</v>
      </c>
      <c r="Z196" t="s">
        <v>473</v>
      </c>
      <c r="AA196" t="s">
        <v>473</v>
      </c>
      <c r="AB196" t="s">
        <v>473</v>
      </c>
      <c r="AC196" s="10">
        <v>3</v>
      </c>
      <c r="AD196" s="10">
        <v>11</v>
      </c>
      <c r="AE196" t="s">
        <v>473</v>
      </c>
    </row>
    <row r="197" spans="1:31" x14ac:dyDescent="0.25">
      <c r="A197">
        <v>7224</v>
      </c>
      <c r="B197">
        <v>1977</v>
      </c>
      <c r="C197" t="s">
        <v>466</v>
      </c>
      <c r="D197" t="s">
        <v>34</v>
      </c>
      <c r="E197" t="str">
        <f>IF(OR(Table1[[#This Row],[marital_status]]="Married", Table1[[#This Row],[marital_status]]="Together"), "Partnered", "Single")</f>
        <v>Partnered</v>
      </c>
      <c r="F197" s="7">
        <v>31353</v>
      </c>
      <c r="G197" s="8">
        <v>1</v>
      </c>
      <c r="H197" s="8">
        <v>1</v>
      </c>
      <c r="I197" s="8">
        <f>Table1[[#This Row],[kids]]+Table1[[#This Row],[teens]]</f>
        <v>2</v>
      </c>
      <c r="J197" s="9">
        <v>41637</v>
      </c>
      <c r="K197" s="8">
        <v>24</v>
      </c>
      <c r="L197" s="6">
        <v>10</v>
      </c>
      <c r="M197" s="5">
        <v>0</v>
      </c>
      <c r="N197" s="5">
        <v>10</v>
      </c>
      <c r="O197" s="5">
        <v>3</v>
      </c>
      <c r="P197" s="5">
        <v>1</v>
      </c>
      <c r="Q197" s="5">
        <v>7</v>
      </c>
      <c r="R197" s="8">
        <v>2</v>
      </c>
      <c r="S197" s="8">
        <v>1</v>
      </c>
      <c r="T197" s="8">
        <v>1</v>
      </c>
      <c r="U197" s="8">
        <v>2</v>
      </c>
      <c r="V197" s="8">
        <v>8</v>
      </c>
      <c r="W197" t="s">
        <v>473</v>
      </c>
      <c r="X197" t="s">
        <v>473</v>
      </c>
      <c r="Y197" t="s">
        <v>473</v>
      </c>
      <c r="Z197" t="s">
        <v>473</v>
      </c>
      <c r="AA197" t="s">
        <v>473</v>
      </c>
      <c r="AB197" t="s">
        <v>473</v>
      </c>
      <c r="AC197" s="10">
        <v>3</v>
      </c>
      <c r="AD197" s="10">
        <v>11</v>
      </c>
      <c r="AE197" t="s">
        <v>473</v>
      </c>
    </row>
    <row r="198" spans="1:31" x14ac:dyDescent="0.25">
      <c r="A198">
        <v>6999</v>
      </c>
      <c r="B198">
        <v>1980</v>
      </c>
      <c r="C198" t="s">
        <v>36</v>
      </c>
      <c r="D198" t="s">
        <v>34</v>
      </c>
      <c r="E198" t="str">
        <f>IF(OR(Table1[[#This Row],[marital_status]]="Married", Table1[[#This Row],[marital_status]]="Together"), "Partnered", "Single")</f>
        <v>Partnered</v>
      </c>
      <c r="F198" s="7">
        <v>69661</v>
      </c>
      <c r="G198" s="8">
        <v>0</v>
      </c>
      <c r="H198" s="8">
        <v>0</v>
      </c>
      <c r="I198" s="8">
        <f>Table1[[#This Row],[kids]]+Table1[[#This Row],[teens]]</f>
        <v>0</v>
      </c>
      <c r="J198" s="9">
        <v>41772</v>
      </c>
      <c r="K198" s="8">
        <v>80</v>
      </c>
      <c r="L198" s="6">
        <v>656</v>
      </c>
      <c r="M198" s="5">
        <v>16</v>
      </c>
      <c r="N198" s="5">
        <v>106</v>
      </c>
      <c r="O198" s="5">
        <v>32</v>
      </c>
      <c r="P198" s="5">
        <v>16</v>
      </c>
      <c r="Q198" s="5">
        <v>8</v>
      </c>
      <c r="R198" s="8">
        <v>1</v>
      </c>
      <c r="S198" s="8">
        <v>7</v>
      </c>
      <c r="T198" s="8">
        <v>3</v>
      </c>
      <c r="U198" s="8">
        <v>12</v>
      </c>
      <c r="V198" s="8">
        <v>3</v>
      </c>
      <c r="W198" t="s">
        <v>473</v>
      </c>
      <c r="X198" t="s">
        <v>473</v>
      </c>
      <c r="Y198" t="s">
        <v>473</v>
      </c>
      <c r="Z198" t="s">
        <v>473</v>
      </c>
      <c r="AA198" t="s">
        <v>473</v>
      </c>
      <c r="AB198" t="s">
        <v>473</v>
      </c>
      <c r="AC198" s="10">
        <v>3</v>
      </c>
      <c r="AD198" s="10">
        <v>11</v>
      </c>
      <c r="AE198" t="s">
        <v>473</v>
      </c>
    </row>
    <row r="199" spans="1:31" x14ac:dyDescent="0.25">
      <c r="A199">
        <v>9938</v>
      </c>
      <c r="B199">
        <v>1954</v>
      </c>
      <c r="C199" t="s">
        <v>466</v>
      </c>
      <c r="D199" t="s">
        <v>34</v>
      </c>
      <c r="E199" t="str">
        <f>IF(OR(Table1[[#This Row],[marital_status]]="Married", Table1[[#This Row],[marital_status]]="Together"), "Partnered", "Single")</f>
        <v>Partnered</v>
      </c>
      <c r="F199" s="7">
        <v>80067</v>
      </c>
      <c r="G199" s="8">
        <v>0</v>
      </c>
      <c r="H199" s="8">
        <v>0</v>
      </c>
      <c r="I199" s="8">
        <f>Table1[[#This Row],[kids]]+Table1[[#This Row],[teens]]</f>
        <v>0</v>
      </c>
      <c r="J199" s="9">
        <v>41536</v>
      </c>
      <c r="K199" s="8">
        <v>82</v>
      </c>
      <c r="L199" s="6">
        <v>519</v>
      </c>
      <c r="M199" s="5">
        <v>17</v>
      </c>
      <c r="N199" s="5">
        <v>813</v>
      </c>
      <c r="O199" s="5">
        <v>27</v>
      </c>
      <c r="P199" s="5">
        <v>173</v>
      </c>
      <c r="Q199" s="5">
        <v>51</v>
      </c>
      <c r="R199" s="8">
        <v>1</v>
      </c>
      <c r="S199" s="8">
        <v>4</v>
      </c>
      <c r="T199" s="8">
        <v>6</v>
      </c>
      <c r="U199" s="8">
        <v>6</v>
      </c>
      <c r="V199" s="8">
        <v>2</v>
      </c>
      <c r="W199" t="s">
        <v>473</v>
      </c>
      <c r="X199" t="s">
        <v>473</v>
      </c>
      <c r="Y199" t="s">
        <v>474</v>
      </c>
      <c r="Z199" t="s">
        <v>473</v>
      </c>
      <c r="AA199" t="s">
        <v>473</v>
      </c>
      <c r="AB199" t="s">
        <v>473</v>
      </c>
      <c r="AC199" s="10">
        <v>3</v>
      </c>
      <c r="AD199" s="10">
        <v>11</v>
      </c>
      <c r="AE199" t="s">
        <v>473</v>
      </c>
    </row>
    <row r="200" spans="1:31" x14ac:dyDescent="0.25">
      <c r="A200">
        <v>6422</v>
      </c>
      <c r="B200">
        <v>1954</v>
      </c>
      <c r="C200" t="s">
        <v>466</v>
      </c>
      <c r="D200" t="s">
        <v>34</v>
      </c>
      <c r="E200" t="str">
        <f>IF(OR(Table1[[#This Row],[marital_status]]="Married", Table1[[#This Row],[marital_status]]="Together"), "Partnered", "Single")</f>
        <v>Partnered</v>
      </c>
      <c r="F200" s="7">
        <v>86718</v>
      </c>
      <c r="G200" s="8">
        <v>0</v>
      </c>
      <c r="H200" s="8">
        <v>0</v>
      </c>
      <c r="I200" s="8">
        <f>Table1[[#This Row],[kids]]+Table1[[#This Row],[teens]]</f>
        <v>0</v>
      </c>
      <c r="J200" s="9">
        <v>41291</v>
      </c>
      <c r="K200" s="8">
        <v>20</v>
      </c>
      <c r="L200" s="6">
        <v>344</v>
      </c>
      <c r="M200" s="5">
        <v>189</v>
      </c>
      <c r="N200" s="5">
        <v>482</v>
      </c>
      <c r="O200" s="5">
        <v>50</v>
      </c>
      <c r="P200" s="5">
        <v>33</v>
      </c>
      <c r="Q200" s="5">
        <v>172</v>
      </c>
      <c r="R200" s="8">
        <v>1</v>
      </c>
      <c r="S200" s="8">
        <v>5</v>
      </c>
      <c r="T200" s="8">
        <v>6</v>
      </c>
      <c r="U200" s="8">
        <v>5</v>
      </c>
      <c r="V200" s="8">
        <v>2</v>
      </c>
      <c r="W200" t="s">
        <v>473</v>
      </c>
      <c r="X200" t="s">
        <v>473</v>
      </c>
      <c r="Y200" t="s">
        <v>473</v>
      </c>
      <c r="Z200" t="s">
        <v>473</v>
      </c>
      <c r="AA200" t="s">
        <v>473</v>
      </c>
      <c r="AB200" t="s">
        <v>473</v>
      </c>
      <c r="AC200" s="10">
        <v>3</v>
      </c>
      <c r="AD200" s="10">
        <v>11</v>
      </c>
      <c r="AE200" t="s">
        <v>473</v>
      </c>
    </row>
    <row r="201" spans="1:31" x14ac:dyDescent="0.25">
      <c r="A201">
        <v>3182</v>
      </c>
      <c r="B201">
        <v>1973</v>
      </c>
      <c r="C201" t="s">
        <v>33</v>
      </c>
      <c r="D201" t="s">
        <v>30</v>
      </c>
      <c r="E201" t="str">
        <f>IF(OR(Table1[[#This Row],[marital_status]]="Married", Table1[[#This Row],[marital_status]]="Together"), "Partnered", "Single")</f>
        <v>Single</v>
      </c>
      <c r="F201" s="7">
        <v>46854</v>
      </c>
      <c r="G201" s="8">
        <v>1</v>
      </c>
      <c r="H201" s="8">
        <v>1</v>
      </c>
      <c r="I201" s="8">
        <f>Table1[[#This Row],[kids]]+Table1[[#This Row],[teens]]</f>
        <v>2</v>
      </c>
      <c r="J201" s="9">
        <v>41729</v>
      </c>
      <c r="K201" s="8">
        <v>81</v>
      </c>
      <c r="L201" s="6">
        <v>96</v>
      </c>
      <c r="M201" s="5">
        <v>1</v>
      </c>
      <c r="N201" s="5">
        <v>79</v>
      </c>
      <c r="O201" s="5">
        <v>7</v>
      </c>
      <c r="P201" s="5">
        <v>1</v>
      </c>
      <c r="Q201" s="5">
        <v>79</v>
      </c>
      <c r="R201" s="8">
        <v>6</v>
      </c>
      <c r="S201" s="8">
        <v>5</v>
      </c>
      <c r="T201" s="8">
        <v>1</v>
      </c>
      <c r="U201" s="8">
        <v>3</v>
      </c>
      <c r="V201" s="8">
        <v>8</v>
      </c>
      <c r="W201" t="s">
        <v>474</v>
      </c>
      <c r="X201" t="s">
        <v>473</v>
      </c>
      <c r="Y201" t="s">
        <v>473</v>
      </c>
      <c r="Z201" t="s">
        <v>473</v>
      </c>
      <c r="AA201" t="s">
        <v>473</v>
      </c>
      <c r="AB201" t="s">
        <v>473</v>
      </c>
      <c r="AC201" s="10">
        <v>3</v>
      </c>
      <c r="AD201" s="10">
        <v>11</v>
      </c>
      <c r="AE201" t="s">
        <v>474</v>
      </c>
    </row>
    <row r="202" spans="1:31" x14ac:dyDescent="0.25">
      <c r="A202">
        <v>7300</v>
      </c>
      <c r="B202">
        <v>1952</v>
      </c>
      <c r="C202" t="s">
        <v>466</v>
      </c>
      <c r="D202" t="s">
        <v>37</v>
      </c>
      <c r="E202" t="str">
        <f>IF(OR(Table1[[#This Row],[marital_status]]="Married", Table1[[#This Row],[marital_status]]="Together"), "Partnered", "Single")</f>
        <v>Single</v>
      </c>
      <c r="F202" s="7">
        <v>69142</v>
      </c>
      <c r="G202" s="8">
        <v>0</v>
      </c>
      <c r="H202" s="8">
        <v>1</v>
      </c>
      <c r="I202" s="8">
        <f>Table1[[#This Row],[kids]]+Table1[[#This Row],[teens]]</f>
        <v>1</v>
      </c>
      <c r="J202" s="9">
        <v>41819</v>
      </c>
      <c r="K202" s="8">
        <v>50</v>
      </c>
      <c r="L202" s="6">
        <v>448</v>
      </c>
      <c r="M202" s="5">
        <v>4</v>
      </c>
      <c r="N202" s="5">
        <v>34</v>
      </c>
      <c r="O202" s="5">
        <v>6</v>
      </c>
      <c r="P202" s="5">
        <v>4</v>
      </c>
      <c r="Q202" s="5">
        <v>39</v>
      </c>
      <c r="R202" s="8">
        <v>3</v>
      </c>
      <c r="S202" s="8">
        <v>8</v>
      </c>
      <c r="T202" s="8">
        <v>1</v>
      </c>
      <c r="U202" s="8">
        <v>7</v>
      </c>
      <c r="V202" s="8">
        <v>5</v>
      </c>
      <c r="W202" t="s">
        <v>473</v>
      </c>
      <c r="X202" t="s">
        <v>474</v>
      </c>
      <c r="Y202" t="s">
        <v>473</v>
      </c>
      <c r="Z202" t="s">
        <v>473</v>
      </c>
      <c r="AA202" t="s">
        <v>473</v>
      </c>
      <c r="AB202" t="s">
        <v>473</v>
      </c>
      <c r="AC202" s="10">
        <v>3</v>
      </c>
      <c r="AD202" s="10">
        <v>11</v>
      </c>
      <c r="AE202" t="s">
        <v>473</v>
      </c>
    </row>
    <row r="203" spans="1:31" x14ac:dyDescent="0.25">
      <c r="A203">
        <v>10424</v>
      </c>
      <c r="B203">
        <v>1968</v>
      </c>
      <c r="C203" t="s">
        <v>466</v>
      </c>
      <c r="D203" t="s">
        <v>30</v>
      </c>
      <c r="E203" t="str">
        <f>IF(OR(Table1[[#This Row],[marital_status]]="Married", Table1[[#This Row],[marital_status]]="Together"), "Partnered", "Single")</f>
        <v>Single</v>
      </c>
      <c r="F203" s="7">
        <v>75922</v>
      </c>
      <c r="G203" s="8">
        <v>0</v>
      </c>
      <c r="H203" s="8">
        <v>0</v>
      </c>
      <c r="I203" s="8">
        <f>Table1[[#This Row],[kids]]+Table1[[#This Row],[teens]]</f>
        <v>0</v>
      </c>
      <c r="J203" s="9">
        <v>41617</v>
      </c>
      <c r="K203" s="8">
        <v>60</v>
      </c>
      <c r="L203" s="6">
        <v>265</v>
      </c>
      <c r="M203" s="5">
        <v>138</v>
      </c>
      <c r="N203" s="5">
        <v>553</v>
      </c>
      <c r="O203" s="5">
        <v>224</v>
      </c>
      <c r="P203" s="5">
        <v>23</v>
      </c>
      <c r="Q203" s="5">
        <v>92</v>
      </c>
      <c r="R203" s="8">
        <v>1</v>
      </c>
      <c r="S203" s="8">
        <v>4</v>
      </c>
      <c r="T203" s="8">
        <v>4</v>
      </c>
      <c r="U203" s="8">
        <v>9</v>
      </c>
      <c r="V203" s="8">
        <v>1</v>
      </c>
      <c r="W203" t="s">
        <v>473</v>
      </c>
      <c r="X203" t="s">
        <v>473</v>
      </c>
      <c r="Y203" t="s">
        <v>473</v>
      </c>
      <c r="Z203" t="s">
        <v>473</v>
      </c>
      <c r="AA203" t="s">
        <v>473</v>
      </c>
      <c r="AB203" t="s">
        <v>473</v>
      </c>
      <c r="AC203" s="10">
        <v>3</v>
      </c>
      <c r="AD203" s="10">
        <v>11</v>
      </c>
      <c r="AE203" t="s">
        <v>473</v>
      </c>
    </row>
    <row r="204" spans="1:31" x14ac:dyDescent="0.25">
      <c r="A204">
        <v>8727</v>
      </c>
      <c r="B204">
        <v>1978</v>
      </c>
      <c r="C204" t="s">
        <v>466</v>
      </c>
      <c r="D204" t="s">
        <v>37</v>
      </c>
      <c r="E204" t="str">
        <f>IF(OR(Table1[[#This Row],[marital_status]]="Married", Table1[[#This Row],[marital_status]]="Together"), "Partnered", "Single")</f>
        <v>Single</v>
      </c>
      <c r="F204" s="7">
        <v>63693</v>
      </c>
      <c r="G204" s="8">
        <v>0</v>
      </c>
      <c r="H204" s="8">
        <v>1</v>
      </c>
      <c r="I204" s="8">
        <f>Table1[[#This Row],[kids]]+Table1[[#This Row],[teens]]</f>
        <v>1</v>
      </c>
      <c r="J204" s="9">
        <v>41561</v>
      </c>
      <c r="K204" s="8">
        <v>63</v>
      </c>
      <c r="L204" s="6">
        <v>587</v>
      </c>
      <c r="M204" s="5">
        <v>43</v>
      </c>
      <c r="N204" s="5">
        <v>337</v>
      </c>
      <c r="O204" s="5">
        <v>42</v>
      </c>
      <c r="P204" s="5">
        <v>87</v>
      </c>
      <c r="Q204" s="5">
        <v>54</v>
      </c>
      <c r="R204" s="8">
        <v>3</v>
      </c>
      <c r="S204" s="8">
        <v>11</v>
      </c>
      <c r="T204" s="8">
        <v>6</v>
      </c>
      <c r="U204" s="8">
        <v>9</v>
      </c>
      <c r="V204" s="8">
        <v>6</v>
      </c>
      <c r="W204" t="s">
        <v>473</v>
      </c>
      <c r="X204" t="s">
        <v>473</v>
      </c>
      <c r="Y204" t="s">
        <v>473</v>
      </c>
      <c r="Z204" t="s">
        <v>473</v>
      </c>
      <c r="AA204" t="s">
        <v>473</v>
      </c>
      <c r="AB204" t="s">
        <v>473</v>
      </c>
      <c r="AC204" s="10">
        <v>3</v>
      </c>
      <c r="AD204" s="10">
        <v>11</v>
      </c>
      <c r="AE204" t="s">
        <v>473</v>
      </c>
    </row>
    <row r="205" spans="1:31" x14ac:dyDescent="0.25">
      <c r="A205">
        <v>2798</v>
      </c>
      <c r="B205">
        <v>1977</v>
      </c>
      <c r="C205" t="s">
        <v>33</v>
      </c>
      <c r="D205" t="s">
        <v>31</v>
      </c>
      <c r="E205" t="str">
        <f>IF(OR(Table1[[#This Row],[marital_status]]="Married", Table1[[#This Row],[marital_status]]="Together"), "Partnered", "Single")</f>
        <v>Partnered</v>
      </c>
      <c r="F205" s="7">
        <v>102160</v>
      </c>
      <c r="G205" s="8">
        <v>0</v>
      </c>
      <c r="H205" s="8">
        <v>0</v>
      </c>
      <c r="I205" s="8">
        <f>Table1[[#This Row],[kids]]+Table1[[#This Row],[teens]]</f>
        <v>0</v>
      </c>
      <c r="J205" s="9">
        <v>41215</v>
      </c>
      <c r="K205" s="8">
        <v>54</v>
      </c>
      <c r="L205" s="6">
        <v>763</v>
      </c>
      <c r="M205" s="5">
        <v>29</v>
      </c>
      <c r="N205" s="5">
        <v>138</v>
      </c>
      <c r="O205" s="5">
        <v>76</v>
      </c>
      <c r="P205" s="5">
        <v>176</v>
      </c>
      <c r="Q205" s="5">
        <v>58</v>
      </c>
      <c r="R205" s="8">
        <v>0</v>
      </c>
      <c r="S205" s="8">
        <v>7</v>
      </c>
      <c r="T205" s="8">
        <v>9</v>
      </c>
      <c r="U205" s="8">
        <v>10</v>
      </c>
      <c r="V205" s="8">
        <v>4</v>
      </c>
      <c r="W205" t="s">
        <v>473</v>
      </c>
      <c r="X205" t="s">
        <v>474</v>
      </c>
      <c r="Y205" t="s">
        <v>474</v>
      </c>
      <c r="Z205" t="s">
        <v>474</v>
      </c>
      <c r="AA205" t="s">
        <v>473</v>
      </c>
      <c r="AB205" t="s">
        <v>473</v>
      </c>
      <c r="AC205" s="10">
        <v>3</v>
      </c>
      <c r="AD205" s="10">
        <v>11</v>
      </c>
      <c r="AE205" t="s">
        <v>474</v>
      </c>
    </row>
    <row r="206" spans="1:31" x14ac:dyDescent="0.25">
      <c r="A206">
        <v>1030</v>
      </c>
      <c r="B206">
        <v>1965</v>
      </c>
      <c r="C206" t="s">
        <v>33</v>
      </c>
      <c r="D206" t="s">
        <v>30</v>
      </c>
      <c r="E206" t="str">
        <f>IF(OR(Table1[[#This Row],[marital_status]]="Married", Table1[[#This Row],[marital_status]]="Together"), "Partnered", "Single")</f>
        <v>Single</v>
      </c>
      <c r="F206" s="7">
        <v>40637</v>
      </c>
      <c r="G206" s="8">
        <v>1</v>
      </c>
      <c r="H206" s="8">
        <v>1</v>
      </c>
      <c r="I206" s="8">
        <f>Table1[[#This Row],[kids]]+Table1[[#This Row],[teens]]</f>
        <v>2</v>
      </c>
      <c r="J206" s="9">
        <v>41472</v>
      </c>
      <c r="K206" s="8">
        <v>72</v>
      </c>
      <c r="L206" s="6">
        <v>22</v>
      </c>
      <c r="M206" s="5">
        <v>0</v>
      </c>
      <c r="N206" s="5">
        <v>13</v>
      </c>
      <c r="O206" s="5">
        <v>0</v>
      </c>
      <c r="P206" s="5">
        <v>0</v>
      </c>
      <c r="Q206" s="5">
        <v>3</v>
      </c>
      <c r="R206" s="8">
        <v>2</v>
      </c>
      <c r="S206" s="8">
        <v>1</v>
      </c>
      <c r="T206" s="8">
        <v>0</v>
      </c>
      <c r="U206" s="8">
        <v>3</v>
      </c>
      <c r="V206" s="8">
        <v>7</v>
      </c>
      <c r="W206" t="s">
        <v>473</v>
      </c>
      <c r="X206" t="s">
        <v>473</v>
      </c>
      <c r="Y206" t="s">
        <v>473</v>
      </c>
      <c r="Z206" t="s">
        <v>473</v>
      </c>
      <c r="AA206" t="s">
        <v>473</v>
      </c>
      <c r="AB206" t="s">
        <v>473</v>
      </c>
      <c r="AC206" s="10">
        <v>3</v>
      </c>
      <c r="AD206" s="10">
        <v>11</v>
      </c>
      <c r="AE206" t="s">
        <v>473</v>
      </c>
    </row>
    <row r="207" spans="1:31" x14ac:dyDescent="0.25">
      <c r="A207">
        <v>624</v>
      </c>
      <c r="B207">
        <v>1984</v>
      </c>
      <c r="C207" t="s">
        <v>36</v>
      </c>
      <c r="D207" t="s">
        <v>30</v>
      </c>
      <c r="E207" t="str">
        <f>IF(OR(Table1[[#This Row],[marital_status]]="Married", Table1[[#This Row],[marital_status]]="Together"), "Partnered", "Single")</f>
        <v>Single</v>
      </c>
      <c r="F207" s="7">
        <v>18890</v>
      </c>
      <c r="G207" s="8">
        <v>0</v>
      </c>
      <c r="H207" s="8">
        <v>0</v>
      </c>
      <c r="I207" s="8">
        <f>Table1[[#This Row],[kids]]+Table1[[#This Row],[teens]]</f>
        <v>0</v>
      </c>
      <c r="J207" s="9">
        <v>41223</v>
      </c>
      <c r="K207" s="8">
        <v>5</v>
      </c>
      <c r="L207" s="6">
        <v>6</v>
      </c>
      <c r="M207" s="5">
        <v>4</v>
      </c>
      <c r="N207" s="5">
        <v>1</v>
      </c>
      <c r="O207" s="5">
        <v>7</v>
      </c>
      <c r="P207" s="5">
        <v>2</v>
      </c>
      <c r="Q207" s="5">
        <v>15</v>
      </c>
      <c r="R207" s="8">
        <v>1</v>
      </c>
      <c r="S207" s="8">
        <v>0</v>
      </c>
      <c r="T207" s="8">
        <v>1</v>
      </c>
      <c r="U207" s="8">
        <v>2</v>
      </c>
      <c r="V207" s="8">
        <v>6</v>
      </c>
      <c r="W207" t="s">
        <v>474</v>
      </c>
      <c r="X207" t="s">
        <v>473</v>
      </c>
      <c r="Y207" t="s">
        <v>473</v>
      </c>
      <c r="Z207" t="s">
        <v>473</v>
      </c>
      <c r="AA207" t="s">
        <v>473</v>
      </c>
      <c r="AB207" t="s">
        <v>473</v>
      </c>
      <c r="AC207" s="10">
        <v>3</v>
      </c>
      <c r="AD207" s="10">
        <v>11</v>
      </c>
      <c r="AE207" t="s">
        <v>474</v>
      </c>
    </row>
    <row r="208" spans="1:31" x14ac:dyDescent="0.25">
      <c r="A208">
        <v>5176</v>
      </c>
      <c r="B208">
        <v>1988</v>
      </c>
      <c r="C208" t="s">
        <v>466</v>
      </c>
      <c r="D208" t="s">
        <v>31</v>
      </c>
      <c r="E208" t="str">
        <f>IF(OR(Table1[[#This Row],[marital_status]]="Married", Table1[[#This Row],[marital_status]]="Together"), "Partnered", "Single")</f>
        <v>Partnered</v>
      </c>
      <c r="F208" s="7">
        <v>29604</v>
      </c>
      <c r="G208" s="8">
        <v>1</v>
      </c>
      <c r="H208" s="8">
        <v>0</v>
      </c>
      <c r="I208" s="8">
        <f>Table1[[#This Row],[kids]]+Table1[[#This Row],[teens]]</f>
        <v>1</v>
      </c>
      <c r="J208" s="9">
        <v>41616</v>
      </c>
      <c r="K208" s="8">
        <v>88</v>
      </c>
      <c r="L208" s="6">
        <v>7</v>
      </c>
      <c r="M208" s="5">
        <v>6</v>
      </c>
      <c r="N208" s="5">
        <v>13</v>
      </c>
      <c r="O208" s="5">
        <v>7</v>
      </c>
      <c r="P208" s="5">
        <v>6</v>
      </c>
      <c r="Q208" s="5">
        <v>14</v>
      </c>
      <c r="R208" s="8">
        <v>1</v>
      </c>
      <c r="S208" s="8">
        <v>1</v>
      </c>
      <c r="T208" s="8">
        <v>0</v>
      </c>
      <c r="U208" s="8">
        <v>3</v>
      </c>
      <c r="V208" s="8">
        <v>9</v>
      </c>
      <c r="W208" t="s">
        <v>474</v>
      </c>
      <c r="X208" t="s">
        <v>473</v>
      </c>
      <c r="Y208" t="s">
        <v>473</v>
      </c>
      <c r="Z208" t="s">
        <v>473</v>
      </c>
      <c r="AA208" t="s">
        <v>473</v>
      </c>
      <c r="AB208" t="s">
        <v>473</v>
      </c>
      <c r="AC208" s="10">
        <v>3</v>
      </c>
      <c r="AD208" s="10">
        <v>11</v>
      </c>
      <c r="AE208" t="s">
        <v>473</v>
      </c>
    </row>
    <row r="209" spans="1:31" x14ac:dyDescent="0.25">
      <c r="A209">
        <v>5552</v>
      </c>
      <c r="B209">
        <v>1963</v>
      </c>
      <c r="C209" t="s">
        <v>36</v>
      </c>
      <c r="D209" t="s">
        <v>37</v>
      </c>
      <c r="E209" t="str">
        <f>IF(OR(Table1[[#This Row],[marital_status]]="Married", Table1[[#This Row],[marital_status]]="Together"), "Partnered", "Single")</f>
        <v>Single</v>
      </c>
      <c r="F209" s="7">
        <v>48721</v>
      </c>
      <c r="G209" s="8">
        <v>1</v>
      </c>
      <c r="H209" s="8">
        <v>1</v>
      </c>
      <c r="I209" s="8">
        <f>Table1[[#This Row],[kids]]+Table1[[#This Row],[teens]]</f>
        <v>2</v>
      </c>
      <c r="J209" s="9">
        <v>41407</v>
      </c>
      <c r="K209" s="8">
        <v>50</v>
      </c>
      <c r="L209" s="6">
        <v>81</v>
      </c>
      <c r="M209" s="5">
        <v>18</v>
      </c>
      <c r="N209" s="5">
        <v>113</v>
      </c>
      <c r="O209" s="5">
        <v>47</v>
      </c>
      <c r="P209" s="5">
        <v>13</v>
      </c>
      <c r="Q209" s="5">
        <v>21</v>
      </c>
      <c r="R209" s="8">
        <v>6</v>
      </c>
      <c r="S209" s="8">
        <v>4</v>
      </c>
      <c r="T209" s="8">
        <v>2</v>
      </c>
      <c r="U209" s="8">
        <v>5</v>
      </c>
      <c r="V209" s="8">
        <v>6</v>
      </c>
      <c r="W209" t="s">
        <v>473</v>
      </c>
      <c r="X209" t="s">
        <v>473</v>
      </c>
      <c r="Y209" t="s">
        <v>473</v>
      </c>
      <c r="Z209" t="s">
        <v>473</v>
      </c>
      <c r="AA209" t="s">
        <v>473</v>
      </c>
      <c r="AB209" t="s">
        <v>473</v>
      </c>
      <c r="AC209" s="10">
        <v>3</v>
      </c>
      <c r="AD209" s="10">
        <v>11</v>
      </c>
      <c r="AE209" t="s">
        <v>473</v>
      </c>
    </row>
    <row r="210" spans="1:31" x14ac:dyDescent="0.25">
      <c r="A210">
        <v>868</v>
      </c>
      <c r="B210">
        <v>1966</v>
      </c>
      <c r="C210" t="s">
        <v>466</v>
      </c>
      <c r="D210" t="s">
        <v>34</v>
      </c>
      <c r="E210" t="str">
        <f>IF(OR(Table1[[#This Row],[marital_status]]="Married", Table1[[#This Row],[marital_status]]="Together"), "Partnered", "Single")</f>
        <v>Partnered</v>
      </c>
      <c r="F210" s="7">
        <v>44794</v>
      </c>
      <c r="G210" s="8">
        <v>0</v>
      </c>
      <c r="H210" s="8">
        <v>1</v>
      </c>
      <c r="I210" s="8">
        <f>Table1[[#This Row],[kids]]+Table1[[#This Row],[teens]]</f>
        <v>1</v>
      </c>
      <c r="J210" s="9">
        <v>41798</v>
      </c>
      <c r="K210" s="8">
        <v>99</v>
      </c>
      <c r="L210" s="6">
        <v>54</v>
      </c>
      <c r="M210" s="5">
        <v>0</v>
      </c>
      <c r="N210" s="5">
        <v>7</v>
      </c>
      <c r="O210" s="5">
        <v>0</v>
      </c>
      <c r="P210" s="5">
        <v>0</v>
      </c>
      <c r="Q210" s="5">
        <v>4</v>
      </c>
      <c r="R210" s="8">
        <v>1</v>
      </c>
      <c r="S210" s="8">
        <v>2</v>
      </c>
      <c r="T210" s="8">
        <v>0</v>
      </c>
      <c r="U210" s="8">
        <v>3</v>
      </c>
      <c r="V210" s="8">
        <v>6</v>
      </c>
      <c r="W210" t="s">
        <v>473</v>
      </c>
      <c r="X210" t="s">
        <v>473</v>
      </c>
      <c r="Y210" t="s">
        <v>473</v>
      </c>
      <c r="Z210" t="s">
        <v>473</v>
      </c>
      <c r="AA210" t="s">
        <v>473</v>
      </c>
      <c r="AB210" t="s">
        <v>473</v>
      </c>
      <c r="AC210" s="10">
        <v>3</v>
      </c>
      <c r="AD210" s="10">
        <v>11</v>
      </c>
      <c r="AE210" t="s">
        <v>473</v>
      </c>
    </row>
    <row r="211" spans="1:31" x14ac:dyDescent="0.25">
      <c r="A211">
        <v>380</v>
      </c>
      <c r="B211">
        <v>1954</v>
      </c>
      <c r="C211" t="s">
        <v>466</v>
      </c>
      <c r="D211" t="s">
        <v>37</v>
      </c>
      <c r="E211" t="str">
        <f>IF(OR(Table1[[#This Row],[marital_status]]="Married", Table1[[#This Row],[marital_status]]="Together"), "Partnered", "Single")</f>
        <v>Single</v>
      </c>
      <c r="F211" s="7">
        <v>64497</v>
      </c>
      <c r="G211" s="8">
        <v>0</v>
      </c>
      <c r="H211" s="8">
        <v>1</v>
      </c>
      <c r="I211" s="8">
        <f>Table1[[#This Row],[kids]]+Table1[[#This Row],[teens]]</f>
        <v>1</v>
      </c>
      <c r="J211" s="9">
        <v>41162</v>
      </c>
      <c r="K211" s="8">
        <v>17</v>
      </c>
      <c r="L211" s="6">
        <v>1170</v>
      </c>
      <c r="M211" s="5">
        <v>48</v>
      </c>
      <c r="N211" s="5">
        <v>320</v>
      </c>
      <c r="O211" s="5">
        <v>42</v>
      </c>
      <c r="P211" s="5">
        <v>32</v>
      </c>
      <c r="Q211" s="5">
        <v>192</v>
      </c>
      <c r="R211" s="8">
        <v>5</v>
      </c>
      <c r="S211" s="8">
        <v>11</v>
      </c>
      <c r="T211" s="8">
        <v>4</v>
      </c>
      <c r="U211" s="8">
        <v>9</v>
      </c>
      <c r="V211" s="8">
        <v>8</v>
      </c>
      <c r="W211" t="s">
        <v>474</v>
      </c>
      <c r="X211" t="s">
        <v>473</v>
      </c>
      <c r="Y211" t="s">
        <v>473</v>
      </c>
      <c r="Z211" t="s">
        <v>473</v>
      </c>
      <c r="AA211" t="s">
        <v>473</v>
      </c>
      <c r="AB211" t="s">
        <v>473</v>
      </c>
      <c r="AC211" s="10">
        <v>3</v>
      </c>
      <c r="AD211" s="10">
        <v>11</v>
      </c>
      <c r="AE211" t="s">
        <v>474</v>
      </c>
    </row>
    <row r="212" spans="1:31" x14ac:dyDescent="0.25">
      <c r="A212">
        <v>2677</v>
      </c>
      <c r="B212">
        <v>1956</v>
      </c>
      <c r="C212" t="s">
        <v>466</v>
      </c>
      <c r="D212" t="s">
        <v>31</v>
      </c>
      <c r="E212" t="str">
        <f>IF(OR(Table1[[#This Row],[marital_status]]="Married", Table1[[#This Row],[marital_status]]="Together"), "Partnered", "Single")</f>
        <v>Partnered</v>
      </c>
      <c r="F212" s="7">
        <v>46097</v>
      </c>
      <c r="G212" s="8">
        <v>0</v>
      </c>
      <c r="H212" s="8">
        <v>1</v>
      </c>
      <c r="I212" s="8">
        <f>Table1[[#This Row],[kids]]+Table1[[#This Row],[teens]]</f>
        <v>1</v>
      </c>
      <c r="J212" s="9">
        <v>41364</v>
      </c>
      <c r="K212" s="8">
        <v>11</v>
      </c>
      <c r="L212" s="6">
        <v>72</v>
      </c>
      <c r="M212" s="5">
        <v>24</v>
      </c>
      <c r="N212" s="5">
        <v>68</v>
      </c>
      <c r="O212" s="5">
        <v>65</v>
      </c>
      <c r="P212" s="5">
        <v>4</v>
      </c>
      <c r="Q212" s="5">
        <v>8</v>
      </c>
      <c r="R212" s="8">
        <v>5</v>
      </c>
      <c r="S212" s="8">
        <v>3</v>
      </c>
      <c r="T212" s="8">
        <v>1</v>
      </c>
      <c r="U212" s="8">
        <v>6</v>
      </c>
      <c r="V212" s="8">
        <v>4</v>
      </c>
      <c r="W212" t="s">
        <v>473</v>
      </c>
      <c r="X212" t="s">
        <v>473</v>
      </c>
      <c r="Y212" t="s">
        <v>473</v>
      </c>
      <c r="Z212" t="s">
        <v>473</v>
      </c>
      <c r="AA212" t="s">
        <v>473</v>
      </c>
      <c r="AB212" t="s">
        <v>473</v>
      </c>
      <c r="AC212" s="10">
        <v>3</v>
      </c>
      <c r="AD212" s="10">
        <v>11</v>
      </c>
      <c r="AE212" t="s">
        <v>473</v>
      </c>
    </row>
    <row r="213" spans="1:31" x14ac:dyDescent="0.25">
      <c r="A213">
        <v>6521</v>
      </c>
      <c r="B213">
        <v>1954</v>
      </c>
      <c r="C213" t="s">
        <v>466</v>
      </c>
      <c r="D213" t="s">
        <v>31</v>
      </c>
      <c r="E213" t="str">
        <f>IF(OR(Table1[[#This Row],[marital_status]]="Married", Table1[[#This Row],[marital_status]]="Together"), "Partnered", "Single")</f>
        <v>Partnered</v>
      </c>
      <c r="F213" s="7">
        <v>77972</v>
      </c>
      <c r="G213" s="8">
        <v>0</v>
      </c>
      <c r="H213" s="8">
        <v>0</v>
      </c>
      <c r="I213" s="8">
        <f>Table1[[#This Row],[kids]]+Table1[[#This Row],[teens]]</f>
        <v>0</v>
      </c>
      <c r="J213" s="9">
        <v>41716</v>
      </c>
      <c r="K213" s="8">
        <v>18</v>
      </c>
      <c r="L213" s="6">
        <v>613</v>
      </c>
      <c r="M213" s="5">
        <v>22</v>
      </c>
      <c r="N213" s="5">
        <v>319</v>
      </c>
      <c r="O213" s="5">
        <v>33</v>
      </c>
      <c r="P213" s="5">
        <v>102</v>
      </c>
      <c r="Q213" s="5">
        <v>12</v>
      </c>
      <c r="R213" s="8">
        <v>1</v>
      </c>
      <c r="S213" s="8">
        <v>4</v>
      </c>
      <c r="T213" s="8">
        <v>6</v>
      </c>
      <c r="U213" s="8">
        <v>9</v>
      </c>
      <c r="V213" s="8">
        <v>1</v>
      </c>
      <c r="W213" t="s">
        <v>473</v>
      </c>
      <c r="X213" t="s">
        <v>473</v>
      </c>
      <c r="Y213" t="s">
        <v>473</v>
      </c>
      <c r="Z213" t="s">
        <v>473</v>
      </c>
      <c r="AA213" t="s">
        <v>473</v>
      </c>
      <c r="AB213" t="s">
        <v>473</v>
      </c>
      <c r="AC213" s="10">
        <v>3</v>
      </c>
      <c r="AD213" s="10">
        <v>11</v>
      </c>
      <c r="AE213" t="s">
        <v>473</v>
      </c>
    </row>
    <row r="214" spans="1:31" x14ac:dyDescent="0.25">
      <c r="A214">
        <v>6927</v>
      </c>
      <c r="B214">
        <v>1968</v>
      </c>
      <c r="C214" t="s">
        <v>33</v>
      </c>
      <c r="D214" t="s">
        <v>34</v>
      </c>
      <c r="E214" t="str">
        <f>IF(OR(Table1[[#This Row],[marital_status]]="Married", Table1[[#This Row],[marital_status]]="Together"), "Partnered", "Single")</f>
        <v>Partnered</v>
      </c>
      <c r="F214" s="7">
        <v>44377</v>
      </c>
      <c r="G214" s="8">
        <v>1</v>
      </c>
      <c r="H214" s="8">
        <v>1</v>
      </c>
      <c r="I214" s="8">
        <f>Table1[[#This Row],[kids]]+Table1[[#This Row],[teens]]</f>
        <v>2</v>
      </c>
      <c r="J214" s="9">
        <v>41187</v>
      </c>
      <c r="K214" s="8">
        <v>70</v>
      </c>
      <c r="L214" s="6">
        <v>224</v>
      </c>
      <c r="M214" s="5">
        <v>0</v>
      </c>
      <c r="N214" s="5">
        <v>30</v>
      </c>
      <c r="O214" s="5">
        <v>0</v>
      </c>
      <c r="P214" s="5">
        <v>0</v>
      </c>
      <c r="Q214" s="5">
        <v>10</v>
      </c>
      <c r="R214" s="8">
        <v>8</v>
      </c>
      <c r="S214" s="8">
        <v>5</v>
      </c>
      <c r="T214" s="8">
        <v>1</v>
      </c>
      <c r="U214" s="8">
        <v>5</v>
      </c>
      <c r="V214" s="8">
        <v>8</v>
      </c>
      <c r="W214" t="s">
        <v>473</v>
      </c>
      <c r="X214" t="s">
        <v>473</v>
      </c>
      <c r="Y214" t="s">
        <v>473</v>
      </c>
      <c r="Z214" t="s">
        <v>473</v>
      </c>
      <c r="AA214" t="s">
        <v>473</v>
      </c>
      <c r="AB214" t="s">
        <v>473</v>
      </c>
      <c r="AC214" s="10">
        <v>3</v>
      </c>
      <c r="AD214" s="10">
        <v>11</v>
      </c>
      <c r="AE214" t="s">
        <v>473</v>
      </c>
    </row>
    <row r="215" spans="1:31" x14ac:dyDescent="0.25">
      <c r="A215">
        <v>2877</v>
      </c>
      <c r="B215">
        <v>1974</v>
      </c>
      <c r="C215" t="s">
        <v>36</v>
      </c>
      <c r="D215" t="s">
        <v>31</v>
      </c>
      <c r="E215" t="str">
        <f>IF(OR(Table1[[#This Row],[marital_status]]="Married", Table1[[#This Row],[marital_status]]="Together"), "Partnered", "Single")</f>
        <v>Partnered</v>
      </c>
      <c r="F215" s="7">
        <v>46014</v>
      </c>
      <c r="G215" s="8">
        <v>1</v>
      </c>
      <c r="H215" s="8">
        <v>1</v>
      </c>
      <c r="I215" s="8">
        <f>Table1[[#This Row],[kids]]+Table1[[#This Row],[teens]]</f>
        <v>2</v>
      </c>
      <c r="J215" s="9">
        <v>41295</v>
      </c>
      <c r="K215" s="8">
        <v>21</v>
      </c>
      <c r="L215" s="6">
        <v>410</v>
      </c>
      <c r="M215" s="5">
        <v>0</v>
      </c>
      <c r="N215" s="5">
        <v>59</v>
      </c>
      <c r="O215" s="5">
        <v>19</v>
      </c>
      <c r="P215" s="5">
        <v>9</v>
      </c>
      <c r="Q215" s="5">
        <v>44</v>
      </c>
      <c r="R215" s="8">
        <v>10</v>
      </c>
      <c r="S215" s="8">
        <v>7</v>
      </c>
      <c r="T215" s="8">
        <v>1</v>
      </c>
      <c r="U215" s="8">
        <v>8</v>
      </c>
      <c r="V215" s="8">
        <v>7</v>
      </c>
      <c r="W215" t="s">
        <v>473</v>
      </c>
      <c r="X215" t="s">
        <v>473</v>
      </c>
      <c r="Y215" t="s">
        <v>473</v>
      </c>
      <c r="Z215" t="s">
        <v>473</v>
      </c>
      <c r="AA215" t="s">
        <v>473</v>
      </c>
      <c r="AB215" t="s">
        <v>473</v>
      </c>
      <c r="AC215" s="10">
        <v>3</v>
      </c>
      <c r="AD215" s="10">
        <v>11</v>
      </c>
      <c r="AE215" t="s">
        <v>473</v>
      </c>
    </row>
    <row r="216" spans="1:31" x14ac:dyDescent="0.25">
      <c r="A216">
        <v>0</v>
      </c>
      <c r="B216">
        <v>1985</v>
      </c>
      <c r="C216" t="s">
        <v>466</v>
      </c>
      <c r="D216" t="s">
        <v>34</v>
      </c>
      <c r="E216" t="str">
        <f>IF(OR(Table1[[#This Row],[marital_status]]="Married", Table1[[#This Row],[marital_status]]="Together"), "Partnered", "Single")</f>
        <v>Partnered</v>
      </c>
      <c r="F216" s="7">
        <v>70951</v>
      </c>
      <c r="G216" s="8">
        <v>0</v>
      </c>
      <c r="H216" s="8">
        <v>0</v>
      </c>
      <c r="I216" s="8">
        <f>Table1[[#This Row],[kids]]+Table1[[#This Row],[teens]]</f>
        <v>0</v>
      </c>
      <c r="J216" s="9">
        <v>41398</v>
      </c>
      <c r="K216" s="8">
        <v>66</v>
      </c>
      <c r="L216" s="6">
        <v>239</v>
      </c>
      <c r="M216" s="5">
        <v>10</v>
      </c>
      <c r="N216" s="5">
        <v>554</v>
      </c>
      <c r="O216" s="5">
        <v>254</v>
      </c>
      <c r="P216" s="5">
        <v>87</v>
      </c>
      <c r="Q216" s="5">
        <v>54</v>
      </c>
      <c r="R216" s="8">
        <v>1</v>
      </c>
      <c r="S216" s="8">
        <v>3</v>
      </c>
      <c r="T216" s="8">
        <v>4</v>
      </c>
      <c r="U216" s="8">
        <v>9</v>
      </c>
      <c r="V216" s="8">
        <v>1</v>
      </c>
      <c r="W216" t="s">
        <v>473</v>
      </c>
      <c r="X216" t="s">
        <v>473</v>
      </c>
      <c r="Y216" t="s">
        <v>473</v>
      </c>
      <c r="Z216" t="s">
        <v>473</v>
      </c>
      <c r="AA216" t="s">
        <v>473</v>
      </c>
      <c r="AB216" t="s">
        <v>473</v>
      </c>
      <c r="AC216" s="10">
        <v>3</v>
      </c>
      <c r="AD216" s="10">
        <v>11</v>
      </c>
      <c r="AE216" t="s">
        <v>473</v>
      </c>
    </row>
    <row r="217" spans="1:31" x14ac:dyDescent="0.25">
      <c r="A217">
        <v>1584</v>
      </c>
      <c r="B217">
        <v>1977</v>
      </c>
      <c r="C217" t="s">
        <v>466</v>
      </c>
      <c r="D217" t="s">
        <v>34</v>
      </c>
      <c r="E217" t="str">
        <f>IF(OR(Table1[[#This Row],[marital_status]]="Married", Table1[[#This Row],[marital_status]]="Together"), "Partnered", "Single")</f>
        <v>Partnered</v>
      </c>
      <c r="F217" s="7">
        <v>41443</v>
      </c>
      <c r="G217" s="8">
        <v>1</v>
      </c>
      <c r="H217" s="8">
        <v>0</v>
      </c>
      <c r="I217" s="8">
        <f>Table1[[#This Row],[kids]]+Table1[[#This Row],[teens]]</f>
        <v>1</v>
      </c>
      <c r="J217" s="9">
        <v>41730</v>
      </c>
      <c r="K217" s="8">
        <v>79</v>
      </c>
      <c r="L217" s="6">
        <v>171</v>
      </c>
      <c r="M217" s="5">
        <v>7</v>
      </c>
      <c r="N217" s="5">
        <v>171</v>
      </c>
      <c r="O217" s="5">
        <v>25</v>
      </c>
      <c r="P217" s="5">
        <v>19</v>
      </c>
      <c r="Q217" s="5">
        <v>89</v>
      </c>
      <c r="R217" s="8">
        <v>6</v>
      </c>
      <c r="S217" s="8">
        <v>8</v>
      </c>
      <c r="T217" s="8">
        <v>1</v>
      </c>
      <c r="U217" s="8">
        <v>5</v>
      </c>
      <c r="V217" s="8">
        <v>8</v>
      </c>
      <c r="W217" t="s">
        <v>473</v>
      </c>
      <c r="X217" t="s">
        <v>473</v>
      </c>
      <c r="Y217" t="s">
        <v>473</v>
      </c>
      <c r="Z217" t="s">
        <v>473</v>
      </c>
      <c r="AA217" t="s">
        <v>473</v>
      </c>
      <c r="AB217" t="s">
        <v>473</v>
      </c>
      <c r="AC217" s="10">
        <v>3</v>
      </c>
      <c r="AD217" s="10">
        <v>11</v>
      </c>
      <c r="AE217" t="s">
        <v>473</v>
      </c>
    </row>
    <row r="218" spans="1:31" x14ac:dyDescent="0.25">
      <c r="A218">
        <v>7264</v>
      </c>
      <c r="B218">
        <v>1978</v>
      </c>
      <c r="C218" t="s">
        <v>46</v>
      </c>
      <c r="D218" t="s">
        <v>30</v>
      </c>
      <c r="E218" t="str">
        <f>IF(OR(Table1[[#This Row],[marital_status]]="Married", Table1[[#This Row],[marital_status]]="Together"), "Partnered", "Single")</f>
        <v>Single</v>
      </c>
      <c r="F218" s="7">
        <v>52195</v>
      </c>
      <c r="G218" s="8">
        <v>2</v>
      </c>
      <c r="H218" s="8">
        <v>1</v>
      </c>
      <c r="I218" s="8">
        <f>Table1[[#This Row],[kids]]+Table1[[#This Row],[teens]]</f>
        <v>3</v>
      </c>
      <c r="J218" s="9">
        <v>41771</v>
      </c>
      <c r="K218" s="8">
        <v>2</v>
      </c>
      <c r="L218" s="6">
        <v>12</v>
      </c>
      <c r="M218" s="5">
        <v>0</v>
      </c>
      <c r="N218" s="5">
        <v>4</v>
      </c>
      <c r="O218" s="5">
        <v>0</v>
      </c>
      <c r="P218" s="5">
        <v>0</v>
      </c>
      <c r="Q218" s="5">
        <v>1</v>
      </c>
      <c r="R218" s="8">
        <v>1</v>
      </c>
      <c r="S218" s="8">
        <v>1</v>
      </c>
      <c r="T218" s="8">
        <v>0</v>
      </c>
      <c r="U218" s="8">
        <v>2</v>
      </c>
      <c r="V218" s="8">
        <v>8</v>
      </c>
      <c r="W218" t="s">
        <v>473</v>
      </c>
      <c r="X218" t="s">
        <v>473</v>
      </c>
      <c r="Y218" t="s">
        <v>473</v>
      </c>
      <c r="Z218" t="s">
        <v>473</v>
      </c>
      <c r="AA218" t="s">
        <v>473</v>
      </c>
      <c r="AB218" t="s">
        <v>473</v>
      </c>
      <c r="AC218" s="10">
        <v>3</v>
      </c>
      <c r="AD218" s="10">
        <v>11</v>
      </c>
      <c r="AE218" t="s">
        <v>473</v>
      </c>
    </row>
    <row r="219" spans="1:31" x14ac:dyDescent="0.25">
      <c r="A219">
        <v>6274</v>
      </c>
      <c r="B219">
        <v>1948</v>
      </c>
      <c r="C219" t="s">
        <v>36</v>
      </c>
      <c r="D219" t="s">
        <v>34</v>
      </c>
      <c r="E219" t="str">
        <f>IF(OR(Table1[[#This Row],[marital_status]]="Married", Table1[[#This Row],[marital_status]]="Together"), "Partnered", "Single")</f>
        <v>Partnered</v>
      </c>
      <c r="F219" s="7">
        <v>83790</v>
      </c>
      <c r="G219" s="8">
        <v>0</v>
      </c>
      <c r="H219" s="8">
        <v>0</v>
      </c>
      <c r="I219" s="8">
        <f>Table1[[#This Row],[kids]]+Table1[[#This Row],[teens]]</f>
        <v>0</v>
      </c>
      <c r="J219" s="9">
        <v>41593</v>
      </c>
      <c r="K219" s="8">
        <v>81</v>
      </c>
      <c r="L219" s="6">
        <v>1076</v>
      </c>
      <c r="M219" s="5">
        <v>16</v>
      </c>
      <c r="N219" s="5">
        <v>417</v>
      </c>
      <c r="O219" s="5">
        <v>42</v>
      </c>
      <c r="P219" s="5">
        <v>48</v>
      </c>
      <c r="Q219" s="5">
        <v>16</v>
      </c>
      <c r="R219" s="8">
        <v>1</v>
      </c>
      <c r="S219" s="8">
        <v>8</v>
      </c>
      <c r="T219" s="8">
        <v>10</v>
      </c>
      <c r="U219" s="8">
        <v>6</v>
      </c>
      <c r="V219" s="8">
        <v>3</v>
      </c>
      <c r="W219" t="s">
        <v>473</v>
      </c>
      <c r="X219" t="s">
        <v>474</v>
      </c>
      <c r="Y219" t="s">
        <v>474</v>
      </c>
      <c r="Z219" t="s">
        <v>473</v>
      </c>
      <c r="AA219" t="s">
        <v>473</v>
      </c>
      <c r="AB219" t="s">
        <v>473</v>
      </c>
      <c r="AC219" s="10">
        <v>3</v>
      </c>
      <c r="AD219" s="10">
        <v>11</v>
      </c>
      <c r="AE219" t="s">
        <v>473</v>
      </c>
    </row>
    <row r="220" spans="1:31" x14ac:dyDescent="0.25">
      <c r="A220">
        <v>1377</v>
      </c>
      <c r="B220">
        <v>1954</v>
      </c>
      <c r="C220" t="s">
        <v>36</v>
      </c>
      <c r="D220" t="s">
        <v>57</v>
      </c>
      <c r="E220" t="str">
        <f>IF(OR(Table1[[#This Row],[marital_status]]="Married", Table1[[#This Row],[marital_status]]="Together"), "Partnered", "Single")</f>
        <v>Single</v>
      </c>
      <c r="F220" s="7">
        <v>44551</v>
      </c>
      <c r="G220" s="8">
        <v>0</v>
      </c>
      <c r="H220" s="8">
        <v>1</v>
      </c>
      <c r="I220" s="8">
        <f>Table1[[#This Row],[kids]]+Table1[[#This Row],[teens]]</f>
        <v>1</v>
      </c>
      <c r="J220" s="9">
        <v>41517</v>
      </c>
      <c r="K220" s="8">
        <v>24</v>
      </c>
      <c r="L220" s="6">
        <v>182</v>
      </c>
      <c r="M220" s="5">
        <v>4</v>
      </c>
      <c r="N220" s="5">
        <v>33</v>
      </c>
      <c r="O220" s="5">
        <v>0</v>
      </c>
      <c r="P220" s="5">
        <v>0</v>
      </c>
      <c r="Q220" s="5">
        <v>66</v>
      </c>
      <c r="R220" s="8">
        <v>2</v>
      </c>
      <c r="S220" s="8">
        <v>4</v>
      </c>
      <c r="T220" s="8">
        <v>1</v>
      </c>
      <c r="U220" s="8">
        <v>5</v>
      </c>
      <c r="V220" s="8">
        <v>7</v>
      </c>
      <c r="W220" t="s">
        <v>473</v>
      </c>
      <c r="X220" t="s">
        <v>473</v>
      </c>
      <c r="Y220" t="s">
        <v>473</v>
      </c>
      <c r="Z220" t="s">
        <v>473</v>
      </c>
      <c r="AA220" t="s">
        <v>473</v>
      </c>
      <c r="AB220" t="s">
        <v>473</v>
      </c>
      <c r="AC220" s="10">
        <v>3</v>
      </c>
      <c r="AD220" s="10">
        <v>11</v>
      </c>
      <c r="AE220" t="s">
        <v>473</v>
      </c>
    </row>
    <row r="221" spans="1:31" x14ac:dyDescent="0.25">
      <c r="A221">
        <v>454</v>
      </c>
      <c r="B221">
        <v>1980</v>
      </c>
      <c r="C221" t="s">
        <v>466</v>
      </c>
      <c r="D221" t="s">
        <v>31</v>
      </c>
      <c r="E221" t="str">
        <f>IF(OR(Table1[[#This Row],[marital_status]]="Married", Table1[[#This Row],[marital_status]]="Together"), "Partnered", "Single")</f>
        <v>Partnered</v>
      </c>
      <c r="F221" s="7">
        <v>69508</v>
      </c>
      <c r="G221" s="8">
        <v>1</v>
      </c>
      <c r="H221" s="8">
        <v>0</v>
      </c>
      <c r="I221" s="8">
        <f>Table1[[#This Row],[kids]]+Table1[[#This Row],[teens]]</f>
        <v>1</v>
      </c>
      <c r="J221" s="9">
        <v>41227</v>
      </c>
      <c r="K221" s="8">
        <v>48</v>
      </c>
      <c r="L221" s="6">
        <v>824</v>
      </c>
      <c r="M221" s="5">
        <v>32</v>
      </c>
      <c r="N221" s="5">
        <v>162</v>
      </c>
      <c r="O221" s="5">
        <v>42</v>
      </c>
      <c r="P221" s="5">
        <v>32</v>
      </c>
      <c r="Q221" s="5">
        <v>43</v>
      </c>
      <c r="R221" s="8">
        <v>2</v>
      </c>
      <c r="S221" s="8">
        <v>11</v>
      </c>
      <c r="T221" s="8">
        <v>4</v>
      </c>
      <c r="U221" s="8">
        <v>11</v>
      </c>
      <c r="V221" s="8">
        <v>6</v>
      </c>
      <c r="W221" t="s">
        <v>473</v>
      </c>
      <c r="X221" t="s">
        <v>473</v>
      </c>
      <c r="Y221" t="s">
        <v>473</v>
      </c>
      <c r="Z221" t="s">
        <v>473</v>
      </c>
      <c r="AA221" t="s">
        <v>473</v>
      </c>
      <c r="AB221" t="s">
        <v>473</v>
      </c>
      <c r="AC221" s="10">
        <v>3</v>
      </c>
      <c r="AD221" s="10">
        <v>11</v>
      </c>
      <c r="AE221" t="s">
        <v>473</v>
      </c>
    </row>
    <row r="222" spans="1:31" x14ac:dyDescent="0.25">
      <c r="A222">
        <v>1755</v>
      </c>
      <c r="B222">
        <v>1988</v>
      </c>
      <c r="C222" t="s">
        <v>46</v>
      </c>
      <c r="D222" t="s">
        <v>31</v>
      </c>
      <c r="E222" t="str">
        <f>IF(OR(Table1[[#This Row],[marital_status]]="Married", Table1[[#This Row],[marital_status]]="Together"), "Partnered", "Single")</f>
        <v>Partnered</v>
      </c>
      <c r="F222" s="7">
        <v>45204</v>
      </c>
      <c r="G222" s="8">
        <v>1</v>
      </c>
      <c r="H222" s="8">
        <v>0</v>
      </c>
      <c r="I222" s="8">
        <f>Table1[[#This Row],[kids]]+Table1[[#This Row],[teens]]</f>
        <v>1</v>
      </c>
      <c r="J222" s="9">
        <v>41740</v>
      </c>
      <c r="K222" s="8">
        <v>93</v>
      </c>
      <c r="L222" s="6">
        <v>30</v>
      </c>
      <c r="M222" s="5">
        <v>11</v>
      </c>
      <c r="N222" s="5">
        <v>25</v>
      </c>
      <c r="O222" s="5">
        <v>29</v>
      </c>
      <c r="P222" s="5">
        <v>1</v>
      </c>
      <c r="Q222" s="5">
        <v>18</v>
      </c>
      <c r="R222" s="8">
        <v>1</v>
      </c>
      <c r="S222" s="8">
        <v>1</v>
      </c>
      <c r="T222" s="8">
        <v>1</v>
      </c>
      <c r="U222" s="8">
        <v>4</v>
      </c>
      <c r="V222" s="8">
        <v>3</v>
      </c>
      <c r="W222" t="s">
        <v>473</v>
      </c>
      <c r="X222" t="s">
        <v>473</v>
      </c>
      <c r="Y222" t="s">
        <v>473</v>
      </c>
      <c r="Z222" t="s">
        <v>473</v>
      </c>
      <c r="AA222" t="s">
        <v>473</v>
      </c>
      <c r="AB222" t="s">
        <v>473</v>
      </c>
      <c r="AC222" s="10">
        <v>3</v>
      </c>
      <c r="AD222" s="10">
        <v>11</v>
      </c>
      <c r="AE222" t="s">
        <v>473</v>
      </c>
    </row>
    <row r="223" spans="1:31" x14ac:dyDescent="0.25">
      <c r="A223">
        <v>2075</v>
      </c>
      <c r="B223">
        <v>1969</v>
      </c>
      <c r="C223" t="s">
        <v>466</v>
      </c>
      <c r="D223" t="s">
        <v>34</v>
      </c>
      <c r="E223" t="str">
        <f>IF(OR(Table1[[#This Row],[marital_status]]="Married", Table1[[#This Row],[marital_status]]="Together"), "Partnered", "Single")</f>
        <v>Partnered</v>
      </c>
      <c r="F223" s="7">
        <v>72460</v>
      </c>
      <c r="G223" s="8">
        <v>0</v>
      </c>
      <c r="H223" s="8">
        <v>0</v>
      </c>
      <c r="I223" s="8">
        <f>Table1[[#This Row],[kids]]+Table1[[#This Row],[teens]]</f>
        <v>0</v>
      </c>
      <c r="J223" s="9">
        <v>41592</v>
      </c>
      <c r="K223" s="8">
        <v>56</v>
      </c>
      <c r="L223" s="6">
        <v>377</v>
      </c>
      <c r="M223" s="5">
        <v>10</v>
      </c>
      <c r="N223" s="5">
        <v>540</v>
      </c>
      <c r="O223" s="5">
        <v>80</v>
      </c>
      <c r="P223" s="5">
        <v>30</v>
      </c>
      <c r="Q223" s="5">
        <v>10</v>
      </c>
      <c r="R223" s="8">
        <v>1</v>
      </c>
      <c r="S223" s="8">
        <v>3</v>
      </c>
      <c r="T223" s="8">
        <v>5</v>
      </c>
      <c r="U223" s="8">
        <v>7</v>
      </c>
      <c r="V223" s="8">
        <v>1</v>
      </c>
      <c r="W223" t="s">
        <v>473</v>
      </c>
      <c r="X223" t="s">
        <v>473</v>
      </c>
      <c r="Y223" t="s">
        <v>473</v>
      </c>
      <c r="Z223" t="s">
        <v>473</v>
      </c>
      <c r="AA223" t="s">
        <v>473</v>
      </c>
      <c r="AB223" t="s">
        <v>473</v>
      </c>
      <c r="AC223" s="10">
        <v>3</v>
      </c>
      <c r="AD223" s="10">
        <v>11</v>
      </c>
      <c r="AE223" t="s">
        <v>473</v>
      </c>
    </row>
    <row r="224" spans="1:31" x14ac:dyDescent="0.25">
      <c r="A224">
        <v>4785</v>
      </c>
      <c r="B224">
        <v>1970</v>
      </c>
      <c r="C224" t="s">
        <v>33</v>
      </c>
      <c r="D224" t="s">
        <v>31</v>
      </c>
      <c r="E224" t="str">
        <f>IF(OR(Table1[[#This Row],[marital_status]]="Married", Table1[[#This Row],[marital_status]]="Together"), "Partnered", "Single")</f>
        <v>Partnered</v>
      </c>
      <c r="F224" s="7">
        <v>77622</v>
      </c>
      <c r="G224" s="8">
        <v>0</v>
      </c>
      <c r="H224" s="8">
        <v>2</v>
      </c>
      <c r="I224" s="8">
        <f>Table1[[#This Row],[kids]]+Table1[[#This Row],[teens]]</f>
        <v>2</v>
      </c>
      <c r="J224" s="9">
        <v>41743</v>
      </c>
      <c r="K224" s="8">
        <v>3</v>
      </c>
      <c r="L224" s="6">
        <v>520</v>
      </c>
      <c r="M224" s="5">
        <v>7</v>
      </c>
      <c r="N224" s="5">
        <v>154</v>
      </c>
      <c r="O224" s="5">
        <v>19</v>
      </c>
      <c r="P224" s="5">
        <v>0</v>
      </c>
      <c r="Q224" s="5">
        <v>14</v>
      </c>
      <c r="R224" s="8">
        <v>2</v>
      </c>
      <c r="S224" s="8">
        <v>6</v>
      </c>
      <c r="T224" s="8">
        <v>3</v>
      </c>
      <c r="U224" s="8">
        <v>11</v>
      </c>
      <c r="V224" s="8">
        <v>3</v>
      </c>
      <c r="W224" t="s">
        <v>473</v>
      </c>
      <c r="X224" t="s">
        <v>473</v>
      </c>
      <c r="Y224" t="s">
        <v>473</v>
      </c>
      <c r="Z224" t="s">
        <v>473</v>
      </c>
      <c r="AA224" t="s">
        <v>473</v>
      </c>
      <c r="AB224" t="s">
        <v>473</v>
      </c>
      <c r="AC224" s="10">
        <v>3</v>
      </c>
      <c r="AD224" s="10">
        <v>11</v>
      </c>
      <c r="AE224" t="s">
        <v>473</v>
      </c>
    </row>
    <row r="225" spans="1:31" x14ac:dyDescent="0.25">
      <c r="A225">
        <v>9076</v>
      </c>
      <c r="B225">
        <v>1980</v>
      </c>
      <c r="C225" t="s">
        <v>33</v>
      </c>
      <c r="D225" t="s">
        <v>34</v>
      </c>
      <c r="E225" t="str">
        <f>IF(OR(Table1[[#This Row],[marital_status]]="Married", Table1[[#This Row],[marital_status]]="Together"), "Partnered", "Single")</f>
        <v>Partnered</v>
      </c>
      <c r="F225" s="7">
        <v>30732</v>
      </c>
      <c r="G225" s="8">
        <v>1</v>
      </c>
      <c r="H225" s="8">
        <v>0</v>
      </c>
      <c r="I225" s="8">
        <f>Table1[[#This Row],[kids]]+Table1[[#This Row],[teens]]</f>
        <v>1</v>
      </c>
      <c r="J225" s="9">
        <v>41279</v>
      </c>
      <c r="K225" s="8">
        <v>44</v>
      </c>
      <c r="L225" s="6">
        <v>155</v>
      </c>
      <c r="M225" s="5">
        <v>1</v>
      </c>
      <c r="N225" s="5">
        <v>25</v>
      </c>
      <c r="O225" s="5">
        <v>0</v>
      </c>
      <c r="P225" s="5">
        <v>1</v>
      </c>
      <c r="Q225" s="5">
        <v>3</v>
      </c>
      <c r="R225" s="8">
        <v>4</v>
      </c>
      <c r="S225" s="8">
        <v>4</v>
      </c>
      <c r="T225" s="8">
        <v>1</v>
      </c>
      <c r="U225" s="8">
        <v>4</v>
      </c>
      <c r="V225" s="8">
        <v>8</v>
      </c>
      <c r="W225" t="s">
        <v>473</v>
      </c>
      <c r="X225" t="s">
        <v>473</v>
      </c>
      <c r="Y225" t="s">
        <v>473</v>
      </c>
      <c r="Z225" t="s">
        <v>473</v>
      </c>
      <c r="AA225" t="s">
        <v>473</v>
      </c>
      <c r="AB225" t="s">
        <v>473</v>
      </c>
      <c r="AC225" s="10">
        <v>3</v>
      </c>
      <c r="AD225" s="10">
        <v>11</v>
      </c>
      <c r="AE225" t="s">
        <v>473</v>
      </c>
    </row>
    <row r="226" spans="1:31" x14ac:dyDescent="0.25">
      <c r="A226">
        <v>7079</v>
      </c>
      <c r="B226">
        <v>1962</v>
      </c>
      <c r="C226" t="s">
        <v>466</v>
      </c>
      <c r="D226" t="s">
        <v>37</v>
      </c>
      <c r="E226" t="str">
        <f>IF(OR(Table1[[#This Row],[marital_status]]="Married", Table1[[#This Row],[marital_status]]="Together"), "Partnered", "Single")</f>
        <v>Single</v>
      </c>
      <c r="F226" s="7">
        <v>63887</v>
      </c>
      <c r="G226" s="8">
        <v>0</v>
      </c>
      <c r="H226" s="8">
        <v>1</v>
      </c>
      <c r="I226" s="8">
        <f>Table1[[#This Row],[kids]]+Table1[[#This Row],[teens]]</f>
        <v>1</v>
      </c>
      <c r="J226" s="9">
        <v>41160</v>
      </c>
      <c r="K226" s="8">
        <v>38</v>
      </c>
      <c r="L226" s="6">
        <v>897</v>
      </c>
      <c r="M226" s="5">
        <v>23</v>
      </c>
      <c r="N226" s="5">
        <v>207</v>
      </c>
      <c r="O226" s="5">
        <v>15</v>
      </c>
      <c r="P226" s="5">
        <v>11</v>
      </c>
      <c r="Q226" s="5">
        <v>92</v>
      </c>
      <c r="R226" s="8">
        <v>5</v>
      </c>
      <c r="S226" s="8">
        <v>9</v>
      </c>
      <c r="T226" s="8">
        <v>6</v>
      </c>
      <c r="U226" s="8">
        <v>12</v>
      </c>
      <c r="V226" s="8">
        <v>6</v>
      </c>
      <c r="W226" t="s">
        <v>473</v>
      </c>
      <c r="X226" t="s">
        <v>473</v>
      </c>
      <c r="Y226" t="s">
        <v>473</v>
      </c>
      <c r="Z226" t="s">
        <v>473</v>
      </c>
      <c r="AA226" t="s">
        <v>473</v>
      </c>
      <c r="AB226" t="s">
        <v>473</v>
      </c>
      <c r="AC226" s="10">
        <v>3</v>
      </c>
      <c r="AD226" s="10">
        <v>11</v>
      </c>
      <c r="AE226" t="s">
        <v>473</v>
      </c>
    </row>
    <row r="227" spans="1:31" x14ac:dyDescent="0.25">
      <c r="A227">
        <v>4653</v>
      </c>
      <c r="B227">
        <v>1978</v>
      </c>
      <c r="C227" t="s">
        <v>466</v>
      </c>
      <c r="D227" t="s">
        <v>31</v>
      </c>
      <c r="E227" t="str">
        <f>IF(OR(Table1[[#This Row],[marital_status]]="Married", Table1[[#This Row],[marital_status]]="Together"), "Partnered", "Single")</f>
        <v>Partnered</v>
      </c>
      <c r="F227" s="7">
        <v>42011</v>
      </c>
      <c r="G227" s="8">
        <v>1</v>
      </c>
      <c r="H227" s="8">
        <v>0</v>
      </c>
      <c r="I227" s="8">
        <f>Table1[[#This Row],[kids]]+Table1[[#This Row],[teens]]</f>
        <v>1</v>
      </c>
      <c r="J227" s="9">
        <v>41359</v>
      </c>
      <c r="K227" s="8">
        <v>46</v>
      </c>
      <c r="L227" s="6">
        <v>131</v>
      </c>
      <c r="M227" s="5">
        <v>0</v>
      </c>
      <c r="N227" s="5">
        <v>16</v>
      </c>
      <c r="O227" s="5">
        <v>2</v>
      </c>
      <c r="P227" s="5">
        <v>1</v>
      </c>
      <c r="Q227" s="5">
        <v>39</v>
      </c>
      <c r="R227" s="8">
        <v>4</v>
      </c>
      <c r="S227" s="8">
        <v>3</v>
      </c>
      <c r="T227" s="8">
        <v>1</v>
      </c>
      <c r="U227" s="8">
        <v>4</v>
      </c>
      <c r="V227" s="8">
        <v>8</v>
      </c>
      <c r="W227" t="s">
        <v>473</v>
      </c>
      <c r="X227" t="s">
        <v>473</v>
      </c>
      <c r="Y227" t="s">
        <v>473</v>
      </c>
      <c r="Z227" t="s">
        <v>473</v>
      </c>
      <c r="AA227" t="s">
        <v>473</v>
      </c>
      <c r="AB227" t="s">
        <v>473</v>
      </c>
      <c r="AC227" s="10">
        <v>3</v>
      </c>
      <c r="AD227" s="10">
        <v>11</v>
      </c>
      <c r="AE227" t="s">
        <v>473</v>
      </c>
    </row>
    <row r="228" spans="1:31" x14ac:dyDescent="0.25">
      <c r="A228">
        <v>7375</v>
      </c>
      <c r="B228">
        <v>1976</v>
      </c>
      <c r="C228" t="s">
        <v>466</v>
      </c>
      <c r="D228" t="s">
        <v>31</v>
      </c>
      <c r="E228" t="str">
        <f>IF(OR(Table1[[#This Row],[marital_status]]="Married", Table1[[#This Row],[marital_status]]="Together"), "Partnered", "Single")</f>
        <v>Partnered</v>
      </c>
      <c r="F228" s="7">
        <v>51369</v>
      </c>
      <c r="G228" s="8">
        <v>0</v>
      </c>
      <c r="H228" s="8">
        <v>1</v>
      </c>
      <c r="I228" s="8">
        <f>Table1[[#This Row],[kids]]+Table1[[#This Row],[teens]]</f>
        <v>1</v>
      </c>
      <c r="J228" s="9">
        <v>41207</v>
      </c>
      <c r="K228" s="8">
        <v>84</v>
      </c>
      <c r="L228" s="6">
        <v>297</v>
      </c>
      <c r="M228" s="5">
        <v>7</v>
      </c>
      <c r="N228" s="5">
        <v>79</v>
      </c>
      <c r="O228" s="5">
        <v>0</v>
      </c>
      <c r="P228" s="5">
        <v>11</v>
      </c>
      <c r="Q228" s="5">
        <v>182</v>
      </c>
      <c r="R228" s="8">
        <v>2</v>
      </c>
      <c r="S228" s="8">
        <v>8</v>
      </c>
      <c r="T228" s="8">
        <v>2</v>
      </c>
      <c r="U228" s="8">
        <v>4</v>
      </c>
      <c r="V228" s="8">
        <v>8</v>
      </c>
      <c r="W228" t="s">
        <v>473</v>
      </c>
      <c r="X228" t="s">
        <v>473</v>
      </c>
      <c r="Y228" t="s">
        <v>473</v>
      </c>
      <c r="Z228" t="s">
        <v>473</v>
      </c>
      <c r="AA228" t="s">
        <v>473</v>
      </c>
      <c r="AB228" t="s">
        <v>473</v>
      </c>
      <c r="AC228" s="10">
        <v>3</v>
      </c>
      <c r="AD228" s="10">
        <v>11</v>
      </c>
      <c r="AE228" t="s">
        <v>473</v>
      </c>
    </row>
    <row r="229" spans="1:31" x14ac:dyDescent="0.25">
      <c r="A229">
        <v>709</v>
      </c>
      <c r="B229">
        <v>1952</v>
      </c>
      <c r="C229" t="s">
        <v>466</v>
      </c>
      <c r="D229" t="s">
        <v>37</v>
      </c>
      <c r="E229" t="str">
        <f>IF(OR(Table1[[#This Row],[marital_status]]="Married", Table1[[#This Row],[marital_status]]="Together"), "Partnered", "Single")</f>
        <v>Single</v>
      </c>
      <c r="F229" s="7">
        <v>51537</v>
      </c>
      <c r="G229" s="8">
        <v>0</v>
      </c>
      <c r="H229" s="8">
        <v>1</v>
      </c>
      <c r="I229" s="8">
        <f>Table1[[#This Row],[kids]]+Table1[[#This Row],[teens]]</f>
        <v>1</v>
      </c>
      <c r="J229" s="9">
        <v>41252</v>
      </c>
      <c r="K229" s="8">
        <v>27</v>
      </c>
      <c r="L229" s="6">
        <v>787</v>
      </c>
      <c r="M229" s="5">
        <v>20</v>
      </c>
      <c r="N229" s="5">
        <v>204</v>
      </c>
      <c r="O229" s="5">
        <v>0</v>
      </c>
      <c r="P229" s="5">
        <v>0</v>
      </c>
      <c r="Q229" s="5">
        <v>92</v>
      </c>
      <c r="R229" s="8">
        <v>3</v>
      </c>
      <c r="S229" s="8">
        <v>2</v>
      </c>
      <c r="T229" s="8">
        <v>2</v>
      </c>
      <c r="U229" s="8">
        <v>11</v>
      </c>
      <c r="V229" s="8">
        <v>8</v>
      </c>
      <c r="W229" t="s">
        <v>473</v>
      </c>
      <c r="X229" t="s">
        <v>473</v>
      </c>
      <c r="Y229" t="s">
        <v>473</v>
      </c>
      <c r="Z229" t="s">
        <v>473</v>
      </c>
      <c r="AA229" t="s">
        <v>473</v>
      </c>
      <c r="AB229" t="s">
        <v>473</v>
      </c>
      <c r="AC229" s="10">
        <v>3</v>
      </c>
      <c r="AD229" s="10">
        <v>11</v>
      </c>
      <c r="AE229" t="s">
        <v>473</v>
      </c>
    </row>
    <row r="230" spans="1:31" x14ac:dyDescent="0.25">
      <c r="A230">
        <v>460</v>
      </c>
      <c r="B230">
        <v>1972</v>
      </c>
      <c r="C230" t="s">
        <v>33</v>
      </c>
      <c r="D230" t="s">
        <v>34</v>
      </c>
      <c r="E230" t="str">
        <f>IF(OR(Table1[[#This Row],[marital_status]]="Married", Table1[[#This Row],[marital_status]]="Together"), "Partnered", "Single")</f>
        <v>Partnered</v>
      </c>
      <c r="F230" s="7">
        <v>79930</v>
      </c>
      <c r="G230" s="8">
        <v>0</v>
      </c>
      <c r="H230" s="8">
        <v>0</v>
      </c>
      <c r="I230" s="8">
        <f>Table1[[#This Row],[kids]]+Table1[[#This Row],[teens]]</f>
        <v>0</v>
      </c>
      <c r="J230" s="9">
        <v>41129</v>
      </c>
      <c r="K230" s="8">
        <v>72</v>
      </c>
      <c r="L230" s="6">
        <v>792</v>
      </c>
      <c r="M230" s="5">
        <v>86</v>
      </c>
      <c r="N230" s="5">
        <v>740</v>
      </c>
      <c r="O230" s="5">
        <v>67</v>
      </c>
      <c r="P230" s="5">
        <v>51</v>
      </c>
      <c r="Q230" s="5">
        <v>17</v>
      </c>
      <c r="R230" s="8">
        <v>1</v>
      </c>
      <c r="S230" s="8">
        <v>3</v>
      </c>
      <c r="T230" s="8">
        <v>5</v>
      </c>
      <c r="U230" s="8">
        <v>8</v>
      </c>
      <c r="V230" s="8">
        <v>2</v>
      </c>
      <c r="W230" t="s">
        <v>473</v>
      </c>
      <c r="X230" t="s">
        <v>473</v>
      </c>
      <c r="Y230" t="s">
        <v>473</v>
      </c>
      <c r="Z230" t="s">
        <v>473</v>
      </c>
      <c r="AA230" t="s">
        <v>473</v>
      </c>
      <c r="AB230" t="s">
        <v>473</v>
      </c>
      <c r="AC230" s="10">
        <v>3</v>
      </c>
      <c r="AD230" s="10">
        <v>11</v>
      </c>
      <c r="AE230" t="s">
        <v>473</v>
      </c>
    </row>
    <row r="231" spans="1:31" x14ac:dyDescent="0.25">
      <c r="A231">
        <v>3726</v>
      </c>
      <c r="B231">
        <v>1986</v>
      </c>
      <c r="C231" t="s">
        <v>33</v>
      </c>
      <c r="D231" t="s">
        <v>31</v>
      </c>
      <c r="E231" t="str">
        <f>IF(OR(Table1[[#This Row],[marital_status]]="Married", Table1[[#This Row],[marital_status]]="Together"), "Partnered", "Single")</f>
        <v>Partnered</v>
      </c>
      <c r="F231" s="7">
        <v>34320</v>
      </c>
      <c r="G231" s="8">
        <v>1</v>
      </c>
      <c r="H231" s="8">
        <v>0</v>
      </c>
      <c r="I231" s="8">
        <f>Table1[[#This Row],[kids]]+Table1[[#This Row],[teens]]</f>
        <v>1</v>
      </c>
      <c r="J231" s="9">
        <v>41686</v>
      </c>
      <c r="K231" s="8">
        <v>66</v>
      </c>
      <c r="L231" s="6">
        <v>4</v>
      </c>
      <c r="M231" s="5">
        <v>1</v>
      </c>
      <c r="N231" s="5">
        <v>9</v>
      </c>
      <c r="O231" s="5">
        <v>3</v>
      </c>
      <c r="P231" s="5">
        <v>0</v>
      </c>
      <c r="Q231" s="5">
        <v>0</v>
      </c>
      <c r="R231" s="8">
        <v>1</v>
      </c>
      <c r="S231" s="8">
        <v>1</v>
      </c>
      <c r="T231" s="8">
        <v>0</v>
      </c>
      <c r="U231" s="8">
        <v>2</v>
      </c>
      <c r="V231" s="8">
        <v>8</v>
      </c>
      <c r="W231" t="s">
        <v>473</v>
      </c>
      <c r="X231" t="s">
        <v>473</v>
      </c>
      <c r="Y231" t="s">
        <v>473</v>
      </c>
      <c r="Z231" t="s">
        <v>473</v>
      </c>
      <c r="AA231" t="s">
        <v>473</v>
      </c>
      <c r="AB231" t="s">
        <v>473</v>
      </c>
      <c r="AC231" s="10">
        <v>3</v>
      </c>
      <c r="AD231" s="10">
        <v>11</v>
      </c>
      <c r="AE231" t="s">
        <v>473</v>
      </c>
    </row>
    <row r="232" spans="1:31" x14ac:dyDescent="0.25">
      <c r="A232">
        <v>6798</v>
      </c>
      <c r="B232">
        <v>1966</v>
      </c>
      <c r="C232" t="s">
        <v>466</v>
      </c>
      <c r="D232" t="s">
        <v>30</v>
      </c>
      <c r="E232" t="str">
        <f>IF(OR(Table1[[#This Row],[marital_status]]="Married", Table1[[#This Row],[marital_status]]="Together"), "Partnered", "Single")</f>
        <v>Single</v>
      </c>
      <c r="F232" s="7">
        <v>37070</v>
      </c>
      <c r="G232" s="8">
        <v>1</v>
      </c>
      <c r="H232" s="8">
        <v>1</v>
      </c>
      <c r="I232" s="8">
        <f>Table1[[#This Row],[kids]]+Table1[[#This Row],[teens]]</f>
        <v>2</v>
      </c>
      <c r="J232" s="9">
        <v>41353</v>
      </c>
      <c r="K232" s="8">
        <v>30</v>
      </c>
      <c r="L232" s="6">
        <v>231</v>
      </c>
      <c r="M232" s="5">
        <v>7</v>
      </c>
      <c r="N232" s="5">
        <v>137</v>
      </c>
      <c r="O232" s="5">
        <v>4</v>
      </c>
      <c r="P232" s="5">
        <v>15</v>
      </c>
      <c r="Q232" s="5">
        <v>39</v>
      </c>
      <c r="R232" s="8">
        <v>9</v>
      </c>
      <c r="S232" s="8">
        <v>5</v>
      </c>
      <c r="T232" s="8">
        <v>1</v>
      </c>
      <c r="U232" s="8">
        <v>8</v>
      </c>
      <c r="V232" s="8">
        <v>7</v>
      </c>
      <c r="W232" t="s">
        <v>473</v>
      </c>
      <c r="X232" t="s">
        <v>473</v>
      </c>
      <c r="Y232" t="s">
        <v>473</v>
      </c>
      <c r="Z232" t="s">
        <v>473</v>
      </c>
      <c r="AA232" t="s">
        <v>473</v>
      </c>
      <c r="AB232" t="s">
        <v>473</v>
      </c>
      <c r="AC232" s="10">
        <v>3</v>
      </c>
      <c r="AD232" s="10">
        <v>11</v>
      </c>
      <c r="AE232" t="s">
        <v>474</v>
      </c>
    </row>
    <row r="233" spans="1:31" x14ac:dyDescent="0.25">
      <c r="A233">
        <v>5341</v>
      </c>
      <c r="B233">
        <v>1962</v>
      </c>
      <c r="C233" t="s">
        <v>46</v>
      </c>
      <c r="D233" t="s">
        <v>37</v>
      </c>
      <c r="E233" t="str">
        <f>IF(OR(Table1[[#This Row],[marital_status]]="Married", Table1[[#This Row],[marital_status]]="Together"), "Partnered", "Single")</f>
        <v>Single</v>
      </c>
      <c r="F233" s="7">
        <v>81975</v>
      </c>
      <c r="G233" s="8">
        <v>0</v>
      </c>
      <c r="H233" s="8">
        <v>1</v>
      </c>
      <c r="I233" s="8">
        <f>Table1[[#This Row],[kids]]+Table1[[#This Row],[teens]]</f>
        <v>1</v>
      </c>
      <c r="J233" s="9">
        <v>41279</v>
      </c>
      <c r="K233" s="8">
        <v>2</v>
      </c>
      <c r="L233" s="6">
        <v>983</v>
      </c>
      <c r="M233" s="5">
        <v>76</v>
      </c>
      <c r="N233" s="5">
        <v>184</v>
      </c>
      <c r="O233" s="5">
        <v>180</v>
      </c>
      <c r="P233" s="5">
        <v>138</v>
      </c>
      <c r="Q233" s="5">
        <v>27</v>
      </c>
      <c r="R233" s="8">
        <v>1</v>
      </c>
      <c r="S233" s="8">
        <v>6</v>
      </c>
      <c r="T233" s="8">
        <v>3</v>
      </c>
      <c r="U233" s="8">
        <v>4</v>
      </c>
      <c r="V233" s="8">
        <v>7</v>
      </c>
      <c r="W233" t="s">
        <v>473</v>
      </c>
      <c r="X233" t="s">
        <v>473</v>
      </c>
      <c r="Y233" t="s">
        <v>474</v>
      </c>
      <c r="Z233" t="s">
        <v>473</v>
      </c>
      <c r="AA233" t="s">
        <v>473</v>
      </c>
      <c r="AB233" t="s">
        <v>473</v>
      </c>
      <c r="AC233" s="10">
        <v>3</v>
      </c>
      <c r="AD233" s="10">
        <v>11</v>
      </c>
      <c r="AE233" t="s">
        <v>473</v>
      </c>
    </row>
    <row r="234" spans="1:31" x14ac:dyDescent="0.25">
      <c r="A234">
        <v>1606</v>
      </c>
      <c r="B234">
        <v>1971</v>
      </c>
      <c r="C234" t="s">
        <v>466</v>
      </c>
      <c r="D234" t="s">
        <v>31</v>
      </c>
      <c r="E234" t="str">
        <f>IF(OR(Table1[[#This Row],[marital_status]]="Married", Table1[[#This Row],[marital_status]]="Together"), "Partnered", "Single")</f>
        <v>Partnered</v>
      </c>
      <c r="F234" s="7">
        <v>38590</v>
      </c>
      <c r="G234" s="8">
        <v>1</v>
      </c>
      <c r="H234" s="8">
        <v>0</v>
      </c>
      <c r="I234" s="8">
        <f>Table1[[#This Row],[kids]]+Table1[[#This Row],[teens]]</f>
        <v>1</v>
      </c>
      <c r="J234" s="9">
        <v>41409</v>
      </c>
      <c r="K234" s="8">
        <v>65</v>
      </c>
      <c r="L234" s="6">
        <v>3</v>
      </c>
      <c r="M234" s="5">
        <v>1</v>
      </c>
      <c r="N234" s="5">
        <v>8</v>
      </c>
      <c r="O234" s="5">
        <v>4</v>
      </c>
      <c r="P234" s="5">
        <v>3</v>
      </c>
      <c r="Q234" s="5">
        <v>3</v>
      </c>
      <c r="R234" s="8">
        <v>1</v>
      </c>
      <c r="S234" s="8">
        <v>1</v>
      </c>
      <c r="T234" s="8">
        <v>0</v>
      </c>
      <c r="U234" s="8">
        <v>2</v>
      </c>
      <c r="V234" s="8">
        <v>8</v>
      </c>
      <c r="W234" t="s">
        <v>473</v>
      </c>
      <c r="X234" t="s">
        <v>473</v>
      </c>
      <c r="Y234" t="s">
        <v>473</v>
      </c>
      <c r="Z234" t="s">
        <v>473</v>
      </c>
      <c r="AA234" t="s">
        <v>473</v>
      </c>
      <c r="AB234" t="s">
        <v>473</v>
      </c>
      <c r="AC234" s="10">
        <v>3</v>
      </c>
      <c r="AD234" s="10">
        <v>11</v>
      </c>
      <c r="AE234" t="s">
        <v>473</v>
      </c>
    </row>
    <row r="235" spans="1:31" x14ac:dyDescent="0.25">
      <c r="A235">
        <v>9617</v>
      </c>
      <c r="B235">
        <v>1951</v>
      </c>
      <c r="C235" t="s">
        <v>466</v>
      </c>
      <c r="D235" t="s">
        <v>30</v>
      </c>
      <c r="E235" t="str">
        <f>IF(OR(Table1[[#This Row],[marital_status]]="Married", Table1[[#This Row],[marital_status]]="Together"), "Partnered", "Single")</f>
        <v>Single</v>
      </c>
      <c r="F235" s="7">
        <v>15033</v>
      </c>
      <c r="G235" s="8">
        <v>0</v>
      </c>
      <c r="H235" s="8">
        <v>0</v>
      </c>
      <c r="I235" s="8">
        <f>Table1[[#This Row],[kids]]+Table1[[#This Row],[teens]]</f>
        <v>0</v>
      </c>
      <c r="J235" s="9">
        <v>41745</v>
      </c>
      <c r="K235" s="8">
        <v>37</v>
      </c>
      <c r="L235" s="6">
        <v>0</v>
      </c>
      <c r="M235" s="5">
        <v>4</v>
      </c>
      <c r="N235" s="5">
        <v>5</v>
      </c>
      <c r="O235" s="5">
        <v>6</v>
      </c>
      <c r="P235" s="5">
        <v>0</v>
      </c>
      <c r="Q235" s="5">
        <v>4</v>
      </c>
      <c r="R235" s="8">
        <v>1</v>
      </c>
      <c r="S235" s="8">
        <v>1</v>
      </c>
      <c r="T235" s="8">
        <v>0</v>
      </c>
      <c r="U235" s="8">
        <v>3</v>
      </c>
      <c r="V235" s="8">
        <v>3</v>
      </c>
      <c r="W235" t="s">
        <v>473</v>
      </c>
      <c r="X235" t="s">
        <v>473</v>
      </c>
      <c r="Y235" t="s">
        <v>473</v>
      </c>
      <c r="Z235" t="s">
        <v>473</v>
      </c>
      <c r="AA235" t="s">
        <v>473</v>
      </c>
      <c r="AB235" t="s">
        <v>473</v>
      </c>
      <c r="AC235" s="10">
        <v>3</v>
      </c>
      <c r="AD235" s="10">
        <v>11</v>
      </c>
      <c r="AE235" t="s">
        <v>473</v>
      </c>
    </row>
    <row r="236" spans="1:31" x14ac:dyDescent="0.25">
      <c r="A236">
        <v>3233</v>
      </c>
      <c r="B236">
        <v>1965</v>
      </c>
      <c r="C236" t="s">
        <v>33</v>
      </c>
      <c r="D236" t="s">
        <v>34</v>
      </c>
      <c r="E236" t="str">
        <f>IF(OR(Table1[[#This Row],[marital_status]]="Married", Table1[[#This Row],[marital_status]]="Together"), "Partnered", "Single")</f>
        <v>Partnered</v>
      </c>
      <c r="F236" s="7">
        <v>62745</v>
      </c>
      <c r="G236" s="8">
        <v>0</v>
      </c>
      <c r="H236" s="8">
        <v>1</v>
      </c>
      <c r="I236" s="8">
        <f>Table1[[#This Row],[kids]]+Table1[[#This Row],[teens]]</f>
        <v>1</v>
      </c>
      <c r="J236" s="9">
        <v>41356</v>
      </c>
      <c r="K236" s="8">
        <v>89</v>
      </c>
      <c r="L236" s="6">
        <v>562</v>
      </c>
      <c r="M236" s="5">
        <v>21</v>
      </c>
      <c r="N236" s="5">
        <v>464</v>
      </c>
      <c r="O236" s="5">
        <v>28</v>
      </c>
      <c r="P236" s="5">
        <v>10</v>
      </c>
      <c r="Q236" s="5">
        <v>32</v>
      </c>
      <c r="R236" s="8">
        <v>3</v>
      </c>
      <c r="S236" s="8">
        <v>7</v>
      </c>
      <c r="T236" s="8">
        <v>8</v>
      </c>
      <c r="U236" s="8">
        <v>11</v>
      </c>
      <c r="V236" s="8">
        <v>5</v>
      </c>
      <c r="W236" t="s">
        <v>473</v>
      </c>
      <c r="X236" t="s">
        <v>473</v>
      </c>
      <c r="Y236" t="s">
        <v>473</v>
      </c>
      <c r="Z236" t="s">
        <v>473</v>
      </c>
      <c r="AA236" t="s">
        <v>473</v>
      </c>
      <c r="AB236" t="s">
        <v>473</v>
      </c>
      <c r="AC236" s="10">
        <v>3</v>
      </c>
      <c r="AD236" s="10">
        <v>11</v>
      </c>
      <c r="AE236" t="s">
        <v>473</v>
      </c>
    </row>
    <row r="237" spans="1:31" x14ac:dyDescent="0.25">
      <c r="A237">
        <v>89</v>
      </c>
      <c r="B237">
        <v>1975</v>
      </c>
      <c r="C237" t="s">
        <v>46</v>
      </c>
      <c r="D237" t="s">
        <v>34</v>
      </c>
      <c r="E237" t="str">
        <f>IF(OR(Table1[[#This Row],[marital_status]]="Married", Table1[[#This Row],[marital_status]]="Together"), "Partnered", "Single")</f>
        <v>Partnered</v>
      </c>
      <c r="F237" s="7">
        <v>22212</v>
      </c>
      <c r="G237" s="8">
        <v>1</v>
      </c>
      <c r="H237" s="8">
        <v>0</v>
      </c>
      <c r="I237" s="8">
        <f>Table1[[#This Row],[kids]]+Table1[[#This Row],[teens]]</f>
        <v>1</v>
      </c>
      <c r="J237" s="9">
        <v>41617</v>
      </c>
      <c r="K237" s="8">
        <v>49</v>
      </c>
      <c r="L237" s="6">
        <v>5</v>
      </c>
      <c r="M237" s="5">
        <v>9</v>
      </c>
      <c r="N237" s="5">
        <v>20</v>
      </c>
      <c r="O237" s="5">
        <v>6</v>
      </c>
      <c r="P237" s="5">
        <v>8</v>
      </c>
      <c r="Q237" s="5">
        <v>21</v>
      </c>
      <c r="R237" s="8">
        <v>2</v>
      </c>
      <c r="S237" s="8">
        <v>2</v>
      </c>
      <c r="T237" s="8">
        <v>0</v>
      </c>
      <c r="U237" s="8">
        <v>4</v>
      </c>
      <c r="V237" s="8">
        <v>6</v>
      </c>
      <c r="W237" t="s">
        <v>473</v>
      </c>
      <c r="X237" t="s">
        <v>473</v>
      </c>
      <c r="Y237" t="s">
        <v>473</v>
      </c>
      <c r="Z237" t="s">
        <v>473</v>
      </c>
      <c r="AA237" t="s">
        <v>473</v>
      </c>
      <c r="AB237" t="s">
        <v>473</v>
      </c>
      <c r="AC237" s="10">
        <v>3</v>
      </c>
      <c r="AD237" s="10">
        <v>11</v>
      </c>
      <c r="AE237" t="s">
        <v>473</v>
      </c>
    </row>
    <row r="238" spans="1:31" x14ac:dyDescent="0.25">
      <c r="A238">
        <v>2936</v>
      </c>
      <c r="B238">
        <v>1982</v>
      </c>
      <c r="C238" t="s">
        <v>36</v>
      </c>
      <c r="D238" t="s">
        <v>31</v>
      </c>
      <c r="E238" t="str">
        <f>IF(OR(Table1[[#This Row],[marital_status]]="Married", Table1[[#This Row],[marital_status]]="Together"), "Partnered", "Single")</f>
        <v>Partnered</v>
      </c>
      <c r="F238" s="7">
        <v>23661</v>
      </c>
      <c r="G238" s="8">
        <v>1</v>
      </c>
      <c r="H238" s="8">
        <v>0</v>
      </c>
      <c r="I238" s="8">
        <f>Table1[[#This Row],[kids]]+Table1[[#This Row],[teens]]</f>
        <v>1</v>
      </c>
      <c r="J238" s="9">
        <v>41612</v>
      </c>
      <c r="K238" s="8">
        <v>46</v>
      </c>
      <c r="L238" s="6">
        <v>18</v>
      </c>
      <c r="M238" s="5">
        <v>0</v>
      </c>
      <c r="N238" s="5">
        <v>4</v>
      </c>
      <c r="O238" s="5">
        <v>0</v>
      </c>
      <c r="P238" s="5">
        <v>0</v>
      </c>
      <c r="Q238" s="5">
        <v>1</v>
      </c>
      <c r="R238" s="8">
        <v>1</v>
      </c>
      <c r="S238" s="8">
        <v>1</v>
      </c>
      <c r="T238" s="8">
        <v>0</v>
      </c>
      <c r="U238" s="8">
        <v>3</v>
      </c>
      <c r="V238" s="8">
        <v>7</v>
      </c>
      <c r="W238" t="s">
        <v>473</v>
      </c>
      <c r="X238" t="s">
        <v>473</v>
      </c>
      <c r="Y238" t="s">
        <v>473</v>
      </c>
      <c r="Z238" t="s">
        <v>473</v>
      </c>
      <c r="AA238" t="s">
        <v>473</v>
      </c>
      <c r="AB238" t="s">
        <v>473</v>
      </c>
      <c r="AC238" s="10">
        <v>3</v>
      </c>
      <c r="AD238" s="10">
        <v>11</v>
      </c>
      <c r="AE238" t="s">
        <v>473</v>
      </c>
    </row>
    <row r="239" spans="1:31" x14ac:dyDescent="0.25">
      <c r="A239">
        <v>9449</v>
      </c>
      <c r="B239">
        <v>1958</v>
      </c>
      <c r="C239" t="s">
        <v>33</v>
      </c>
      <c r="D239" t="s">
        <v>30</v>
      </c>
      <c r="E239" t="str">
        <f>IF(OR(Table1[[#This Row],[marital_status]]="Married", Table1[[#This Row],[marital_status]]="Together"), "Partnered", "Single")</f>
        <v>Single</v>
      </c>
      <c r="F239" s="7">
        <v>79761</v>
      </c>
      <c r="G239" s="8">
        <v>0</v>
      </c>
      <c r="H239" s="8">
        <v>1</v>
      </c>
      <c r="I239" s="8">
        <f>Table1[[#This Row],[kids]]+Table1[[#This Row],[teens]]</f>
        <v>1</v>
      </c>
      <c r="J239" s="9">
        <v>41551</v>
      </c>
      <c r="K239" s="8">
        <v>32</v>
      </c>
      <c r="L239" s="6">
        <v>415</v>
      </c>
      <c r="M239" s="5">
        <v>5</v>
      </c>
      <c r="N239" s="5">
        <v>124</v>
      </c>
      <c r="O239" s="5">
        <v>15</v>
      </c>
      <c r="P239" s="5">
        <v>35</v>
      </c>
      <c r="Q239" s="5">
        <v>11</v>
      </c>
      <c r="R239" s="8">
        <v>1</v>
      </c>
      <c r="S239" s="8">
        <v>5</v>
      </c>
      <c r="T239" s="8">
        <v>2</v>
      </c>
      <c r="U239" s="8">
        <v>11</v>
      </c>
      <c r="V239" s="8">
        <v>3</v>
      </c>
      <c r="W239" t="s">
        <v>473</v>
      </c>
      <c r="X239" t="s">
        <v>473</v>
      </c>
      <c r="Y239" t="s">
        <v>473</v>
      </c>
      <c r="Z239" t="s">
        <v>473</v>
      </c>
      <c r="AA239" t="s">
        <v>473</v>
      </c>
      <c r="AB239" t="s">
        <v>473</v>
      </c>
      <c r="AC239" s="10">
        <v>3</v>
      </c>
      <c r="AD239" s="10">
        <v>11</v>
      </c>
      <c r="AE239" t="s">
        <v>473</v>
      </c>
    </row>
    <row r="240" spans="1:31" x14ac:dyDescent="0.25">
      <c r="A240">
        <v>7297</v>
      </c>
      <c r="B240">
        <v>1973</v>
      </c>
      <c r="C240" t="s">
        <v>466</v>
      </c>
      <c r="D240" t="s">
        <v>30</v>
      </c>
      <c r="E240" t="str">
        <f>IF(OR(Table1[[#This Row],[marital_status]]="Married", Table1[[#This Row],[marital_status]]="Together"), "Partnered", "Single")</f>
        <v>Single</v>
      </c>
      <c r="F240" s="7">
        <v>7500</v>
      </c>
      <c r="G240" s="8">
        <v>1</v>
      </c>
      <c r="H240" s="8">
        <v>0</v>
      </c>
      <c r="I240" s="8">
        <f>Table1[[#This Row],[kids]]+Table1[[#This Row],[teens]]</f>
        <v>1</v>
      </c>
      <c r="J240" s="9">
        <v>41634</v>
      </c>
      <c r="K240" s="8">
        <v>54</v>
      </c>
      <c r="L240" s="6">
        <v>5</v>
      </c>
      <c r="M240" s="5">
        <v>3</v>
      </c>
      <c r="N240" s="5">
        <v>10</v>
      </c>
      <c r="O240" s="5">
        <v>12</v>
      </c>
      <c r="P240" s="5">
        <v>7</v>
      </c>
      <c r="Q240" s="5">
        <v>20</v>
      </c>
      <c r="R240" s="8">
        <v>4</v>
      </c>
      <c r="S240" s="8">
        <v>3</v>
      </c>
      <c r="T240" s="8">
        <v>1</v>
      </c>
      <c r="U240" s="8">
        <v>3</v>
      </c>
      <c r="V240" s="8">
        <v>7</v>
      </c>
      <c r="W240" t="s">
        <v>473</v>
      </c>
      <c r="X240" t="s">
        <v>473</v>
      </c>
      <c r="Y240" t="s">
        <v>473</v>
      </c>
      <c r="Z240" t="s">
        <v>473</v>
      </c>
      <c r="AA240" t="s">
        <v>473</v>
      </c>
      <c r="AB240" t="s">
        <v>473</v>
      </c>
      <c r="AC240" s="10">
        <v>3</v>
      </c>
      <c r="AD240" s="10">
        <v>11</v>
      </c>
      <c r="AE240" t="s">
        <v>473</v>
      </c>
    </row>
    <row r="241" spans="1:31" x14ac:dyDescent="0.25">
      <c r="A241">
        <v>11004</v>
      </c>
      <c r="B241">
        <v>1893</v>
      </c>
      <c r="C241" t="s">
        <v>46</v>
      </c>
      <c r="D241" t="s">
        <v>30</v>
      </c>
      <c r="E241" t="str">
        <f>IF(OR(Table1[[#This Row],[marital_status]]="Married", Table1[[#This Row],[marital_status]]="Together"), "Partnered", "Single")</f>
        <v>Single</v>
      </c>
      <c r="F241" s="7">
        <v>60182</v>
      </c>
      <c r="G241" s="8">
        <v>0</v>
      </c>
      <c r="H241" s="8">
        <v>1</v>
      </c>
      <c r="I241" s="8">
        <f>Table1[[#This Row],[kids]]+Table1[[#This Row],[teens]]</f>
        <v>1</v>
      </c>
      <c r="J241" s="9">
        <v>41776</v>
      </c>
      <c r="K241" s="8">
        <v>23</v>
      </c>
      <c r="L241" s="6">
        <v>8</v>
      </c>
      <c r="M241" s="5">
        <v>0</v>
      </c>
      <c r="N241" s="5">
        <v>5</v>
      </c>
      <c r="O241" s="5">
        <v>7</v>
      </c>
      <c r="P241" s="5">
        <v>0</v>
      </c>
      <c r="Q241" s="5">
        <v>2</v>
      </c>
      <c r="R241" s="8">
        <v>1</v>
      </c>
      <c r="S241" s="8">
        <v>1</v>
      </c>
      <c r="T241" s="8">
        <v>0</v>
      </c>
      <c r="U241" s="8">
        <v>2</v>
      </c>
      <c r="V241" s="8">
        <v>4</v>
      </c>
      <c r="W241" t="s">
        <v>473</v>
      </c>
      <c r="X241" t="s">
        <v>473</v>
      </c>
      <c r="Y241" t="s">
        <v>473</v>
      </c>
      <c r="Z241" t="s">
        <v>473</v>
      </c>
      <c r="AA241" t="s">
        <v>473</v>
      </c>
      <c r="AB241" t="s">
        <v>473</v>
      </c>
      <c r="AC241" s="10">
        <v>3</v>
      </c>
      <c r="AD241" s="10">
        <v>11</v>
      </c>
      <c r="AE241" t="s">
        <v>473</v>
      </c>
    </row>
    <row r="242" spans="1:31" x14ac:dyDescent="0.25">
      <c r="A242">
        <v>313</v>
      </c>
      <c r="B242">
        <v>1968</v>
      </c>
      <c r="C242" t="s">
        <v>466</v>
      </c>
      <c r="D242" t="s">
        <v>57</v>
      </c>
      <c r="E242" t="str">
        <f>IF(OR(Table1[[#This Row],[marital_status]]="Married", Table1[[#This Row],[marital_status]]="Together"), "Partnered", "Single")</f>
        <v>Single</v>
      </c>
      <c r="F242" s="7">
        <v>73455</v>
      </c>
      <c r="G242" s="8">
        <v>0</v>
      </c>
      <c r="H242" s="8">
        <v>0</v>
      </c>
      <c r="I242" s="8">
        <f>Table1[[#This Row],[kids]]+Table1[[#This Row],[teens]]</f>
        <v>0</v>
      </c>
      <c r="J242" s="9">
        <v>41575</v>
      </c>
      <c r="K242" s="8">
        <v>98</v>
      </c>
      <c r="L242" s="6">
        <v>901</v>
      </c>
      <c r="M242" s="5">
        <v>61</v>
      </c>
      <c r="N242" s="5">
        <v>757</v>
      </c>
      <c r="O242" s="5">
        <v>186</v>
      </c>
      <c r="P242" s="5">
        <v>163</v>
      </c>
      <c r="Q242" s="5">
        <v>20</v>
      </c>
      <c r="R242" s="8">
        <v>1</v>
      </c>
      <c r="S242" s="8">
        <v>6</v>
      </c>
      <c r="T242" s="8">
        <v>5</v>
      </c>
      <c r="U242" s="8">
        <v>10</v>
      </c>
      <c r="V242" s="8">
        <v>3</v>
      </c>
      <c r="W242" t="s">
        <v>473</v>
      </c>
      <c r="X242" t="s">
        <v>474</v>
      </c>
      <c r="Y242" t="s">
        <v>473</v>
      </c>
      <c r="Z242" t="s">
        <v>473</v>
      </c>
      <c r="AA242" t="s">
        <v>473</v>
      </c>
      <c r="AB242" t="s">
        <v>473</v>
      </c>
      <c r="AC242" s="10">
        <v>3</v>
      </c>
      <c r="AD242" s="10">
        <v>11</v>
      </c>
      <c r="AE242" t="s">
        <v>473</v>
      </c>
    </row>
    <row r="243" spans="1:31" x14ac:dyDescent="0.25">
      <c r="A243">
        <v>9940</v>
      </c>
      <c r="B243">
        <v>1958</v>
      </c>
      <c r="C243" t="s">
        <v>466</v>
      </c>
      <c r="D243" t="s">
        <v>31</v>
      </c>
      <c r="E243" t="str">
        <f>IF(OR(Table1[[#This Row],[marital_status]]="Married", Table1[[#This Row],[marital_status]]="Together"), "Partnered", "Single")</f>
        <v>Partnered</v>
      </c>
      <c r="F243" s="7">
        <v>64961</v>
      </c>
      <c r="G243" s="8">
        <v>0</v>
      </c>
      <c r="H243" s="8">
        <v>1</v>
      </c>
      <c r="I243" s="8">
        <f>Table1[[#This Row],[kids]]+Table1[[#This Row],[teens]]</f>
        <v>1</v>
      </c>
      <c r="J243" s="9">
        <v>41266</v>
      </c>
      <c r="K243" s="8">
        <v>97</v>
      </c>
      <c r="L243" s="6">
        <v>382</v>
      </c>
      <c r="M243" s="5">
        <v>114</v>
      </c>
      <c r="N243" s="5">
        <v>276</v>
      </c>
      <c r="O243" s="5">
        <v>75</v>
      </c>
      <c r="P243" s="5">
        <v>124</v>
      </c>
      <c r="Q243" s="5">
        <v>38</v>
      </c>
      <c r="R243" s="8">
        <v>2</v>
      </c>
      <c r="S243" s="8">
        <v>6</v>
      </c>
      <c r="T243" s="8">
        <v>4</v>
      </c>
      <c r="U243" s="8">
        <v>4</v>
      </c>
      <c r="V243" s="8">
        <v>3</v>
      </c>
      <c r="W243" t="s">
        <v>473</v>
      </c>
      <c r="X243" t="s">
        <v>473</v>
      </c>
      <c r="Y243" t="s">
        <v>473</v>
      </c>
      <c r="Z243" t="s">
        <v>473</v>
      </c>
      <c r="AA243" t="s">
        <v>473</v>
      </c>
      <c r="AB243" t="s">
        <v>473</v>
      </c>
      <c r="AC243" s="10">
        <v>3</v>
      </c>
      <c r="AD243" s="10">
        <v>11</v>
      </c>
      <c r="AE243" t="s">
        <v>473</v>
      </c>
    </row>
    <row r="244" spans="1:31" x14ac:dyDescent="0.25">
      <c r="A244">
        <v>10735</v>
      </c>
      <c r="B244">
        <v>1971</v>
      </c>
      <c r="C244" t="s">
        <v>466</v>
      </c>
      <c r="D244" t="s">
        <v>30</v>
      </c>
      <c r="E244" t="str">
        <f>IF(OR(Table1[[#This Row],[marital_status]]="Married", Table1[[#This Row],[marital_status]]="Together"), "Partnered", "Single")</f>
        <v>Single</v>
      </c>
      <c r="F244" s="7">
        <v>22804</v>
      </c>
      <c r="G244" s="8">
        <v>1</v>
      </c>
      <c r="H244" s="8">
        <v>0</v>
      </c>
      <c r="I244" s="8">
        <f>Table1[[#This Row],[kids]]+Table1[[#This Row],[teens]]</f>
        <v>1</v>
      </c>
      <c r="J244" s="9">
        <v>41486</v>
      </c>
      <c r="K244" s="8">
        <v>75</v>
      </c>
      <c r="L244" s="6">
        <v>14</v>
      </c>
      <c r="M244" s="5">
        <v>1</v>
      </c>
      <c r="N244" s="5">
        <v>7</v>
      </c>
      <c r="O244" s="5">
        <v>2</v>
      </c>
      <c r="P244" s="5">
        <v>1</v>
      </c>
      <c r="Q244" s="5">
        <v>1</v>
      </c>
      <c r="R244" s="8">
        <v>1</v>
      </c>
      <c r="S244" s="8">
        <v>2</v>
      </c>
      <c r="T244" s="8">
        <v>0</v>
      </c>
      <c r="U244" s="8">
        <v>2</v>
      </c>
      <c r="V244" s="8">
        <v>9</v>
      </c>
      <c r="W244" t="s">
        <v>473</v>
      </c>
      <c r="X244" t="s">
        <v>473</v>
      </c>
      <c r="Y244" t="s">
        <v>473</v>
      </c>
      <c r="Z244" t="s">
        <v>473</v>
      </c>
      <c r="AA244" t="s">
        <v>473</v>
      </c>
      <c r="AB244" t="s">
        <v>473</v>
      </c>
      <c r="AC244" s="10">
        <v>3</v>
      </c>
      <c r="AD244" s="10">
        <v>11</v>
      </c>
      <c r="AE244" t="s">
        <v>473</v>
      </c>
    </row>
    <row r="245" spans="1:31" x14ac:dyDescent="0.25">
      <c r="A245">
        <v>9529</v>
      </c>
      <c r="B245">
        <v>1990</v>
      </c>
      <c r="C245" t="s">
        <v>466</v>
      </c>
      <c r="D245" t="s">
        <v>34</v>
      </c>
      <c r="E245" t="str">
        <f>IF(OR(Table1[[#This Row],[marital_status]]="Married", Table1[[#This Row],[marital_status]]="Together"), "Partnered", "Single")</f>
        <v>Partnered</v>
      </c>
      <c r="F245" s="7">
        <v>73687</v>
      </c>
      <c r="G245" s="8">
        <v>0</v>
      </c>
      <c r="H245" s="8">
        <v>0</v>
      </c>
      <c r="I245" s="8">
        <f>Table1[[#This Row],[kids]]+Table1[[#This Row],[teens]]</f>
        <v>0</v>
      </c>
      <c r="J245" s="9">
        <v>41606</v>
      </c>
      <c r="K245" s="8">
        <v>8</v>
      </c>
      <c r="L245" s="6">
        <v>559</v>
      </c>
      <c r="M245" s="5">
        <v>153</v>
      </c>
      <c r="N245" s="5">
        <v>503</v>
      </c>
      <c r="O245" s="5">
        <v>218</v>
      </c>
      <c r="P245" s="5">
        <v>13</v>
      </c>
      <c r="Q245" s="5">
        <v>181</v>
      </c>
      <c r="R245" s="8">
        <v>1</v>
      </c>
      <c r="S245" s="8">
        <v>3</v>
      </c>
      <c r="T245" s="8">
        <v>9</v>
      </c>
      <c r="U245" s="8">
        <v>9</v>
      </c>
      <c r="V245" s="8">
        <v>2</v>
      </c>
      <c r="W245" t="s">
        <v>473</v>
      </c>
      <c r="X245" t="s">
        <v>473</v>
      </c>
      <c r="Y245" t="s">
        <v>473</v>
      </c>
      <c r="Z245" t="s">
        <v>474</v>
      </c>
      <c r="AA245" t="s">
        <v>473</v>
      </c>
      <c r="AB245" t="s">
        <v>473</v>
      </c>
      <c r="AC245" s="10">
        <v>3</v>
      </c>
      <c r="AD245" s="10">
        <v>11</v>
      </c>
      <c r="AE245" t="s">
        <v>474</v>
      </c>
    </row>
    <row r="246" spans="1:31" x14ac:dyDescent="0.25">
      <c r="A246">
        <v>6439</v>
      </c>
      <c r="B246">
        <v>1958</v>
      </c>
      <c r="C246" t="s">
        <v>466</v>
      </c>
      <c r="D246" t="s">
        <v>34</v>
      </c>
      <c r="E246" t="str">
        <f>IF(OR(Table1[[#This Row],[marital_status]]="Married", Table1[[#This Row],[marital_status]]="Together"), "Partnered", "Single")</f>
        <v>Partnered</v>
      </c>
      <c r="F246" s="7">
        <v>61074</v>
      </c>
      <c r="G246" s="8">
        <v>0</v>
      </c>
      <c r="H246" s="8">
        <v>1</v>
      </c>
      <c r="I246" s="8">
        <f>Table1[[#This Row],[kids]]+Table1[[#This Row],[teens]]</f>
        <v>1</v>
      </c>
      <c r="J246" s="9">
        <v>41138</v>
      </c>
      <c r="K246" s="8">
        <v>37</v>
      </c>
      <c r="L246" s="6">
        <v>789</v>
      </c>
      <c r="M246" s="5">
        <v>0</v>
      </c>
      <c r="N246" s="5">
        <v>133</v>
      </c>
      <c r="O246" s="5">
        <v>0</v>
      </c>
      <c r="P246" s="5">
        <v>28</v>
      </c>
      <c r="Q246" s="5">
        <v>152</v>
      </c>
      <c r="R246" s="8">
        <v>7</v>
      </c>
      <c r="S246" s="8">
        <v>11</v>
      </c>
      <c r="T246" s="8">
        <v>5</v>
      </c>
      <c r="U246" s="8">
        <v>8</v>
      </c>
      <c r="V246" s="8">
        <v>7</v>
      </c>
      <c r="W246" t="s">
        <v>473</v>
      </c>
      <c r="X246" t="s">
        <v>473</v>
      </c>
      <c r="Y246" t="s">
        <v>473</v>
      </c>
      <c r="Z246" t="s">
        <v>473</v>
      </c>
      <c r="AA246" t="s">
        <v>473</v>
      </c>
      <c r="AB246" t="s">
        <v>473</v>
      </c>
      <c r="AC246" s="10">
        <v>3</v>
      </c>
      <c r="AD246" s="10">
        <v>11</v>
      </c>
      <c r="AE246" t="s">
        <v>473</v>
      </c>
    </row>
    <row r="247" spans="1:31" x14ac:dyDescent="0.25">
      <c r="A247">
        <v>7411</v>
      </c>
      <c r="B247">
        <v>1964</v>
      </c>
      <c r="C247" t="s">
        <v>33</v>
      </c>
      <c r="D247" t="s">
        <v>34</v>
      </c>
      <c r="E247" t="str">
        <f>IF(OR(Table1[[#This Row],[marital_status]]="Married", Table1[[#This Row],[marital_status]]="Together"), "Partnered", "Single")</f>
        <v>Partnered</v>
      </c>
      <c r="F247" s="7">
        <v>31686</v>
      </c>
      <c r="G247" s="8">
        <v>1</v>
      </c>
      <c r="H247" s="8">
        <v>1</v>
      </c>
      <c r="I247" s="8">
        <f>Table1[[#This Row],[kids]]+Table1[[#This Row],[teens]]</f>
        <v>2</v>
      </c>
      <c r="J247" s="9">
        <v>41795</v>
      </c>
      <c r="K247" s="8">
        <v>31</v>
      </c>
      <c r="L247" s="6">
        <v>11</v>
      </c>
      <c r="M247" s="5">
        <v>0</v>
      </c>
      <c r="N247" s="5">
        <v>5</v>
      </c>
      <c r="O247" s="5">
        <v>0</v>
      </c>
      <c r="P247" s="5">
        <v>0</v>
      </c>
      <c r="Q247" s="5">
        <v>1</v>
      </c>
      <c r="R247" s="8">
        <v>2</v>
      </c>
      <c r="S247" s="8">
        <v>1</v>
      </c>
      <c r="T247" s="8">
        <v>0</v>
      </c>
      <c r="U247" s="8">
        <v>3</v>
      </c>
      <c r="V247" s="8">
        <v>6</v>
      </c>
      <c r="W247" t="s">
        <v>473</v>
      </c>
      <c r="X247" t="s">
        <v>473</v>
      </c>
      <c r="Y247" t="s">
        <v>473</v>
      </c>
      <c r="Z247" t="s">
        <v>473</v>
      </c>
      <c r="AA247" t="s">
        <v>473</v>
      </c>
      <c r="AB247" t="s">
        <v>473</v>
      </c>
      <c r="AC247" s="10">
        <v>3</v>
      </c>
      <c r="AD247" s="10">
        <v>11</v>
      </c>
      <c r="AE247" t="s">
        <v>473</v>
      </c>
    </row>
    <row r="248" spans="1:31" x14ac:dyDescent="0.25">
      <c r="A248">
        <v>2176</v>
      </c>
      <c r="B248">
        <v>1972</v>
      </c>
      <c r="C248" t="s">
        <v>466</v>
      </c>
      <c r="D248" t="s">
        <v>34</v>
      </c>
      <c r="E248" t="str">
        <f>IF(OR(Table1[[#This Row],[marital_status]]="Married", Table1[[#This Row],[marital_status]]="Together"), "Partnered", "Single")</f>
        <v>Partnered</v>
      </c>
      <c r="F248" s="7">
        <v>80134</v>
      </c>
      <c r="G248" s="8">
        <v>1</v>
      </c>
      <c r="H248" s="8">
        <v>0</v>
      </c>
      <c r="I248" s="8">
        <f>Table1[[#This Row],[kids]]+Table1[[#This Row],[teens]]</f>
        <v>1</v>
      </c>
      <c r="J248" s="9">
        <v>41414</v>
      </c>
      <c r="K248" s="8">
        <v>40</v>
      </c>
      <c r="L248" s="6">
        <v>1218</v>
      </c>
      <c r="M248" s="5">
        <v>16</v>
      </c>
      <c r="N248" s="5">
        <v>272</v>
      </c>
      <c r="O248" s="5">
        <v>104</v>
      </c>
      <c r="P248" s="5">
        <v>0</v>
      </c>
      <c r="Q248" s="5">
        <v>80</v>
      </c>
      <c r="R248" s="8">
        <v>2</v>
      </c>
      <c r="S248" s="8">
        <v>5</v>
      </c>
      <c r="T248" s="8">
        <v>3</v>
      </c>
      <c r="U248" s="8">
        <v>6</v>
      </c>
      <c r="V248" s="8">
        <v>6</v>
      </c>
      <c r="W248" t="s">
        <v>473</v>
      </c>
      <c r="X248" t="s">
        <v>474</v>
      </c>
      <c r="Y248" t="s">
        <v>474</v>
      </c>
      <c r="Z248" t="s">
        <v>474</v>
      </c>
      <c r="AA248" t="s">
        <v>473</v>
      </c>
      <c r="AB248" t="s">
        <v>473</v>
      </c>
      <c r="AC248" s="10">
        <v>3</v>
      </c>
      <c r="AD248" s="10">
        <v>11</v>
      </c>
      <c r="AE248" t="s">
        <v>474</v>
      </c>
    </row>
    <row r="249" spans="1:31" x14ac:dyDescent="0.25">
      <c r="A249">
        <v>9265</v>
      </c>
      <c r="B249">
        <v>1953</v>
      </c>
      <c r="C249" t="s">
        <v>466</v>
      </c>
      <c r="D249" t="s">
        <v>34</v>
      </c>
      <c r="E249" t="str">
        <f>IF(OR(Table1[[#This Row],[marital_status]]="Married", Table1[[#This Row],[marital_status]]="Together"), "Partnered", "Single")</f>
        <v>Partnered</v>
      </c>
      <c r="F249" s="7">
        <v>75027</v>
      </c>
      <c r="G249" s="8">
        <v>0</v>
      </c>
      <c r="H249" s="8">
        <v>1</v>
      </c>
      <c r="I249" s="8">
        <f>Table1[[#This Row],[kids]]+Table1[[#This Row],[teens]]</f>
        <v>1</v>
      </c>
      <c r="J249" s="9">
        <v>41283</v>
      </c>
      <c r="K249" s="8">
        <v>74</v>
      </c>
      <c r="L249" s="6">
        <v>925</v>
      </c>
      <c r="M249" s="5">
        <v>64</v>
      </c>
      <c r="N249" s="5">
        <v>179</v>
      </c>
      <c r="O249" s="5">
        <v>133</v>
      </c>
      <c r="P249" s="5">
        <v>12</v>
      </c>
      <c r="Q249" s="5">
        <v>77</v>
      </c>
      <c r="R249" s="8">
        <v>2</v>
      </c>
      <c r="S249" s="8">
        <v>9</v>
      </c>
      <c r="T249" s="8">
        <v>4</v>
      </c>
      <c r="U249" s="8">
        <v>6</v>
      </c>
      <c r="V249" s="8">
        <v>5</v>
      </c>
      <c r="W249" t="s">
        <v>473</v>
      </c>
      <c r="X249" t="s">
        <v>473</v>
      </c>
      <c r="Y249" t="s">
        <v>473</v>
      </c>
      <c r="Z249" t="s">
        <v>473</v>
      </c>
      <c r="AA249" t="s">
        <v>473</v>
      </c>
      <c r="AB249" t="s">
        <v>473</v>
      </c>
      <c r="AC249" s="10">
        <v>3</v>
      </c>
      <c r="AD249" s="10">
        <v>11</v>
      </c>
      <c r="AE249" t="s">
        <v>473</v>
      </c>
    </row>
    <row r="250" spans="1:31" x14ac:dyDescent="0.25">
      <c r="A250">
        <v>8867</v>
      </c>
      <c r="B250">
        <v>1988</v>
      </c>
      <c r="C250" t="s">
        <v>33</v>
      </c>
      <c r="D250" t="s">
        <v>34</v>
      </c>
      <c r="E250" t="str">
        <f>IF(OR(Table1[[#This Row],[marital_status]]="Married", Table1[[#This Row],[marital_status]]="Together"), "Partnered", "Single")</f>
        <v>Partnered</v>
      </c>
      <c r="F250" s="7">
        <v>67546</v>
      </c>
      <c r="G250" s="8">
        <v>0</v>
      </c>
      <c r="H250" s="8">
        <v>0</v>
      </c>
      <c r="I250" s="8">
        <f>Table1[[#This Row],[kids]]+Table1[[#This Row],[teens]]</f>
        <v>0</v>
      </c>
      <c r="J250" s="9">
        <v>41152</v>
      </c>
      <c r="K250" s="8">
        <v>90</v>
      </c>
      <c r="L250" s="6">
        <v>864</v>
      </c>
      <c r="M250" s="5">
        <v>134</v>
      </c>
      <c r="N250" s="5">
        <v>768</v>
      </c>
      <c r="O250" s="5">
        <v>150</v>
      </c>
      <c r="P250" s="5">
        <v>38</v>
      </c>
      <c r="Q250" s="5">
        <v>172</v>
      </c>
      <c r="R250" s="8">
        <v>1</v>
      </c>
      <c r="S250" s="8">
        <v>4</v>
      </c>
      <c r="T250" s="8">
        <v>10</v>
      </c>
      <c r="U250" s="8">
        <v>5</v>
      </c>
      <c r="V250" s="8">
        <v>3</v>
      </c>
      <c r="W250" t="s">
        <v>473</v>
      </c>
      <c r="X250" t="s">
        <v>473</v>
      </c>
      <c r="Y250" t="s">
        <v>473</v>
      </c>
      <c r="Z250" t="s">
        <v>473</v>
      </c>
      <c r="AA250" t="s">
        <v>473</v>
      </c>
      <c r="AB250" t="s">
        <v>473</v>
      </c>
      <c r="AC250" s="10">
        <v>3</v>
      </c>
      <c r="AD250" s="10">
        <v>11</v>
      </c>
      <c r="AE250" t="s">
        <v>473</v>
      </c>
    </row>
    <row r="251" spans="1:31" x14ac:dyDescent="0.25">
      <c r="A251">
        <v>8932</v>
      </c>
      <c r="B251">
        <v>1969</v>
      </c>
      <c r="C251" t="s">
        <v>36</v>
      </c>
      <c r="D251" t="s">
        <v>31</v>
      </c>
      <c r="E251" t="str">
        <f>IF(OR(Table1[[#This Row],[marital_status]]="Married", Table1[[#This Row],[marital_status]]="Together"), "Partnered", "Single")</f>
        <v>Partnered</v>
      </c>
      <c r="F251" s="7">
        <v>65176</v>
      </c>
      <c r="G251" s="8">
        <v>0</v>
      </c>
      <c r="H251" s="8">
        <v>1</v>
      </c>
      <c r="I251" s="8">
        <f>Table1[[#This Row],[kids]]+Table1[[#This Row],[teens]]</f>
        <v>1</v>
      </c>
      <c r="J251" s="9">
        <v>41211</v>
      </c>
      <c r="K251" s="8">
        <v>57</v>
      </c>
      <c r="L251" s="6">
        <v>960</v>
      </c>
      <c r="M251" s="5">
        <v>28</v>
      </c>
      <c r="N251" s="5">
        <v>183</v>
      </c>
      <c r="O251" s="5">
        <v>220</v>
      </c>
      <c r="P251" s="5">
        <v>70</v>
      </c>
      <c r="Q251" s="5">
        <v>70</v>
      </c>
      <c r="R251" s="8">
        <v>4</v>
      </c>
      <c r="S251" s="8">
        <v>9</v>
      </c>
      <c r="T251" s="8">
        <v>6</v>
      </c>
      <c r="U251" s="8">
        <v>6</v>
      </c>
      <c r="V251" s="8">
        <v>6</v>
      </c>
      <c r="W251" t="s">
        <v>473</v>
      </c>
      <c r="X251" t="s">
        <v>473</v>
      </c>
      <c r="Y251" t="s">
        <v>473</v>
      </c>
      <c r="Z251" t="s">
        <v>473</v>
      </c>
      <c r="AA251" t="s">
        <v>473</v>
      </c>
      <c r="AB251" t="s">
        <v>473</v>
      </c>
      <c r="AC251" s="10">
        <v>3</v>
      </c>
      <c r="AD251" s="10">
        <v>11</v>
      </c>
      <c r="AE251" t="s">
        <v>473</v>
      </c>
    </row>
    <row r="252" spans="1:31" x14ac:dyDescent="0.25">
      <c r="A252">
        <v>10236</v>
      </c>
      <c r="B252">
        <v>1975</v>
      </c>
      <c r="C252" t="s">
        <v>36</v>
      </c>
      <c r="D252" t="s">
        <v>30</v>
      </c>
      <c r="E252" t="str">
        <f>IF(OR(Table1[[#This Row],[marital_status]]="Married", Table1[[#This Row],[marital_status]]="Together"), "Partnered", "Single")</f>
        <v>Single</v>
      </c>
      <c r="F252" s="7">
        <v>31160</v>
      </c>
      <c r="G252" s="8">
        <v>1</v>
      </c>
      <c r="H252" s="8">
        <v>0</v>
      </c>
      <c r="I252" s="8">
        <f>Table1[[#This Row],[kids]]+Table1[[#This Row],[teens]]</f>
        <v>1</v>
      </c>
      <c r="J252" s="9">
        <v>41533</v>
      </c>
      <c r="K252" s="8">
        <v>59</v>
      </c>
      <c r="L252" s="6">
        <v>16</v>
      </c>
      <c r="M252" s="5">
        <v>3</v>
      </c>
      <c r="N252" s="5">
        <v>25</v>
      </c>
      <c r="O252" s="5">
        <v>6</v>
      </c>
      <c r="P252" s="5">
        <v>1</v>
      </c>
      <c r="Q252" s="5">
        <v>13</v>
      </c>
      <c r="R252" s="8">
        <v>2</v>
      </c>
      <c r="S252" s="8">
        <v>2</v>
      </c>
      <c r="T252" s="8">
        <v>0</v>
      </c>
      <c r="U252" s="8">
        <v>3</v>
      </c>
      <c r="V252" s="8">
        <v>8</v>
      </c>
      <c r="W252" t="s">
        <v>473</v>
      </c>
      <c r="X252" t="s">
        <v>473</v>
      </c>
      <c r="Y252" t="s">
        <v>473</v>
      </c>
      <c r="Z252" t="s">
        <v>473</v>
      </c>
      <c r="AA252" t="s">
        <v>473</v>
      </c>
      <c r="AB252" t="s">
        <v>473</v>
      </c>
      <c r="AC252" s="10">
        <v>3</v>
      </c>
      <c r="AD252" s="10">
        <v>11</v>
      </c>
      <c r="AE252" t="s">
        <v>473</v>
      </c>
    </row>
    <row r="253" spans="1:31" x14ac:dyDescent="0.25">
      <c r="A253">
        <v>6340</v>
      </c>
      <c r="B253">
        <v>1985</v>
      </c>
      <c r="C253" t="s">
        <v>466</v>
      </c>
      <c r="D253" t="s">
        <v>30</v>
      </c>
      <c r="E253" t="str">
        <f>IF(OR(Table1[[#This Row],[marital_status]]="Married", Table1[[#This Row],[marital_status]]="Together"), "Partnered", "Single")</f>
        <v>Single</v>
      </c>
      <c r="F253" s="7">
        <v>29938</v>
      </c>
      <c r="G253" s="8">
        <v>1</v>
      </c>
      <c r="H253" s="8">
        <v>0</v>
      </c>
      <c r="I253" s="8">
        <f>Table1[[#This Row],[kids]]+Table1[[#This Row],[teens]]</f>
        <v>1</v>
      </c>
      <c r="J253" s="9">
        <v>41574</v>
      </c>
      <c r="K253" s="8">
        <v>52</v>
      </c>
      <c r="L253" s="6">
        <v>3</v>
      </c>
      <c r="M253" s="5">
        <v>3</v>
      </c>
      <c r="N253" s="5">
        <v>7</v>
      </c>
      <c r="O253" s="5">
        <v>0</v>
      </c>
      <c r="P253" s="5">
        <v>2</v>
      </c>
      <c r="Q253" s="5">
        <v>11</v>
      </c>
      <c r="R253" s="8">
        <v>2</v>
      </c>
      <c r="S253" s="8">
        <v>1</v>
      </c>
      <c r="T253" s="8">
        <v>0</v>
      </c>
      <c r="U253" s="8">
        <v>3</v>
      </c>
      <c r="V253" s="8">
        <v>6</v>
      </c>
      <c r="W253" t="s">
        <v>473</v>
      </c>
      <c r="X253" t="s">
        <v>473</v>
      </c>
      <c r="Y253" t="s">
        <v>473</v>
      </c>
      <c r="Z253" t="s">
        <v>473</v>
      </c>
      <c r="AA253" t="s">
        <v>473</v>
      </c>
      <c r="AB253" t="s">
        <v>473</v>
      </c>
      <c r="AC253" s="10">
        <v>3</v>
      </c>
      <c r="AD253" s="10">
        <v>11</v>
      </c>
      <c r="AE253" t="s">
        <v>473</v>
      </c>
    </row>
    <row r="254" spans="1:31" x14ac:dyDescent="0.25">
      <c r="A254">
        <v>10089</v>
      </c>
      <c r="B254">
        <v>1974</v>
      </c>
      <c r="C254" t="s">
        <v>466</v>
      </c>
      <c r="D254" t="s">
        <v>37</v>
      </c>
      <c r="E254" t="str">
        <f>IF(OR(Table1[[#This Row],[marital_status]]="Married", Table1[[#This Row],[marital_status]]="Together"), "Partnered", "Single")</f>
        <v>Single</v>
      </c>
      <c r="F254" s="7">
        <v>102692</v>
      </c>
      <c r="G254" s="8">
        <v>0</v>
      </c>
      <c r="H254" s="8">
        <v>0</v>
      </c>
      <c r="I254" s="8">
        <f>Table1[[#This Row],[kids]]+Table1[[#This Row],[teens]]</f>
        <v>0</v>
      </c>
      <c r="J254" s="9">
        <v>41369</v>
      </c>
      <c r="K254" s="8">
        <v>5</v>
      </c>
      <c r="L254" s="6">
        <v>168</v>
      </c>
      <c r="M254" s="5">
        <v>148</v>
      </c>
      <c r="N254" s="5">
        <v>444</v>
      </c>
      <c r="O254" s="5">
        <v>32</v>
      </c>
      <c r="P254" s="5">
        <v>172</v>
      </c>
      <c r="Q254" s="5">
        <v>148</v>
      </c>
      <c r="R254" s="8">
        <v>1</v>
      </c>
      <c r="S254" s="8">
        <v>6</v>
      </c>
      <c r="T254" s="8">
        <v>9</v>
      </c>
      <c r="U254" s="8">
        <v>13</v>
      </c>
      <c r="V254" s="8">
        <v>2</v>
      </c>
      <c r="W254" t="s">
        <v>473</v>
      </c>
      <c r="X254" t="s">
        <v>474</v>
      </c>
      <c r="Y254" t="s">
        <v>474</v>
      </c>
      <c r="Z254" t="s">
        <v>474</v>
      </c>
      <c r="AA254" t="s">
        <v>474</v>
      </c>
      <c r="AB254" t="s">
        <v>473</v>
      </c>
      <c r="AC254" s="10">
        <v>3</v>
      </c>
      <c r="AD254" s="10">
        <v>11</v>
      </c>
      <c r="AE254" t="s">
        <v>474</v>
      </c>
    </row>
    <row r="255" spans="1:31" x14ac:dyDescent="0.25">
      <c r="A255">
        <v>2227</v>
      </c>
      <c r="B255">
        <v>1958</v>
      </c>
      <c r="C255" t="s">
        <v>46</v>
      </c>
      <c r="D255" t="s">
        <v>31</v>
      </c>
      <c r="E255" t="str">
        <f>IF(OR(Table1[[#This Row],[marital_status]]="Married", Table1[[#This Row],[marital_status]]="Together"), "Partnered", "Single")</f>
        <v>Partnered</v>
      </c>
      <c r="F255" s="7">
        <v>26490</v>
      </c>
      <c r="G255" s="8">
        <v>0</v>
      </c>
      <c r="H255" s="8">
        <v>0</v>
      </c>
      <c r="I255" s="8">
        <f>Table1[[#This Row],[kids]]+Table1[[#This Row],[teens]]</f>
        <v>0</v>
      </c>
      <c r="J255" s="9">
        <v>41174</v>
      </c>
      <c r="K255" s="8">
        <v>92</v>
      </c>
      <c r="L255" s="6">
        <v>45</v>
      </c>
      <c r="M255" s="5">
        <v>47</v>
      </c>
      <c r="N255" s="5">
        <v>52</v>
      </c>
      <c r="O255" s="5">
        <v>21</v>
      </c>
      <c r="P255" s="5">
        <v>20</v>
      </c>
      <c r="Q255" s="5">
        <v>25</v>
      </c>
      <c r="R255" s="8">
        <v>2</v>
      </c>
      <c r="S255" s="8">
        <v>3</v>
      </c>
      <c r="T255" s="8">
        <v>1</v>
      </c>
      <c r="U255" s="8">
        <v>5</v>
      </c>
      <c r="V255" s="8">
        <v>6</v>
      </c>
      <c r="W255" t="s">
        <v>473</v>
      </c>
      <c r="X255" t="s">
        <v>473</v>
      </c>
      <c r="Y255" t="s">
        <v>473</v>
      </c>
      <c r="Z255" t="s">
        <v>473</v>
      </c>
      <c r="AA255" t="s">
        <v>473</v>
      </c>
      <c r="AB255" t="s">
        <v>473</v>
      </c>
      <c r="AC255" s="10">
        <v>3</v>
      </c>
      <c r="AD255" s="10">
        <v>11</v>
      </c>
      <c r="AE255" t="s">
        <v>473</v>
      </c>
    </row>
    <row r="256" spans="1:31" x14ac:dyDescent="0.25">
      <c r="A256">
        <v>10992</v>
      </c>
      <c r="B256">
        <v>1967</v>
      </c>
      <c r="C256" t="s">
        <v>466</v>
      </c>
      <c r="D256" t="s">
        <v>31</v>
      </c>
      <c r="E256" t="str">
        <f>IF(OR(Table1[[#This Row],[marital_status]]="Married", Table1[[#This Row],[marital_status]]="Together"), "Partnered", "Single")</f>
        <v>Partnered</v>
      </c>
      <c r="F256" s="7">
        <v>75702</v>
      </c>
      <c r="G256" s="8">
        <v>1</v>
      </c>
      <c r="H256" s="8">
        <v>1</v>
      </c>
      <c r="I256" s="8">
        <f>Table1[[#This Row],[kids]]+Table1[[#This Row],[teens]]</f>
        <v>2</v>
      </c>
      <c r="J256" s="9">
        <v>41150</v>
      </c>
      <c r="K256" s="8">
        <v>77</v>
      </c>
      <c r="L256" s="6">
        <v>650</v>
      </c>
      <c r="M256" s="5">
        <v>28</v>
      </c>
      <c r="N256" s="5">
        <v>353</v>
      </c>
      <c r="O256" s="5">
        <v>45</v>
      </c>
      <c r="P256" s="5">
        <v>42</v>
      </c>
      <c r="Q256" s="5">
        <v>30</v>
      </c>
      <c r="R256" s="8">
        <v>5</v>
      </c>
      <c r="S256" s="8">
        <v>4</v>
      </c>
      <c r="T256" s="8">
        <v>6</v>
      </c>
      <c r="U256" s="8">
        <v>11</v>
      </c>
      <c r="V256" s="8">
        <v>8</v>
      </c>
      <c r="W256" t="s">
        <v>473</v>
      </c>
      <c r="X256" t="s">
        <v>473</v>
      </c>
      <c r="Y256" t="s">
        <v>473</v>
      </c>
      <c r="Z256" t="s">
        <v>473</v>
      </c>
      <c r="AA256" t="s">
        <v>473</v>
      </c>
      <c r="AB256" t="s">
        <v>473</v>
      </c>
      <c r="AC256" s="10">
        <v>3</v>
      </c>
      <c r="AD256" s="10">
        <v>11</v>
      </c>
      <c r="AE256" t="s">
        <v>473</v>
      </c>
    </row>
    <row r="257" spans="1:31" x14ac:dyDescent="0.25">
      <c r="A257">
        <v>5304</v>
      </c>
      <c r="B257">
        <v>1974</v>
      </c>
      <c r="C257" t="s">
        <v>33</v>
      </c>
      <c r="D257" t="s">
        <v>30</v>
      </c>
      <c r="E257" t="str">
        <f>IF(OR(Table1[[#This Row],[marital_status]]="Married", Table1[[#This Row],[marital_status]]="Together"), "Partnered", "Single")</f>
        <v>Single</v>
      </c>
      <c r="F257" s="7">
        <v>30899</v>
      </c>
      <c r="G257" s="8">
        <v>1</v>
      </c>
      <c r="H257" s="8">
        <v>0</v>
      </c>
      <c r="I257" s="8">
        <f>Table1[[#This Row],[kids]]+Table1[[#This Row],[teens]]</f>
        <v>1</v>
      </c>
      <c r="J257" s="9">
        <v>41195</v>
      </c>
      <c r="K257" s="8">
        <v>35</v>
      </c>
      <c r="L257" s="6">
        <v>24</v>
      </c>
      <c r="M257" s="5">
        <v>0</v>
      </c>
      <c r="N257" s="5">
        <v>8</v>
      </c>
      <c r="O257" s="5">
        <v>0</v>
      </c>
      <c r="P257" s="5">
        <v>0</v>
      </c>
      <c r="Q257" s="5">
        <v>1</v>
      </c>
      <c r="R257" s="8">
        <v>2</v>
      </c>
      <c r="S257" s="8">
        <v>1</v>
      </c>
      <c r="T257" s="8">
        <v>0</v>
      </c>
      <c r="U257" s="8">
        <v>3</v>
      </c>
      <c r="V257" s="8">
        <v>6</v>
      </c>
      <c r="W257" t="s">
        <v>473</v>
      </c>
      <c r="X257" t="s">
        <v>473</v>
      </c>
      <c r="Y257" t="s">
        <v>473</v>
      </c>
      <c r="Z257" t="s">
        <v>473</v>
      </c>
      <c r="AA257" t="s">
        <v>473</v>
      </c>
      <c r="AB257" t="s">
        <v>473</v>
      </c>
      <c r="AC257" s="10">
        <v>3</v>
      </c>
      <c r="AD257" s="10">
        <v>11</v>
      </c>
      <c r="AE257" t="s">
        <v>473</v>
      </c>
    </row>
    <row r="258" spans="1:31" x14ac:dyDescent="0.25">
      <c r="A258">
        <v>309</v>
      </c>
      <c r="B258">
        <v>1961</v>
      </c>
      <c r="C258" t="s">
        <v>33</v>
      </c>
      <c r="D258" t="s">
        <v>31</v>
      </c>
      <c r="E258" t="str">
        <f>IF(OR(Table1[[#This Row],[marital_status]]="Married", Table1[[#This Row],[marital_status]]="Together"), "Partnered", "Single")</f>
        <v>Partnered</v>
      </c>
      <c r="F258" s="7">
        <v>63342</v>
      </c>
      <c r="G258" s="8">
        <v>0</v>
      </c>
      <c r="H258" s="8">
        <v>1</v>
      </c>
      <c r="I258" s="8">
        <f>Table1[[#This Row],[kids]]+Table1[[#This Row],[teens]]</f>
        <v>1</v>
      </c>
      <c r="J258" s="9">
        <v>41198</v>
      </c>
      <c r="K258" s="8">
        <v>48</v>
      </c>
      <c r="L258" s="6">
        <v>918</v>
      </c>
      <c r="M258" s="5">
        <v>21</v>
      </c>
      <c r="N258" s="5">
        <v>118</v>
      </c>
      <c r="O258" s="5">
        <v>13</v>
      </c>
      <c r="P258" s="5">
        <v>10</v>
      </c>
      <c r="Q258" s="5">
        <v>21</v>
      </c>
      <c r="R258" s="8">
        <v>3</v>
      </c>
      <c r="S258" s="8">
        <v>8</v>
      </c>
      <c r="T258" s="8">
        <v>3</v>
      </c>
      <c r="U258" s="8">
        <v>5</v>
      </c>
      <c r="V258" s="8">
        <v>6</v>
      </c>
      <c r="W258" t="s">
        <v>473</v>
      </c>
      <c r="X258" t="s">
        <v>474</v>
      </c>
      <c r="Y258" t="s">
        <v>473</v>
      </c>
      <c r="Z258" t="s">
        <v>473</v>
      </c>
      <c r="AA258" t="s">
        <v>473</v>
      </c>
      <c r="AB258" t="s">
        <v>473</v>
      </c>
      <c r="AC258" s="10">
        <v>3</v>
      </c>
      <c r="AD258" s="10">
        <v>11</v>
      </c>
      <c r="AE258" t="s">
        <v>473</v>
      </c>
    </row>
    <row r="259" spans="1:31" x14ac:dyDescent="0.25">
      <c r="A259">
        <v>3406</v>
      </c>
      <c r="B259">
        <v>1964</v>
      </c>
      <c r="C259" t="s">
        <v>466</v>
      </c>
      <c r="D259" t="s">
        <v>30</v>
      </c>
      <c r="E259" t="str">
        <f>IF(OR(Table1[[#This Row],[marital_status]]="Married", Table1[[#This Row],[marital_status]]="Together"), "Partnered", "Single")</f>
        <v>Single</v>
      </c>
      <c r="F259" s="7">
        <v>45989</v>
      </c>
      <c r="G259" s="8">
        <v>0</v>
      </c>
      <c r="H259" s="8">
        <v>1</v>
      </c>
      <c r="I259" s="8">
        <f>Table1[[#This Row],[kids]]+Table1[[#This Row],[teens]]</f>
        <v>1</v>
      </c>
      <c r="J259" s="9">
        <v>41204</v>
      </c>
      <c r="K259" s="8">
        <v>97</v>
      </c>
      <c r="L259" s="6">
        <v>138</v>
      </c>
      <c r="M259" s="5">
        <v>33</v>
      </c>
      <c r="N259" s="5">
        <v>87</v>
      </c>
      <c r="O259" s="5">
        <v>28</v>
      </c>
      <c r="P259" s="5">
        <v>24</v>
      </c>
      <c r="Q259" s="5">
        <v>12</v>
      </c>
      <c r="R259" s="8">
        <v>4</v>
      </c>
      <c r="S259" s="8">
        <v>3</v>
      </c>
      <c r="T259" s="8">
        <v>2</v>
      </c>
      <c r="U259" s="8">
        <v>7</v>
      </c>
      <c r="V259" s="8">
        <v>3</v>
      </c>
      <c r="W259" t="s">
        <v>473</v>
      </c>
      <c r="X259" t="s">
        <v>473</v>
      </c>
      <c r="Y259" t="s">
        <v>473</v>
      </c>
      <c r="Z259" t="s">
        <v>473</v>
      </c>
      <c r="AA259" t="s">
        <v>473</v>
      </c>
      <c r="AB259" t="s">
        <v>473</v>
      </c>
      <c r="AC259" s="10">
        <v>3</v>
      </c>
      <c r="AD259" s="10">
        <v>11</v>
      </c>
      <c r="AE259" t="s">
        <v>473</v>
      </c>
    </row>
    <row r="260" spans="1:31" x14ac:dyDescent="0.25">
      <c r="A260">
        <v>2661</v>
      </c>
      <c r="B260">
        <v>1964</v>
      </c>
      <c r="C260" t="s">
        <v>466</v>
      </c>
      <c r="D260" t="s">
        <v>30</v>
      </c>
      <c r="E260" t="str">
        <f>IF(OR(Table1[[#This Row],[marital_status]]="Married", Table1[[#This Row],[marital_status]]="Together"), "Partnered", "Single")</f>
        <v>Single</v>
      </c>
      <c r="F260" s="7">
        <v>18701</v>
      </c>
      <c r="G260" s="8">
        <v>1</v>
      </c>
      <c r="H260" s="8">
        <v>1</v>
      </c>
      <c r="I260" s="8">
        <f>Table1[[#This Row],[kids]]+Table1[[#This Row],[teens]]</f>
        <v>2</v>
      </c>
      <c r="J260" s="9">
        <v>41429</v>
      </c>
      <c r="K260" s="8">
        <v>95</v>
      </c>
      <c r="L260" s="6">
        <v>12</v>
      </c>
      <c r="M260" s="5">
        <v>4</v>
      </c>
      <c r="N260" s="5">
        <v>2</v>
      </c>
      <c r="O260" s="5">
        <v>10</v>
      </c>
      <c r="P260" s="5">
        <v>6</v>
      </c>
      <c r="Q260" s="5">
        <v>10</v>
      </c>
      <c r="R260" s="8">
        <v>4</v>
      </c>
      <c r="S260" s="8">
        <v>2</v>
      </c>
      <c r="T260" s="8">
        <v>0</v>
      </c>
      <c r="U260" s="8">
        <v>4</v>
      </c>
      <c r="V260" s="8">
        <v>5</v>
      </c>
      <c r="W260" t="s">
        <v>473</v>
      </c>
      <c r="X260" t="s">
        <v>473</v>
      </c>
      <c r="Y260" t="s">
        <v>473</v>
      </c>
      <c r="Z260" t="s">
        <v>473</v>
      </c>
      <c r="AA260" t="s">
        <v>473</v>
      </c>
      <c r="AB260" t="s">
        <v>473</v>
      </c>
      <c r="AC260" s="10">
        <v>3</v>
      </c>
      <c r="AD260" s="10">
        <v>11</v>
      </c>
      <c r="AE260" t="s">
        <v>473</v>
      </c>
    </row>
    <row r="261" spans="1:31" x14ac:dyDescent="0.25">
      <c r="A261">
        <v>3153</v>
      </c>
      <c r="B261">
        <v>1957</v>
      </c>
      <c r="C261" t="s">
        <v>33</v>
      </c>
      <c r="D261" t="s">
        <v>30</v>
      </c>
      <c r="E261" t="str">
        <f>IF(OR(Table1[[#This Row],[marital_status]]="Married", Table1[[#This Row],[marital_status]]="Together"), "Partnered", "Single")</f>
        <v>Single</v>
      </c>
      <c r="F261" s="7">
        <v>40737</v>
      </c>
      <c r="G261" s="8">
        <v>2</v>
      </c>
      <c r="H261" s="8">
        <v>1</v>
      </c>
      <c r="I261" s="8">
        <f>Table1[[#This Row],[kids]]+Table1[[#This Row],[teens]]</f>
        <v>3</v>
      </c>
      <c r="J261" s="9">
        <v>41616</v>
      </c>
      <c r="K261" s="8">
        <v>24</v>
      </c>
      <c r="L261" s="6">
        <v>11</v>
      </c>
      <c r="M261" s="5">
        <v>0</v>
      </c>
      <c r="N261" s="5">
        <v>4</v>
      </c>
      <c r="O261" s="5">
        <v>0</v>
      </c>
      <c r="P261" s="5">
        <v>0</v>
      </c>
      <c r="Q261" s="5">
        <v>2</v>
      </c>
      <c r="R261" s="8">
        <v>1</v>
      </c>
      <c r="S261" s="8">
        <v>1</v>
      </c>
      <c r="T261" s="8">
        <v>0</v>
      </c>
      <c r="U261" s="8">
        <v>2</v>
      </c>
      <c r="V261" s="8">
        <v>8</v>
      </c>
      <c r="W261" t="s">
        <v>473</v>
      </c>
      <c r="X261" t="s">
        <v>473</v>
      </c>
      <c r="Y261" t="s">
        <v>473</v>
      </c>
      <c r="Z261" t="s">
        <v>473</v>
      </c>
      <c r="AA261" t="s">
        <v>473</v>
      </c>
      <c r="AB261" t="s">
        <v>473</v>
      </c>
      <c r="AC261" s="10">
        <v>3</v>
      </c>
      <c r="AD261" s="10">
        <v>11</v>
      </c>
      <c r="AE261" t="s">
        <v>473</v>
      </c>
    </row>
    <row r="262" spans="1:31" x14ac:dyDescent="0.25">
      <c r="A262">
        <v>10264</v>
      </c>
      <c r="B262">
        <v>1979</v>
      </c>
      <c r="C262" t="s">
        <v>466</v>
      </c>
      <c r="D262" t="s">
        <v>37</v>
      </c>
      <c r="E262" t="str">
        <f>IF(OR(Table1[[#This Row],[marital_status]]="Married", Table1[[#This Row],[marital_status]]="Together"), "Partnered", "Single")</f>
        <v>Single</v>
      </c>
      <c r="F262" s="7">
        <v>15287</v>
      </c>
      <c r="G262" s="8">
        <v>1</v>
      </c>
      <c r="H262" s="8">
        <v>0</v>
      </c>
      <c r="I262" s="8">
        <f>Table1[[#This Row],[kids]]+Table1[[#This Row],[teens]]</f>
        <v>1</v>
      </c>
      <c r="J262" s="9">
        <v>41192</v>
      </c>
      <c r="K262" s="8">
        <v>60</v>
      </c>
      <c r="L262" s="6">
        <v>1</v>
      </c>
      <c r="M262" s="5">
        <v>2</v>
      </c>
      <c r="N262" s="5">
        <v>8</v>
      </c>
      <c r="O262" s="5">
        <v>4</v>
      </c>
      <c r="P262" s="5">
        <v>3</v>
      </c>
      <c r="Q262" s="5">
        <v>13</v>
      </c>
      <c r="R262" s="8">
        <v>2</v>
      </c>
      <c r="S262" s="8">
        <v>1</v>
      </c>
      <c r="T262" s="8">
        <v>1</v>
      </c>
      <c r="U262" s="8">
        <v>2</v>
      </c>
      <c r="V262" s="8">
        <v>7</v>
      </c>
      <c r="W262" t="s">
        <v>474</v>
      </c>
      <c r="X262" t="s">
        <v>473</v>
      </c>
      <c r="Y262" t="s">
        <v>473</v>
      </c>
      <c r="Z262" t="s">
        <v>473</v>
      </c>
      <c r="AA262" t="s">
        <v>473</v>
      </c>
      <c r="AB262" t="s">
        <v>473</v>
      </c>
      <c r="AC262" s="10">
        <v>3</v>
      </c>
      <c r="AD262" s="10">
        <v>11</v>
      </c>
      <c r="AE262" t="s">
        <v>474</v>
      </c>
    </row>
    <row r="263" spans="1:31" x14ac:dyDescent="0.25">
      <c r="A263">
        <v>1184</v>
      </c>
      <c r="B263">
        <v>1968</v>
      </c>
      <c r="C263" t="s">
        <v>33</v>
      </c>
      <c r="D263" t="s">
        <v>37</v>
      </c>
      <c r="E263" t="str">
        <f>IF(OR(Table1[[#This Row],[marital_status]]="Married", Table1[[#This Row],[marital_status]]="Together"), "Partnered", "Single")</f>
        <v>Single</v>
      </c>
      <c r="F263" s="7">
        <v>69674</v>
      </c>
      <c r="G263" s="8">
        <v>0</v>
      </c>
      <c r="H263" s="8">
        <v>2</v>
      </c>
      <c r="I263" s="8">
        <f>Table1[[#This Row],[kids]]+Table1[[#This Row],[teens]]</f>
        <v>2</v>
      </c>
      <c r="J263" s="9">
        <v>41416</v>
      </c>
      <c r="K263" s="8">
        <v>46</v>
      </c>
      <c r="L263" s="6">
        <v>554</v>
      </c>
      <c r="M263" s="5">
        <v>41</v>
      </c>
      <c r="N263" s="5">
        <v>215</v>
      </c>
      <c r="O263" s="5">
        <v>11</v>
      </c>
      <c r="P263" s="5">
        <v>0</v>
      </c>
      <c r="Q263" s="5">
        <v>24</v>
      </c>
      <c r="R263" s="8">
        <v>3</v>
      </c>
      <c r="S263" s="8">
        <v>10</v>
      </c>
      <c r="T263" s="8">
        <v>2</v>
      </c>
      <c r="U263" s="8">
        <v>10</v>
      </c>
      <c r="V263" s="8">
        <v>5</v>
      </c>
      <c r="W263" t="s">
        <v>473</v>
      </c>
      <c r="X263" t="s">
        <v>473</v>
      </c>
      <c r="Y263" t="s">
        <v>473</v>
      </c>
      <c r="Z263" t="s">
        <v>473</v>
      </c>
      <c r="AA263" t="s">
        <v>473</v>
      </c>
      <c r="AB263" t="s">
        <v>473</v>
      </c>
      <c r="AC263" s="10">
        <v>3</v>
      </c>
      <c r="AD263" s="10">
        <v>11</v>
      </c>
      <c r="AE263" t="s">
        <v>473</v>
      </c>
    </row>
    <row r="264" spans="1:31" x14ac:dyDescent="0.25">
      <c r="A264">
        <v>4200</v>
      </c>
      <c r="B264">
        <v>1970</v>
      </c>
      <c r="C264" t="s">
        <v>36</v>
      </c>
      <c r="D264" t="s">
        <v>34</v>
      </c>
      <c r="E264" t="str">
        <f>IF(OR(Table1[[#This Row],[marital_status]]="Married", Table1[[#This Row],[marital_status]]="Together"), "Partnered", "Single")</f>
        <v>Partnered</v>
      </c>
      <c r="F264" s="7">
        <v>44159</v>
      </c>
      <c r="G264" s="8">
        <v>1</v>
      </c>
      <c r="H264" s="8">
        <v>0</v>
      </c>
      <c r="I264" s="8">
        <f>Table1[[#This Row],[kids]]+Table1[[#This Row],[teens]]</f>
        <v>1</v>
      </c>
      <c r="J264" s="9">
        <v>41807</v>
      </c>
      <c r="K264" s="8">
        <v>85</v>
      </c>
      <c r="L264" s="6">
        <v>167</v>
      </c>
      <c r="M264" s="5">
        <v>2</v>
      </c>
      <c r="N264" s="5">
        <v>62</v>
      </c>
      <c r="O264" s="5">
        <v>24</v>
      </c>
      <c r="P264" s="5">
        <v>13</v>
      </c>
      <c r="Q264" s="5">
        <v>7</v>
      </c>
      <c r="R264" s="8">
        <v>4</v>
      </c>
      <c r="S264" s="8">
        <v>4</v>
      </c>
      <c r="T264" s="8">
        <v>1</v>
      </c>
      <c r="U264" s="8">
        <v>6</v>
      </c>
      <c r="V264" s="8">
        <v>5</v>
      </c>
      <c r="W264" t="s">
        <v>473</v>
      </c>
      <c r="X264" t="s">
        <v>473</v>
      </c>
      <c r="Y264" t="s">
        <v>473</v>
      </c>
      <c r="Z264" t="s">
        <v>473</v>
      </c>
      <c r="AA264" t="s">
        <v>473</v>
      </c>
      <c r="AB264" t="s">
        <v>473</v>
      </c>
      <c r="AC264" s="10">
        <v>3</v>
      </c>
      <c r="AD264" s="10">
        <v>11</v>
      </c>
      <c r="AE264" t="s">
        <v>473</v>
      </c>
    </row>
    <row r="265" spans="1:31" x14ac:dyDescent="0.25">
      <c r="A265">
        <v>9396</v>
      </c>
      <c r="B265">
        <v>1978</v>
      </c>
      <c r="C265" t="s">
        <v>33</v>
      </c>
      <c r="D265" t="s">
        <v>34</v>
      </c>
      <c r="E265" t="str">
        <f>IF(OR(Table1[[#This Row],[marital_status]]="Married", Table1[[#This Row],[marital_status]]="Together"), "Partnered", "Single")</f>
        <v>Partnered</v>
      </c>
      <c r="F265" s="7">
        <v>37717</v>
      </c>
      <c r="G265" s="8">
        <v>1</v>
      </c>
      <c r="H265" s="8">
        <v>0</v>
      </c>
      <c r="I265" s="8">
        <f>Table1[[#This Row],[kids]]+Table1[[#This Row],[teens]]</f>
        <v>1</v>
      </c>
      <c r="J265" s="9">
        <v>41236</v>
      </c>
      <c r="K265" s="8">
        <v>31</v>
      </c>
      <c r="L265" s="6">
        <v>9</v>
      </c>
      <c r="M265" s="5">
        <v>0</v>
      </c>
      <c r="N265" s="5">
        <v>6</v>
      </c>
      <c r="O265" s="5">
        <v>4</v>
      </c>
      <c r="P265" s="5">
        <v>1</v>
      </c>
      <c r="Q265" s="5">
        <v>5</v>
      </c>
      <c r="R265" s="8">
        <v>1</v>
      </c>
      <c r="S265" s="8">
        <v>1</v>
      </c>
      <c r="T265" s="8">
        <v>0</v>
      </c>
      <c r="U265" s="8">
        <v>2</v>
      </c>
      <c r="V265" s="8">
        <v>9</v>
      </c>
      <c r="W265" t="s">
        <v>473</v>
      </c>
      <c r="X265" t="s">
        <v>473</v>
      </c>
      <c r="Y265" t="s">
        <v>473</v>
      </c>
      <c r="Z265" t="s">
        <v>473</v>
      </c>
      <c r="AA265" t="s">
        <v>473</v>
      </c>
      <c r="AB265" t="s">
        <v>473</v>
      </c>
      <c r="AC265" s="10">
        <v>3</v>
      </c>
      <c r="AD265" s="10">
        <v>11</v>
      </c>
      <c r="AE265" t="s">
        <v>473</v>
      </c>
    </row>
    <row r="266" spans="1:31" x14ac:dyDescent="0.25">
      <c r="A266">
        <v>2387</v>
      </c>
      <c r="B266">
        <v>1952</v>
      </c>
      <c r="C266" t="s">
        <v>36</v>
      </c>
      <c r="D266" t="s">
        <v>31</v>
      </c>
      <c r="E266" t="str">
        <f>IF(OR(Table1[[#This Row],[marital_status]]="Married", Table1[[#This Row],[marital_status]]="Together"), "Partnered", "Single")</f>
        <v>Partnered</v>
      </c>
      <c r="F266" s="7">
        <v>43776</v>
      </c>
      <c r="G266" s="8">
        <v>1</v>
      </c>
      <c r="H266" s="8">
        <v>1</v>
      </c>
      <c r="I266" s="8">
        <f>Table1[[#This Row],[kids]]+Table1[[#This Row],[teens]]</f>
        <v>2</v>
      </c>
      <c r="J266" s="9">
        <v>41308</v>
      </c>
      <c r="K266" s="8">
        <v>9</v>
      </c>
      <c r="L266" s="6">
        <v>177</v>
      </c>
      <c r="M266" s="5">
        <v>2</v>
      </c>
      <c r="N266" s="5">
        <v>71</v>
      </c>
      <c r="O266" s="5">
        <v>3</v>
      </c>
      <c r="P266" s="5">
        <v>2</v>
      </c>
      <c r="Q266" s="5">
        <v>20</v>
      </c>
      <c r="R266" s="8">
        <v>6</v>
      </c>
      <c r="S266" s="8">
        <v>5</v>
      </c>
      <c r="T266" s="8">
        <v>2</v>
      </c>
      <c r="U266" s="8">
        <v>4</v>
      </c>
      <c r="V266" s="8">
        <v>8</v>
      </c>
      <c r="W266" t="s">
        <v>473</v>
      </c>
      <c r="X266" t="s">
        <v>473</v>
      </c>
      <c r="Y266" t="s">
        <v>473</v>
      </c>
      <c r="Z266" t="s">
        <v>473</v>
      </c>
      <c r="AA266" t="s">
        <v>473</v>
      </c>
      <c r="AB266" t="s">
        <v>473</v>
      </c>
      <c r="AC266" s="10">
        <v>3</v>
      </c>
      <c r="AD266" s="10">
        <v>11</v>
      </c>
      <c r="AE266" t="s">
        <v>474</v>
      </c>
    </row>
    <row r="267" spans="1:31" x14ac:dyDescent="0.25">
      <c r="A267">
        <v>6690</v>
      </c>
      <c r="B267">
        <v>1966</v>
      </c>
      <c r="C267" t="s">
        <v>36</v>
      </c>
      <c r="D267" t="s">
        <v>34</v>
      </c>
      <c r="E267" t="str">
        <f>IF(OR(Table1[[#This Row],[marital_status]]="Married", Table1[[#This Row],[marital_status]]="Together"), "Partnered", "Single")</f>
        <v>Partnered</v>
      </c>
      <c r="F267" s="7">
        <v>38179</v>
      </c>
      <c r="G267" s="8">
        <v>1</v>
      </c>
      <c r="H267" s="8">
        <v>1</v>
      </c>
      <c r="I267" s="8">
        <f>Table1[[#This Row],[kids]]+Table1[[#This Row],[teens]]</f>
        <v>2</v>
      </c>
      <c r="J267" s="9">
        <v>41347</v>
      </c>
      <c r="K267" s="8">
        <v>30</v>
      </c>
      <c r="L267" s="6">
        <v>38</v>
      </c>
      <c r="M267" s="5">
        <v>4</v>
      </c>
      <c r="N267" s="5">
        <v>22</v>
      </c>
      <c r="O267" s="5">
        <v>4</v>
      </c>
      <c r="P267" s="5">
        <v>2</v>
      </c>
      <c r="Q267" s="5">
        <v>20</v>
      </c>
      <c r="R267" s="8">
        <v>4</v>
      </c>
      <c r="S267" s="8">
        <v>3</v>
      </c>
      <c r="T267" s="8">
        <v>1</v>
      </c>
      <c r="U267" s="8">
        <v>3</v>
      </c>
      <c r="V267" s="8">
        <v>7</v>
      </c>
      <c r="W267" t="s">
        <v>473</v>
      </c>
      <c r="X267" t="s">
        <v>473</v>
      </c>
      <c r="Y267" t="s">
        <v>473</v>
      </c>
      <c r="Z267" t="s">
        <v>473</v>
      </c>
      <c r="AA267" t="s">
        <v>473</v>
      </c>
      <c r="AB267" t="s">
        <v>473</v>
      </c>
      <c r="AC267" s="10">
        <v>3</v>
      </c>
      <c r="AD267" s="10">
        <v>11</v>
      </c>
      <c r="AE267" t="s">
        <v>473</v>
      </c>
    </row>
    <row r="268" spans="1:31" x14ac:dyDescent="0.25">
      <c r="A268">
        <v>1225</v>
      </c>
      <c r="B268">
        <v>1963</v>
      </c>
      <c r="C268" t="s">
        <v>466</v>
      </c>
      <c r="D268" t="s">
        <v>34</v>
      </c>
      <c r="E268" t="str">
        <f>IF(OR(Table1[[#This Row],[marital_status]]="Married", Table1[[#This Row],[marital_status]]="Together"), "Partnered", "Single")</f>
        <v>Partnered</v>
      </c>
      <c r="F268" s="7">
        <v>80124</v>
      </c>
      <c r="G268" s="8">
        <v>0</v>
      </c>
      <c r="H268" s="8">
        <v>0</v>
      </c>
      <c r="I268" s="8">
        <f>Table1[[#This Row],[kids]]+Table1[[#This Row],[teens]]</f>
        <v>0</v>
      </c>
      <c r="J268" s="9">
        <v>41816</v>
      </c>
      <c r="K268" s="8">
        <v>47</v>
      </c>
      <c r="L268" s="6">
        <v>483</v>
      </c>
      <c r="M268" s="5">
        <v>84</v>
      </c>
      <c r="N268" s="5">
        <v>398</v>
      </c>
      <c r="O268" s="5">
        <v>205</v>
      </c>
      <c r="P268" s="5">
        <v>84</v>
      </c>
      <c r="Q268" s="5">
        <v>241</v>
      </c>
      <c r="R268" s="8">
        <v>1</v>
      </c>
      <c r="S268" s="8">
        <v>3</v>
      </c>
      <c r="T268" s="8">
        <v>7</v>
      </c>
      <c r="U268" s="8">
        <v>8</v>
      </c>
      <c r="V268" s="8">
        <v>1</v>
      </c>
      <c r="W268" t="s">
        <v>474</v>
      </c>
      <c r="X268" t="s">
        <v>473</v>
      </c>
      <c r="Y268" t="s">
        <v>473</v>
      </c>
      <c r="Z268" t="s">
        <v>473</v>
      </c>
      <c r="AA268" t="s">
        <v>473</v>
      </c>
      <c r="AB268" t="s">
        <v>473</v>
      </c>
      <c r="AC268" s="10">
        <v>3</v>
      </c>
      <c r="AD268" s="10">
        <v>11</v>
      </c>
      <c r="AE268" t="s">
        <v>473</v>
      </c>
    </row>
    <row r="269" spans="1:31" x14ac:dyDescent="0.25">
      <c r="A269">
        <v>9703</v>
      </c>
      <c r="B269">
        <v>1970</v>
      </c>
      <c r="C269" t="s">
        <v>33</v>
      </c>
      <c r="D269" t="s">
        <v>34</v>
      </c>
      <c r="E269" t="str">
        <f>IF(OR(Table1[[#This Row],[marital_status]]="Married", Table1[[#This Row],[marital_status]]="Together"), "Partnered", "Single")</f>
        <v>Partnered</v>
      </c>
      <c r="F269" s="7">
        <v>38097</v>
      </c>
      <c r="G269" s="8">
        <v>1</v>
      </c>
      <c r="H269" s="8">
        <v>1</v>
      </c>
      <c r="I269" s="8">
        <f>Table1[[#This Row],[kids]]+Table1[[#This Row],[teens]]</f>
        <v>2</v>
      </c>
      <c r="J269" s="9">
        <v>41197</v>
      </c>
      <c r="K269" s="8">
        <v>70</v>
      </c>
      <c r="L269" s="6">
        <v>77</v>
      </c>
      <c r="M269" s="5">
        <v>2</v>
      </c>
      <c r="N269" s="5">
        <v>35</v>
      </c>
      <c r="O269" s="5">
        <v>0</v>
      </c>
      <c r="P269" s="5">
        <v>1</v>
      </c>
      <c r="Q269" s="5">
        <v>69</v>
      </c>
      <c r="R269" s="8">
        <v>4</v>
      </c>
      <c r="S269" s="8">
        <v>3</v>
      </c>
      <c r="T269" s="8">
        <v>2</v>
      </c>
      <c r="U269" s="8">
        <v>2</v>
      </c>
      <c r="V269" s="8">
        <v>7</v>
      </c>
      <c r="W269" t="s">
        <v>474</v>
      </c>
      <c r="X269" t="s">
        <v>473</v>
      </c>
      <c r="Y269" t="s">
        <v>473</v>
      </c>
      <c r="Z269" t="s">
        <v>473</v>
      </c>
      <c r="AA269" t="s">
        <v>473</v>
      </c>
      <c r="AB269" t="s">
        <v>473</v>
      </c>
      <c r="AC269" s="10">
        <v>3</v>
      </c>
      <c r="AD269" s="10">
        <v>11</v>
      </c>
      <c r="AE269" t="s">
        <v>474</v>
      </c>
    </row>
    <row r="270" spans="1:31" x14ac:dyDescent="0.25">
      <c r="A270">
        <v>291</v>
      </c>
      <c r="B270">
        <v>1970</v>
      </c>
      <c r="C270" t="s">
        <v>466</v>
      </c>
      <c r="D270" t="s">
        <v>34</v>
      </c>
      <c r="E270" t="str">
        <f>IF(OR(Table1[[#This Row],[marital_status]]="Married", Table1[[#This Row],[marital_status]]="Together"), "Partnered", "Single")</f>
        <v>Partnered</v>
      </c>
      <c r="F270" s="7">
        <v>72940</v>
      </c>
      <c r="G270" s="8">
        <v>0</v>
      </c>
      <c r="H270" s="8">
        <v>0</v>
      </c>
      <c r="I270" s="8">
        <f>Table1[[#This Row],[kids]]+Table1[[#This Row],[teens]]</f>
        <v>0</v>
      </c>
      <c r="J270" s="9">
        <v>41444</v>
      </c>
      <c r="K270" s="8">
        <v>13</v>
      </c>
      <c r="L270" s="6">
        <v>182</v>
      </c>
      <c r="M270" s="5">
        <v>74</v>
      </c>
      <c r="N270" s="5">
        <v>298</v>
      </c>
      <c r="O270" s="5">
        <v>162</v>
      </c>
      <c r="P270" s="5">
        <v>149</v>
      </c>
      <c r="Q270" s="5">
        <v>116</v>
      </c>
      <c r="R270" s="8">
        <v>1</v>
      </c>
      <c r="S270" s="8">
        <v>3</v>
      </c>
      <c r="T270" s="8">
        <v>3</v>
      </c>
      <c r="U270" s="8">
        <v>6</v>
      </c>
      <c r="V270" s="8">
        <v>1</v>
      </c>
      <c r="W270" t="s">
        <v>473</v>
      </c>
      <c r="X270" t="s">
        <v>473</v>
      </c>
      <c r="Y270" t="s">
        <v>473</v>
      </c>
      <c r="Z270" t="s">
        <v>473</v>
      </c>
      <c r="AA270" t="s">
        <v>473</v>
      </c>
      <c r="AB270" t="s">
        <v>473</v>
      </c>
      <c r="AC270" s="10">
        <v>3</v>
      </c>
      <c r="AD270" s="10">
        <v>11</v>
      </c>
      <c r="AE270" t="s">
        <v>473</v>
      </c>
    </row>
    <row r="271" spans="1:31" x14ac:dyDescent="0.25">
      <c r="A271">
        <v>4557</v>
      </c>
      <c r="B271">
        <v>1970</v>
      </c>
      <c r="C271" t="s">
        <v>466</v>
      </c>
      <c r="D271" t="s">
        <v>31</v>
      </c>
      <c r="E271" t="str">
        <f>IF(OR(Table1[[#This Row],[marital_status]]="Married", Table1[[#This Row],[marital_status]]="Together"), "Partnered", "Single")</f>
        <v>Partnered</v>
      </c>
      <c r="F271" s="7">
        <v>22070</v>
      </c>
      <c r="G271" s="8">
        <v>1</v>
      </c>
      <c r="H271" s="8">
        <v>0</v>
      </c>
      <c r="I271" s="8">
        <f>Table1[[#This Row],[kids]]+Table1[[#This Row],[teens]]</f>
        <v>1</v>
      </c>
      <c r="J271" s="9">
        <v>41551</v>
      </c>
      <c r="K271" s="8">
        <v>11</v>
      </c>
      <c r="L271" s="6">
        <v>10</v>
      </c>
      <c r="M271" s="5">
        <v>7</v>
      </c>
      <c r="N271" s="5">
        <v>19</v>
      </c>
      <c r="O271" s="5">
        <v>8</v>
      </c>
      <c r="P271" s="5">
        <v>2</v>
      </c>
      <c r="Q271" s="5">
        <v>21</v>
      </c>
      <c r="R271" s="8">
        <v>2</v>
      </c>
      <c r="S271" s="8">
        <v>2</v>
      </c>
      <c r="T271" s="8">
        <v>2</v>
      </c>
      <c r="U271" s="8">
        <v>2</v>
      </c>
      <c r="V271" s="8">
        <v>6</v>
      </c>
      <c r="W271" t="s">
        <v>473</v>
      </c>
      <c r="X271" t="s">
        <v>473</v>
      </c>
      <c r="Y271" t="s">
        <v>473</v>
      </c>
      <c r="Z271" t="s">
        <v>473</v>
      </c>
      <c r="AA271" t="s">
        <v>473</v>
      </c>
      <c r="AB271" t="s">
        <v>473</v>
      </c>
      <c r="AC271" s="10">
        <v>3</v>
      </c>
      <c r="AD271" s="10">
        <v>11</v>
      </c>
      <c r="AE271" t="s">
        <v>473</v>
      </c>
    </row>
    <row r="272" spans="1:31" x14ac:dyDescent="0.25">
      <c r="A272">
        <v>2379</v>
      </c>
      <c r="B272">
        <v>1953</v>
      </c>
      <c r="C272" t="s">
        <v>466</v>
      </c>
      <c r="D272" t="s">
        <v>30</v>
      </c>
      <c r="E272" t="str">
        <f>IF(OR(Table1[[#This Row],[marital_status]]="Married", Table1[[#This Row],[marital_status]]="Together"), "Partnered", "Single")</f>
        <v>Single</v>
      </c>
      <c r="F272" s="7">
        <v>69267</v>
      </c>
      <c r="G272" s="8">
        <v>0</v>
      </c>
      <c r="H272" s="8">
        <v>0</v>
      </c>
      <c r="I272" s="8">
        <f>Table1[[#This Row],[kids]]+Table1[[#This Row],[teens]]</f>
        <v>0</v>
      </c>
      <c r="J272" s="9">
        <v>41174</v>
      </c>
      <c r="K272" s="8">
        <v>31</v>
      </c>
      <c r="L272" s="6">
        <v>778</v>
      </c>
      <c r="M272" s="5">
        <v>44</v>
      </c>
      <c r="N272" s="5">
        <v>499</v>
      </c>
      <c r="O272" s="5">
        <v>95</v>
      </c>
      <c r="P272" s="5">
        <v>73</v>
      </c>
      <c r="Q272" s="5">
        <v>146</v>
      </c>
      <c r="R272" s="8">
        <v>2</v>
      </c>
      <c r="S272" s="8">
        <v>3</v>
      </c>
      <c r="T272" s="8">
        <v>4</v>
      </c>
      <c r="U272" s="8">
        <v>5</v>
      </c>
      <c r="V272" s="8">
        <v>7</v>
      </c>
      <c r="W272" t="s">
        <v>473</v>
      </c>
      <c r="X272" t="s">
        <v>473</v>
      </c>
      <c r="Y272" t="s">
        <v>473</v>
      </c>
      <c r="Z272" t="s">
        <v>473</v>
      </c>
      <c r="AA272" t="s">
        <v>473</v>
      </c>
      <c r="AB272" t="s">
        <v>473</v>
      </c>
      <c r="AC272" s="10">
        <v>3</v>
      </c>
      <c r="AD272" s="10">
        <v>11</v>
      </c>
      <c r="AE272" t="s">
        <v>474</v>
      </c>
    </row>
    <row r="273" spans="1:31" x14ac:dyDescent="0.25">
      <c r="A273">
        <v>5726</v>
      </c>
      <c r="B273">
        <v>1983</v>
      </c>
      <c r="C273" t="s">
        <v>36</v>
      </c>
      <c r="D273" t="s">
        <v>30</v>
      </c>
      <c r="E273" t="str">
        <f>IF(OR(Table1[[#This Row],[marital_status]]="Married", Table1[[#This Row],[marital_status]]="Together"), "Partnered", "Single")</f>
        <v>Single</v>
      </c>
      <c r="F273" s="7">
        <v>31788</v>
      </c>
      <c r="G273" s="8">
        <v>1</v>
      </c>
      <c r="H273" s="8">
        <v>0</v>
      </c>
      <c r="I273" s="8">
        <f>Table1[[#This Row],[kids]]+Table1[[#This Row],[teens]]</f>
        <v>1</v>
      </c>
      <c r="J273" s="9">
        <v>41718</v>
      </c>
      <c r="K273" s="8">
        <v>15</v>
      </c>
      <c r="L273" s="6">
        <v>16</v>
      </c>
      <c r="M273" s="5">
        <v>7</v>
      </c>
      <c r="N273" s="5">
        <v>23</v>
      </c>
      <c r="O273" s="5">
        <v>0</v>
      </c>
      <c r="P273" s="5">
        <v>8</v>
      </c>
      <c r="Q273" s="5">
        <v>6</v>
      </c>
      <c r="R273" s="8">
        <v>3</v>
      </c>
      <c r="S273" s="8">
        <v>3</v>
      </c>
      <c r="T273" s="8">
        <v>0</v>
      </c>
      <c r="U273" s="8">
        <v>4</v>
      </c>
      <c r="V273" s="8">
        <v>5</v>
      </c>
      <c r="W273" t="s">
        <v>473</v>
      </c>
      <c r="X273" t="s">
        <v>473</v>
      </c>
      <c r="Y273" t="s">
        <v>473</v>
      </c>
      <c r="Z273" t="s">
        <v>473</v>
      </c>
      <c r="AA273" t="s">
        <v>473</v>
      </c>
      <c r="AB273" t="s">
        <v>474</v>
      </c>
      <c r="AC273" s="10">
        <v>3</v>
      </c>
      <c r="AD273" s="10">
        <v>11</v>
      </c>
      <c r="AE273" t="s">
        <v>473</v>
      </c>
    </row>
    <row r="274" spans="1:31" x14ac:dyDescent="0.25">
      <c r="A274">
        <v>3066</v>
      </c>
      <c r="B274">
        <v>1975</v>
      </c>
      <c r="C274" t="s">
        <v>33</v>
      </c>
      <c r="D274" t="s">
        <v>31</v>
      </c>
      <c r="E274" t="str">
        <f>IF(OR(Table1[[#This Row],[marital_status]]="Married", Table1[[#This Row],[marital_status]]="Together"), "Partnered", "Single")</f>
        <v>Partnered</v>
      </c>
      <c r="F274" s="7">
        <v>61905</v>
      </c>
      <c r="G274" s="8">
        <v>0</v>
      </c>
      <c r="H274" s="8">
        <v>1</v>
      </c>
      <c r="I274" s="8">
        <f>Table1[[#This Row],[kids]]+Table1[[#This Row],[teens]]</f>
        <v>1</v>
      </c>
      <c r="J274" s="9">
        <v>41674</v>
      </c>
      <c r="K274" s="8">
        <v>2</v>
      </c>
      <c r="L274" s="6">
        <v>167</v>
      </c>
      <c r="M274" s="5">
        <v>0</v>
      </c>
      <c r="N274" s="5">
        <v>43</v>
      </c>
      <c r="O274" s="5">
        <v>6</v>
      </c>
      <c r="P274" s="5">
        <v>2</v>
      </c>
      <c r="Q274" s="5">
        <v>13</v>
      </c>
      <c r="R274" s="8">
        <v>2</v>
      </c>
      <c r="S274" s="8">
        <v>4</v>
      </c>
      <c r="T274" s="8">
        <v>2</v>
      </c>
      <c r="U274" s="8">
        <v>4</v>
      </c>
      <c r="V274" s="8">
        <v>5</v>
      </c>
      <c r="W274" t="s">
        <v>473</v>
      </c>
      <c r="X274" t="s">
        <v>473</v>
      </c>
      <c r="Y274" t="s">
        <v>473</v>
      </c>
      <c r="Z274" t="s">
        <v>473</v>
      </c>
      <c r="AA274" t="s">
        <v>473</v>
      </c>
      <c r="AB274" t="s">
        <v>473</v>
      </c>
      <c r="AC274" s="10">
        <v>3</v>
      </c>
      <c r="AD274" s="10">
        <v>11</v>
      </c>
      <c r="AE274" t="s">
        <v>473</v>
      </c>
    </row>
    <row r="275" spans="1:31" x14ac:dyDescent="0.25">
      <c r="A275">
        <v>6336</v>
      </c>
      <c r="B275">
        <v>1960</v>
      </c>
      <c r="C275" t="s">
        <v>466</v>
      </c>
      <c r="D275" t="s">
        <v>34</v>
      </c>
      <c r="E275" t="str">
        <f>IF(OR(Table1[[#This Row],[marital_status]]="Married", Table1[[#This Row],[marital_status]]="Together"), "Partnered", "Single")</f>
        <v>Partnered</v>
      </c>
      <c r="F275" s="7">
        <v>29315</v>
      </c>
      <c r="G275" s="8">
        <v>1</v>
      </c>
      <c r="H275" s="8">
        <v>1</v>
      </c>
      <c r="I275" s="8">
        <f>Table1[[#This Row],[kids]]+Table1[[#This Row],[teens]]</f>
        <v>2</v>
      </c>
      <c r="J275" s="9">
        <v>41735</v>
      </c>
      <c r="K275" s="8">
        <v>55</v>
      </c>
      <c r="L275" s="6">
        <v>13</v>
      </c>
      <c r="M275" s="5">
        <v>2</v>
      </c>
      <c r="N275" s="5">
        <v>14</v>
      </c>
      <c r="O275" s="5">
        <v>8</v>
      </c>
      <c r="P275" s="5">
        <v>7</v>
      </c>
      <c r="Q275" s="5">
        <v>4</v>
      </c>
      <c r="R275" s="8">
        <v>4</v>
      </c>
      <c r="S275" s="8">
        <v>2</v>
      </c>
      <c r="T275" s="8">
        <v>0</v>
      </c>
      <c r="U275" s="8">
        <v>4</v>
      </c>
      <c r="V275" s="8">
        <v>6</v>
      </c>
      <c r="W275" t="s">
        <v>473</v>
      </c>
      <c r="X275" t="s">
        <v>473</v>
      </c>
      <c r="Y275" t="s">
        <v>473</v>
      </c>
      <c r="Z275" t="s">
        <v>473</v>
      </c>
      <c r="AA275" t="s">
        <v>473</v>
      </c>
      <c r="AB275" t="s">
        <v>473</v>
      </c>
      <c r="AC275" s="10">
        <v>3</v>
      </c>
      <c r="AD275" s="10">
        <v>11</v>
      </c>
      <c r="AE275" t="s">
        <v>473</v>
      </c>
    </row>
    <row r="276" spans="1:31" x14ac:dyDescent="0.25">
      <c r="A276">
        <v>10967</v>
      </c>
      <c r="B276">
        <v>1963</v>
      </c>
      <c r="C276" t="s">
        <v>466</v>
      </c>
      <c r="D276" t="s">
        <v>37</v>
      </c>
      <c r="E276" t="str">
        <f>IF(OR(Table1[[#This Row],[marital_status]]="Married", Table1[[#This Row],[marital_status]]="Together"), "Partnered", "Single")</f>
        <v>Single</v>
      </c>
      <c r="F276" s="7">
        <v>33378</v>
      </c>
      <c r="G276" s="8">
        <v>1</v>
      </c>
      <c r="H276" s="8">
        <v>1</v>
      </c>
      <c r="I276" s="8">
        <f>Table1[[#This Row],[kids]]+Table1[[#This Row],[teens]]</f>
        <v>2</v>
      </c>
      <c r="J276" s="9">
        <v>41311</v>
      </c>
      <c r="K276" s="8">
        <v>38</v>
      </c>
      <c r="L276" s="6">
        <v>33</v>
      </c>
      <c r="M276" s="5">
        <v>6</v>
      </c>
      <c r="N276" s="5">
        <v>40</v>
      </c>
      <c r="O276" s="5">
        <v>3</v>
      </c>
      <c r="P276" s="5">
        <v>7</v>
      </c>
      <c r="Q276" s="5">
        <v>10</v>
      </c>
      <c r="R276" s="8">
        <v>3</v>
      </c>
      <c r="S276" s="8">
        <v>2</v>
      </c>
      <c r="T276" s="8">
        <v>0</v>
      </c>
      <c r="U276" s="8">
        <v>4</v>
      </c>
      <c r="V276" s="8">
        <v>7</v>
      </c>
      <c r="W276" t="s">
        <v>473</v>
      </c>
      <c r="X276" t="s">
        <v>473</v>
      </c>
      <c r="Y276" t="s">
        <v>473</v>
      </c>
      <c r="Z276" t="s">
        <v>473</v>
      </c>
      <c r="AA276" t="s">
        <v>473</v>
      </c>
      <c r="AB276" t="s">
        <v>473</v>
      </c>
      <c r="AC276" s="10">
        <v>3</v>
      </c>
      <c r="AD276" s="10">
        <v>11</v>
      </c>
      <c r="AE276" t="s">
        <v>473</v>
      </c>
    </row>
    <row r="277" spans="1:31" x14ac:dyDescent="0.25">
      <c r="A277">
        <v>2304</v>
      </c>
      <c r="B277">
        <v>1963</v>
      </c>
      <c r="C277" t="s">
        <v>33</v>
      </c>
      <c r="D277" t="s">
        <v>31</v>
      </c>
      <c r="E277" t="str">
        <f>IF(OR(Table1[[#This Row],[marital_status]]="Married", Table1[[#This Row],[marital_status]]="Together"), "Partnered", "Single")</f>
        <v>Partnered</v>
      </c>
      <c r="F277" s="7">
        <v>66313</v>
      </c>
      <c r="G277" s="8">
        <v>0</v>
      </c>
      <c r="H277" s="8">
        <v>1</v>
      </c>
      <c r="I277" s="8">
        <f>Table1[[#This Row],[kids]]+Table1[[#This Row],[teens]]</f>
        <v>1</v>
      </c>
      <c r="J277" s="9">
        <v>41533</v>
      </c>
      <c r="K277" s="8">
        <v>86</v>
      </c>
      <c r="L277" s="6">
        <v>625</v>
      </c>
      <c r="M277" s="5">
        <v>7</v>
      </c>
      <c r="N277" s="5">
        <v>99</v>
      </c>
      <c r="O277" s="5">
        <v>10</v>
      </c>
      <c r="P277" s="5">
        <v>22</v>
      </c>
      <c r="Q277" s="5">
        <v>7</v>
      </c>
      <c r="R277" s="8">
        <v>2</v>
      </c>
      <c r="S277" s="8">
        <v>6</v>
      </c>
      <c r="T277" s="8">
        <v>3</v>
      </c>
      <c r="U277" s="8">
        <v>12</v>
      </c>
      <c r="V277" s="8">
        <v>4</v>
      </c>
      <c r="W277" t="s">
        <v>473</v>
      </c>
      <c r="X277" t="s">
        <v>473</v>
      </c>
      <c r="Y277" t="s">
        <v>473</v>
      </c>
      <c r="Z277" t="s">
        <v>473</v>
      </c>
      <c r="AA277" t="s">
        <v>473</v>
      </c>
      <c r="AB277" t="s">
        <v>473</v>
      </c>
      <c r="AC277" s="10">
        <v>3</v>
      </c>
      <c r="AD277" s="10">
        <v>11</v>
      </c>
      <c r="AE277" t="s">
        <v>473</v>
      </c>
    </row>
    <row r="278" spans="1:31" x14ac:dyDescent="0.25">
      <c r="A278">
        <v>3445</v>
      </c>
      <c r="B278">
        <v>1956</v>
      </c>
      <c r="C278" t="s">
        <v>466</v>
      </c>
      <c r="D278" t="s">
        <v>30</v>
      </c>
      <c r="E278" t="str">
        <f>IF(OR(Table1[[#This Row],[marital_status]]="Married", Table1[[#This Row],[marital_status]]="Together"), "Partnered", "Single")</f>
        <v>Single</v>
      </c>
      <c r="F278" s="7">
        <v>60714</v>
      </c>
      <c r="G278" s="8">
        <v>0</v>
      </c>
      <c r="H278" s="8">
        <v>0</v>
      </c>
      <c r="I278" s="8">
        <f>Table1[[#This Row],[kids]]+Table1[[#This Row],[teens]]</f>
        <v>0</v>
      </c>
      <c r="J278" s="9">
        <v>41291</v>
      </c>
      <c r="K278" s="8">
        <v>56</v>
      </c>
      <c r="L278" s="6">
        <v>216</v>
      </c>
      <c r="M278" s="5">
        <v>162</v>
      </c>
      <c r="N278" s="5">
        <v>224</v>
      </c>
      <c r="O278" s="5">
        <v>101</v>
      </c>
      <c r="P278" s="5">
        <v>92</v>
      </c>
      <c r="Q278" s="5">
        <v>162</v>
      </c>
      <c r="R278" s="8">
        <v>2</v>
      </c>
      <c r="S278" s="8">
        <v>7</v>
      </c>
      <c r="T278" s="8">
        <v>4</v>
      </c>
      <c r="U278" s="8">
        <v>10</v>
      </c>
      <c r="V278" s="8">
        <v>5</v>
      </c>
      <c r="W278" t="s">
        <v>473</v>
      </c>
      <c r="X278" t="s">
        <v>473</v>
      </c>
      <c r="Y278" t="s">
        <v>473</v>
      </c>
      <c r="Z278" t="s">
        <v>473</v>
      </c>
      <c r="AA278" t="s">
        <v>473</v>
      </c>
      <c r="AB278" t="s">
        <v>473</v>
      </c>
      <c r="AC278" s="10">
        <v>3</v>
      </c>
      <c r="AD278" s="10">
        <v>11</v>
      </c>
      <c r="AE278" t="s">
        <v>474</v>
      </c>
    </row>
    <row r="279" spans="1:31" x14ac:dyDescent="0.25">
      <c r="A279">
        <v>7828</v>
      </c>
      <c r="B279">
        <v>1981</v>
      </c>
      <c r="C279" t="s">
        <v>36</v>
      </c>
      <c r="D279" t="s">
        <v>31</v>
      </c>
      <c r="E279" t="str">
        <f>IF(OR(Table1[[#This Row],[marital_status]]="Married", Table1[[#This Row],[marital_status]]="Together"), "Partnered", "Single")</f>
        <v>Partnered</v>
      </c>
      <c r="F279" s="7">
        <v>77882</v>
      </c>
      <c r="G279" s="8">
        <v>0</v>
      </c>
      <c r="H279" s="8">
        <v>0</v>
      </c>
      <c r="I279" s="8">
        <f>Table1[[#This Row],[kids]]+Table1[[#This Row],[teens]]</f>
        <v>0</v>
      </c>
      <c r="J279" s="9">
        <v>41759</v>
      </c>
      <c r="K279" s="8">
        <v>29</v>
      </c>
      <c r="L279" s="6">
        <v>68</v>
      </c>
      <c r="M279" s="5">
        <v>129</v>
      </c>
      <c r="N279" s="5">
        <v>396</v>
      </c>
      <c r="O279" s="5">
        <v>188</v>
      </c>
      <c r="P279" s="5">
        <v>22</v>
      </c>
      <c r="Q279" s="5">
        <v>15</v>
      </c>
      <c r="R279" s="8">
        <v>1</v>
      </c>
      <c r="S279" s="8">
        <v>3</v>
      </c>
      <c r="T279" s="8">
        <v>3</v>
      </c>
      <c r="U279" s="8">
        <v>5</v>
      </c>
      <c r="V279" s="8">
        <v>1</v>
      </c>
      <c r="W279" t="s">
        <v>473</v>
      </c>
      <c r="X279" t="s">
        <v>473</v>
      </c>
      <c r="Y279" t="s">
        <v>473</v>
      </c>
      <c r="Z279" t="s">
        <v>473</v>
      </c>
      <c r="AA279" t="s">
        <v>473</v>
      </c>
      <c r="AB279" t="s">
        <v>473</v>
      </c>
      <c r="AC279" s="10">
        <v>3</v>
      </c>
      <c r="AD279" s="10">
        <v>11</v>
      </c>
      <c r="AE279" t="s">
        <v>473</v>
      </c>
    </row>
    <row r="280" spans="1:31" x14ac:dyDescent="0.25">
      <c r="A280">
        <v>3762</v>
      </c>
      <c r="B280">
        <v>1986</v>
      </c>
      <c r="C280" t="s">
        <v>33</v>
      </c>
      <c r="D280" t="s">
        <v>30</v>
      </c>
      <c r="E280" t="str">
        <f>IF(OR(Table1[[#This Row],[marital_status]]="Married", Table1[[#This Row],[marital_status]]="Together"), "Partnered", "Single")</f>
        <v>Single</v>
      </c>
      <c r="F280" s="7">
        <v>69867</v>
      </c>
      <c r="G280" s="8">
        <v>0</v>
      </c>
      <c r="H280" s="8">
        <v>0</v>
      </c>
      <c r="I280" s="8">
        <f>Table1[[#This Row],[kids]]+Table1[[#This Row],[teens]]</f>
        <v>0</v>
      </c>
      <c r="J280" s="9">
        <v>41366</v>
      </c>
      <c r="K280" s="8">
        <v>30</v>
      </c>
      <c r="L280" s="6">
        <v>196</v>
      </c>
      <c r="M280" s="5">
        <v>0</v>
      </c>
      <c r="N280" s="5">
        <v>512</v>
      </c>
      <c r="O280" s="5">
        <v>33</v>
      </c>
      <c r="P280" s="5">
        <v>130</v>
      </c>
      <c r="Q280" s="5">
        <v>54</v>
      </c>
      <c r="R280" s="8">
        <v>1</v>
      </c>
      <c r="S280" s="8">
        <v>3</v>
      </c>
      <c r="T280" s="8">
        <v>5</v>
      </c>
      <c r="U280" s="8">
        <v>8</v>
      </c>
      <c r="V280" s="8">
        <v>1</v>
      </c>
      <c r="W280" t="s">
        <v>473</v>
      </c>
      <c r="X280" t="s">
        <v>473</v>
      </c>
      <c r="Y280" t="s">
        <v>473</v>
      </c>
      <c r="Z280" t="s">
        <v>474</v>
      </c>
      <c r="AA280" t="s">
        <v>473</v>
      </c>
      <c r="AB280" t="s">
        <v>473</v>
      </c>
      <c r="AC280" s="10">
        <v>3</v>
      </c>
      <c r="AD280" s="10">
        <v>11</v>
      </c>
      <c r="AE280" t="s">
        <v>474</v>
      </c>
    </row>
    <row r="281" spans="1:31" x14ac:dyDescent="0.25">
      <c r="A281">
        <v>4391</v>
      </c>
      <c r="B281">
        <v>1968</v>
      </c>
      <c r="C281" t="s">
        <v>36</v>
      </c>
      <c r="D281" t="s">
        <v>37</v>
      </c>
      <c r="E281" t="str">
        <f>IF(OR(Table1[[#This Row],[marital_status]]="Married", Table1[[#This Row],[marital_status]]="Together"), "Partnered", "Single")</f>
        <v>Single</v>
      </c>
      <c r="F281" s="7">
        <v>63841</v>
      </c>
      <c r="G281" s="8">
        <v>0</v>
      </c>
      <c r="H281" s="8">
        <v>1</v>
      </c>
      <c r="I281" s="8">
        <f>Table1[[#This Row],[kids]]+Table1[[#This Row],[teens]]</f>
        <v>1</v>
      </c>
      <c r="J281" s="9">
        <v>41385</v>
      </c>
      <c r="K281" s="8">
        <v>64</v>
      </c>
      <c r="L281" s="6">
        <v>635</v>
      </c>
      <c r="M281" s="5">
        <v>15</v>
      </c>
      <c r="N281" s="5">
        <v>100</v>
      </c>
      <c r="O281" s="5">
        <v>20</v>
      </c>
      <c r="P281" s="5">
        <v>7</v>
      </c>
      <c r="Q281" s="5">
        <v>131</v>
      </c>
      <c r="R281" s="8">
        <v>1</v>
      </c>
      <c r="S281" s="8">
        <v>9</v>
      </c>
      <c r="T281" s="8">
        <v>3</v>
      </c>
      <c r="U281" s="8">
        <v>9</v>
      </c>
      <c r="V281" s="8">
        <v>6</v>
      </c>
      <c r="W281" t="s">
        <v>473</v>
      </c>
      <c r="X281" t="s">
        <v>473</v>
      </c>
      <c r="Y281" t="s">
        <v>473</v>
      </c>
      <c r="Z281" t="s">
        <v>473</v>
      </c>
      <c r="AA281" t="s">
        <v>473</v>
      </c>
      <c r="AB281" t="s">
        <v>473</v>
      </c>
      <c r="AC281" s="10">
        <v>3</v>
      </c>
      <c r="AD281" s="10">
        <v>11</v>
      </c>
      <c r="AE281" t="s">
        <v>473</v>
      </c>
    </row>
    <row r="282" spans="1:31" x14ac:dyDescent="0.25">
      <c r="A282">
        <v>4669</v>
      </c>
      <c r="B282">
        <v>1981</v>
      </c>
      <c r="C282" t="s">
        <v>41</v>
      </c>
      <c r="D282" t="s">
        <v>34</v>
      </c>
      <c r="E282" t="str">
        <f>IF(OR(Table1[[#This Row],[marital_status]]="Married", Table1[[#This Row],[marital_status]]="Together"), "Partnered", "Single")</f>
        <v>Partnered</v>
      </c>
      <c r="F282" s="7">
        <v>24480</v>
      </c>
      <c r="G282" s="8">
        <v>1</v>
      </c>
      <c r="H282" s="8">
        <v>0</v>
      </c>
      <c r="I282" s="8">
        <f>Table1[[#This Row],[kids]]+Table1[[#This Row],[teens]]</f>
        <v>1</v>
      </c>
      <c r="J282" s="9">
        <v>41316</v>
      </c>
      <c r="K282" s="8">
        <v>46</v>
      </c>
      <c r="L282" s="6">
        <v>4</v>
      </c>
      <c r="M282" s="5">
        <v>19</v>
      </c>
      <c r="N282" s="5">
        <v>9</v>
      </c>
      <c r="O282" s="5">
        <v>28</v>
      </c>
      <c r="P282" s="5">
        <v>25</v>
      </c>
      <c r="Q282" s="5">
        <v>17</v>
      </c>
      <c r="R282" s="8">
        <v>3</v>
      </c>
      <c r="S282" s="8">
        <v>3</v>
      </c>
      <c r="T282" s="8">
        <v>0</v>
      </c>
      <c r="U282" s="8">
        <v>4</v>
      </c>
      <c r="V282" s="8">
        <v>7</v>
      </c>
      <c r="W282" t="s">
        <v>473</v>
      </c>
      <c r="X282" t="s">
        <v>473</v>
      </c>
      <c r="Y282" t="s">
        <v>473</v>
      </c>
      <c r="Z282" t="s">
        <v>473</v>
      </c>
      <c r="AA282" t="s">
        <v>473</v>
      </c>
      <c r="AB282" t="s">
        <v>473</v>
      </c>
      <c r="AC282" s="10">
        <v>3</v>
      </c>
      <c r="AD282" s="10">
        <v>11</v>
      </c>
      <c r="AE282" t="s">
        <v>473</v>
      </c>
    </row>
    <row r="283" spans="1:31" x14ac:dyDescent="0.25">
      <c r="A283">
        <v>10144</v>
      </c>
      <c r="B283">
        <v>1976</v>
      </c>
      <c r="C283" t="s">
        <v>466</v>
      </c>
      <c r="D283" t="s">
        <v>31</v>
      </c>
      <c r="E283" t="str">
        <f>IF(OR(Table1[[#This Row],[marital_status]]="Married", Table1[[#This Row],[marital_status]]="Together"), "Partnered", "Single")</f>
        <v>Partnered</v>
      </c>
      <c r="F283" s="7">
        <v>51369</v>
      </c>
      <c r="G283" s="8">
        <v>0</v>
      </c>
      <c r="H283" s="8">
        <v>1</v>
      </c>
      <c r="I283" s="8">
        <f>Table1[[#This Row],[kids]]+Table1[[#This Row],[teens]]</f>
        <v>1</v>
      </c>
      <c r="J283" s="9">
        <v>41207</v>
      </c>
      <c r="K283" s="8">
        <v>84</v>
      </c>
      <c r="L283" s="6">
        <v>297</v>
      </c>
      <c r="M283" s="5">
        <v>7</v>
      </c>
      <c r="N283" s="5">
        <v>79</v>
      </c>
      <c r="O283" s="5">
        <v>0</v>
      </c>
      <c r="P283" s="5">
        <v>11</v>
      </c>
      <c r="Q283" s="5">
        <v>182</v>
      </c>
      <c r="R283" s="8">
        <v>2</v>
      </c>
      <c r="S283" s="8">
        <v>8</v>
      </c>
      <c r="T283" s="8">
        <v>2</v>
      </c>
      <c r="U283" s="8">
        <v>4</v>
      </c>
      <c r="V283" s="8">
        <v>8</v>
      </c>
      <c r="W283" t="s">
        <v>473</v>
      </c>
      <c r="X283" t="s">
        <v>473</v>
      </c>
      <c r="Y283" t="s">
        <v>473</v>
      </c>
      <c r="Z283" t="s">
        <v>473</v>
      </c>
      <c r="AA283" t="s">
        <v>473</v>
      </c>
      <c r="AB283" t="s">
        <v>473</v>
      </c>
      <c r="AC283" s="10">
        <v>3</v>
      </c>
      <c r="AD283" s="10">
        <v>11</v>
      </c>
      <c r="AE283" t="s">
        <v>473</v>
      </c>
    </row>
    <row r="284" spans="1:31" x14ac:dyDescent="0.25">
      <c r="A284">
        <v>8652</v>
      </c>
      <c r="B284">
        <v>1946</v>
      </c>
      <c r="C284" t="s">
        <v>466</v>
      </c>
      <c r="D284" t="s">
        <v>31</v>
      </c>
      <c r="E284" t="str">
        <f>IF(OR(Table1[[#This Row],[marital_status]]="Married", Table1[[#This Row],[marital_status]]="Together"), "Partnered", "Single")</f>
        <v>Partnered</v>
      </c>
      <c r="F284" s="7">
        <v>37760</v>
      </c>
      <c r="G284" s="8">
        <v>0</v>
      </c>
      <c r="H284" s="8">
        <v>0</v>
      </c>
      <c r="I284" s="8">
        <f>Table1[[#This Row],[kids]]+Table1[[#This Row],[teens]]</f>
        <v>0</v>
      </c>
      <c r="J284" s="9">
        <v>41152</v>
      </c>
      <c r="K284" s="8">
        <v>20</v>
      </c>
      <c r="L284" s="6">
        <v>84</v>
      </c>
      <c r="M284" s="5">
        <v>5</v>
      </c>
      <c r="N284" s="5">
        <v>38</v>
      </c>
      <c r="O284" s="5">
        <v>150</v>
      </c>
      <c r="P284" s="5">
        <v>12</v>
      </c>
      <c r="Q284" s="5">
        <v>28</v>
      </c>
      <c r="R284" s="8">
        <v>2</v>
      </c>
      <c r="S284" s="8">
        <v>4</v>
      </c>
      <c r="T284" s="8">
        <v>1</v>
      </c>
      <c r="U284" s="8">
        <v>6</v>
      </c>
      <c r="V284" s="8">
        <v>7</v>
      </c>
      <c r="W284" t="s">
        <v>473</v>
      </c>
      <c r="X284" t="s">
        <v>473</v>
      </c>
      <c r="Y284" t="s">
        <v>473</v>
      </c>
      <c r="Z284" t="s">
        <v>473</v>
      </c>
      <c r="AA284" t="s">
        <v>473</v>
      </c>
      <c r="AB284" t="s">
        <v>473</v>
      </c>
      <c r="AC284" s="10">
        <v>3</v>
      </c>
      <c r="AD284" s="10">
        <v>11</v>
      </c>
      <c r="AE284" t="s">
        <v>473</v>
      </c>
    </row>
    <row r="285" spans="1:31" x14ac:dyDescent="0.25">
      <c r="A285">
        <v>1672</v>
      </c>
      <c r="B285">
        <v>1974</v>
      </c>
      <c r="C285" t="s">
        <v>33</v>
      </c>
      <c r="D285" t="s">
        <v>31</v>
      </c>
      <c r="E285" t="str">
        <f>IF(OR(Table1[[#This Row],[marital_status]]="Married", Table1[[#This Row],[marital_status]]="Together"), "Partnered", "Single")</f>
        <v>Partnered</v>
      </c>
      <c r="F285" s="7">
        <v>65640</v>
      </c>
      <c r="G285" s="8">
        <v>0</v>
      </c>
      <c r="H285" s="8">
        <v>1</v>
      </c>
      <c r="I285" s="8">
        <f>Table1[[#This Row],[kids]]+Table1[[#This Row],[teens]]</f>
        <v>1</v>
      </c>
      <c r="J285" s="9">
        <v>41699</v>
      </c>
      <c r="K285" s="8">
        <v>74</v>
      </c>
      <c r="L285" s="6">
        <v>204</v>
      </c>
      <c r="M285" s="5">
        <v>7</v>
      </c>
      <c r="N285" s="5">
        <v>149</v>
      </c>
      <c r="O285" s="5">
        <v>20</v>
      </c>
      <c r="P285" s="5">
        <v>15</v>
      </c>
      <c r="Q285" s="5">
        <v>66</v>
      </c>
      <c r="R285" s="8">
        <v>1</v>
      </c>
      <c r="S285" s="8">
        <v>5</v>
      </c>
      <c r="T285" s="8">
        <v>1</v>
      </c>
      <c r="U285" s="8">
        <v>8</v>
      </c>
      <c r="V285" s="8">
        <v>2</v>
      </c>
      <c r="W285" t="s">
        <v>473</v>
      </c>
      <c r="X285" t="s">
        <v>473</v>
      </c>
      <c r="Y285" t="s">
        <v>473</v>
      </c>
      <c r="Z285" t="s">
        <v>473</v>
      </c>
      <c r="AA285" t="s">
        <v>473</v>
      </c>
      <c r="AB285" t="s">
        <v>473</v>
      </c>
      <c r="AC285" s="10">
        <v>3</v>
      </c>
      <c r="AD285" s="10">
        <v>11</v>
      </c>
      <c r="AE285" t="s">
        <v>473</v>
      </c>
    </row>
    <row r="286" spans="1:31" x14ac:dyDescent="0.25">
      <c r="A286">
        <v>8962</v>
      </c>
      <c r="B286">
        <v>1975</v>
      </c>
      <c r="C286" t="s">
        <v>36</v>
      </c>
      <c r="D286" t="s">
        <v>34</v>
      </c>
      <c r="E286" t="str">
        <f>IF(OR(Table1[[#This Row],[marital_status]]="Married", Table1[[#This Row],[marital_status]]="Together"), "Partnered", "Single")</f>
        <v>Partnered</v>
      </c>
      <c r="F286" s="7">
        <v>44319</v>
      </c>
      <c r="G286" s="8">
        <v>1</v>
      </c>
      <c r="H286" s="8">
        <v>1</v>
      </c>
      <c r="I286" s="8">
        <f>Table1[[#This Row],[kids]]+Table1[[#This Row],[teens]]</f>
        <v>2</v>
      </c>
      <c r="J286" s="9">
        <v>41746</v>
      </c>
      <c r="K286" s="8">
        <v>18</v>
      </c>
      <c r="L286" s="6">
        <v>26</v>
      </c>
      <c r="M286" s="5">
        <v>0</v>
      </c>
      <c r="N286" s="5">
        <v>8</v>
      </c>
      <c r="O286" s="5">
        <v>0</v>
      </c>
      <c r="P286" s="5">
        <v>0</v>
      </c>
      <c r="Q286" s="5">
        <v>3</v>
      </c>
      <c r="R286" s="8">
        <v>2</v>
      </c>
      <c r="S286" s="8">
        <v>2</v>
      </c>
      <c r="T286" s="8">
        <v>0</v>
      </c>
      <c r="U286" s="8">
        <v>3</v>
      </c>
      <c r="V286" s="8">
        <v>5</v>
      </c>
      <c r="W286" t="s">
        <v>473</v>
      </c>
      <c r="X286" t="s">
        <v>473</v>
      </c>
      <c r="Y286" t="s">
        <v>473</v>
      </c>
      <c r="Z286" t="s">
        <v>473</v>
      </c>
      <c r="AA286" t="s">
        <v>473</v>
      </c>
      <c r="AB286" t="s">
        <v>473</v>
      </c>
      <c r="AC286" s="10">
        <v>3</v>
      </c>
      <c r="AD286" s="10">
        <v>11</v>
      </c>
      <c r="AE286" t="s">
        <v>473</v>
      </c>
    </row>
    <row r="287" spans="1:31" x14ac:dyDescent="0.25">
      <c r="A287">
        <v>9974</v>
      </c>
      <c r="B287">
        <v>1974</v>
      </c>
      <c r="C287" t="s">
        <v>466</v>
      </c>
      <c r="D287" t="s">
        <v>34</v>
      </c>
      <c r="E287" t="str">
        <f>IF(OR(Table1[[#This Row],[marital_status]]="Married", Table1[[#This Row],[marital_status]]="Together"), "Partnered", "Single")</f>
        <v>Partnered</v>
      </c>
      <c r="F287" s="7">
        <v>30631</v>
      </c>
      <c r="G287" s="8">
        <v>1</v>
      </c>
      <c r="H287" s="8">
        <v>0</v>
      </c>
      <c r="I287" s="8">
        <f>Table1[[#This Row],[kids]]+Table1[[#This Row],[teens]]</f>
        <v>1</v>
      </c>
      <c r="J287" s="9">
        <v>41467</v>
      </c>
      <c r="K287" s="8">
        <v>75</v>
      </c>
      <c r="L287" s="6">
        <v>15</v>
      </c>
      <c r="M287" s="5">
        <v>6</v>
      </c>
      <c r="N287" s="5">
        <v>20</v>
      </c>
      <c r="O287" s="5">
        <v>4</v>
      </c>
      <c r="P287" s="5">
        <v>5</v>
      </c>
      <c r="Q287" s="5">
        <v>20</v>
      </c>
      <c r="R287" s="8">
        <v>1</v>
      </c>
      <c r="S287" s="8">
        <v>3</v>
      </c>
      <c r="T287" s="8">
        <v>1</v>
      </c>
      <c r="U287" s="8">
        <v>2</v>
      </c>
      <c r="V287" s="8">
        <v>7</v>
      </c>
      <c r="W287" t="s">
        <v>473</v>
      </c>
      <c r="X287" t="s">
        <v>473</v>
      </c>
      <c r="Y287" t="s">
        <v>473</v>
      </c>
      <c r="Z287" t="s">
        <v>473</v>
      </c>
      <c r="AA287" t="s">
        <v>473</v>
      </c>
      <c r="AB287" t="s">
        <v>473</v>
      </c>
      <c r="AC287" s="10">
        <v>3</v>
      </c>
      <c r="AD287" s="10">
        <v>11</v>
      </c>
      <c r="AE287" t="s">
        <v>473</v>
      </c>
    </row>
    <row r="288" spans="1:31" x14ac:dyDescent="0.25">
      <c r="A288">
        <v>10983</v>
      </c>
      <c r="B288">
        <v>1952</v>
      </c>
      <c r="C288" t="s">
        <v>466</v>
      </c>
      <c r="D288" t="s">
        <v>31</v>
      </c>
      <c r="E288" t="str">
        <f>IF(OR(Table1[[#This Row],[marital_status]]="Married", Table1[[#This Row],[marital_status]]="Together"), "Partnered", "Single")</f>
        <v>Partnered</v>
      </c>
      <c r="F288" s="7">
        <v>75278</v>
      </c>
      <c r="G288" s="8">
        <v>0</v>
      </c>
      <c r="H288" s="8">
        <v>0</v>
      </c>
      <c r="I288" s="8">
        <f>Table1[[#This Row],[kids]]+Table1[[#This Row],[teens]]</f>
        <v>0</v>
      </c>
      <c r="J288" s="9">
        <v>41303</v>
      </c>
      <c r="K288" s="8">
        <v>17</v>
      </c>
      <c r="L288" s="6">
        <v>304</v>
      </c>
      <c r="M288" s="5">
        <v>98</v>
      </c>
      <c r="N288" s="5">
        <v>230</v>
      </c>
      <c r="O288" s="5">
        <v>150</v>
      </c>
      <c r="P288" s="5">
        <v>74</v>
      </c>
      <c r="Q288" s="5">
        <v>74</v>
      </c>
      <c r="R288" s="8">
        <v>1</v>
      </c>
      <c r="S288" s="8">
        <v>6</v>
      </c>
      <c r="T288" s="8">
        <v>3</v>
      </c>
      <c r="U288" s="8">
        <v>13</v>
      </c>
      <c r="V288" s="8">
        <v>3</v>
      </c>
      <c r="W288" t="s">
        <v>473</v>
      </c>
      <c r="X288" t="s">
        <v>473</v>
      </c>
      <c r="Y288" t="s">
        <v>473</v>
      </c>
      <c r="Z288" t="s">
        <v>473</v>
      </c>
      <c r="AA288" t="s">
        <v>473</v>
      </c>
      <c r="AB288" t="s">
        <v>473</v>
      </c>
      <c r="AC288" s="10">
        <v>3</v>
      </c>
      <c r="AD288" s="10">
        <v>11</v>
      </c>
      <c r="AE288" t="s">
        <v>473</v>
      </c>
    </row>
    <row r="289" spans="1:31" x14ac:dyDescent="0.25">
      <c r="A289">
        <v>8148</v>
      </c>
      <c r="B289">
        <v>1956</v>
      </c>
      <c r="C289" t="s">
        <v>36</v>
      </c>
      <c r="D289" t="s">
        <v>31</v>
      </c>
      <c r="E289" t="str">
        <f>IF(OR(Table1[[#This Row],[marital_status]]="Married", Table1[[#This Row],[marital_status]]="Together"), "Partnered", "Single")</f>
        <v>Partnered</v>
      </c>
      <c r="F289" s="7">
        <v>50898</v>
      </c>
      <c r="G289" s="8">
        <v>1</v>
      </c>
      <c r="H289" s="8">
        <v>1</v>
      </c>
      <c r="I289" s="8">
        <f>Table1[[#This Row],[kids]]+Table1[[#This Row],[teens]]</f>
        <v>2</v>
      </c>
      <c r="J289" s="9">
        <v>41282</v>
      </c>
      <c r="K289" s="8">
        <v>88</v>
      </c>
      <c r="L289" s="6">
        <v>285</v>
      </c>
      <c r="M289" s="5">
        <v>28</v>
      </c>
      <c r="N289" s="5">
        <v>242</v>
      </c>
      <c r="O289" s="5">
        <v>55</v>
      </c>
      <c r="P289" s="5">
        <v>114</v>
      </c>
      <c r="Q289" s="5">
        <v>135</v>
      </c>
      <c r="R289" s="8">
        <v>13</v>
      </c>
      <c r="S289" s="8">
        <v>6</v>
      </c>
      <c r="T289" s="8">
        <v>2</v>
      </c>
      <c r="U289" s="8">
        <v>12</v>
      </c>
      <c r="V289" s="8">
        <v>5</v>
      </c>
      <c r="W289" t="s">
        <v>473</v>
      </c>
      <c r="X289" t="s">
        <v>473</v>
      </c>
      <c r="Y289" t="s">
        <v>473</v>
      </c>
      <c r="Z289" t="s">
        <v>473</v>
      </c>
      <c r="AA289" t="s">
        <v>473</v>
      </c>
      <c r="AB289" t="s">
        <v>473</v>
      </c>
      <c r="AC289" s="10">
        <v>3</v>
      </c>
      <c r="AD289" s="10">
        <v>11</v>
      </c>
      <c r="AE289" t="s">
        <v>473</v>
      </c>
    </row>
    <row r="290" spans="1:31" x14ac:dyDescent="0.25">
      <c r="A290">
        <v>10102</v>
      </c>
      <c r="B290">
        <v>1966</v>
      </c>
      <c r="C290" t="s">
        <v>466</v>
      </c>
      <c r="D290" t="s">
        <v>57</v>
      </c>
      <c r="E290" t="str">
        <f>IF(OR(Table1[[#This Row],[marital_status]]="Married", Table1[[#This Row],[marital_status]]="Together"), "Partnered", "Single")</f>
        <v>Single</v>
      </c>
      <c r="F290" s="7">
        <v>79946</v>
      </c>
      <c r="G290" s="8">
        <v>0</v>
      </c>
      <c r="H290" s="8">
        <v>0</v>
      </c>
      <c r="I290" s="8">
        <f>Table1[[#This Row],[kids]]+Table1[[#This Row],[teens]]</f>
        <v>0</v>
      </c>
      <c r="J290" s="9">
        <v>41771</v>
      </c>
      <c r="K290" s="8">
        <v>19</v>
      </c>
      <c r="L290" s="6">
        <v>395</v>
      </c>
      <c r="M290" s="5">
        <v>183</v>
      </c>
      <c r="N290" s="5">
        <v>565</v>
      </c>
      <c r="O290" s="5">
        <v>166</v>
      </c>
      <c r="P290" s="5">
        <v>141</v>
      </c>
      <c r="Q290" s="5">
        <v>28</v>
      </c>
      <c r="R290" s="8">
        <v>1</v>
      </c>
      <c r="S290" s="8">
        <v>5</v>
      </c>
      <c r="T290" s="8">
        <v>11</v>
      </c>
      <c r="U290" s="8">
        <v>5</v>
      </c>
      <c r="V290" s="8">
        <v>3</v>
      </c>
      <c r="W290" t="s">
        <v>473</v>
      </c>
      <c r="X290" t="s">
        <v>473</v>
      </c>
      <c r="Y290" t="s">
        <v>473</v>
      </c>
      <c r="Z290" t="s">
        <v>473</v>
      </c>
      <c r="AA290" t="s">
        <v>473</v>
      </c>
      <c r="AB290" t="s">
        <v>473</v>
      </c>
      <c r="AC290" s="10">
        <v>3</v>
      </c>
      <c r="AD290" s="10">
        <v>11</v>
      </c>
      <c r="AE290" t="s">
        <v>473</v>
      </c>
    </row>
    <row r="291" spans="1:31" x14ac:dyDescent="0.25">
      <c r="A291">
        <v>4697</v>
      </c>
      <c r="B291">
        <v>1949</v>
      </c>
      <c r="C291" t="s">
        <v>36</v>
      </c>
      <c r="D291" t="s">
        <v>37</v>
      </c>
      <c r="E291" t="str">
        <f>IF(OR(Table1[[#This Row],[marital_status]]="Married", Table1[[#This Row],[marital_status]]="Together"), "Partnered", "Single")</f>
        <v>Single</v>
      </c>
      <c r="F291" s="7">
        <v>35416</v>
      </c>
      <c r="G291" s="8">
        <v>0</v>
      </c>
      <c r="H291" s="8">
        <v>0</v>
      </c>
      <c r="I291" s="8">
        <f>Table1[[#This Row],[kids]]+Table1[[#This Row],[teens]]</f>
        <v>0</v>
      </c>
      <c r="J291" s="9">
        <v>41438</v>
      </c>
      <c r="K291" s="8">
        <v>62</v>
      </c>
      <c r="L291" s="6">
        <v>248</v>
      </c>
      <c r="M291" s="5">
        <v>3</v>
      </c>
      <c r="N291" s="5">
        <v>81</v>
      </c>
      <c r="O291" s="5">
        <v>4</v>
      </c>
      <c r="P291" s="5">
        <v>3</v>
      </c>
      <c r="Q291" s="5">
        <v>51</v>
      </c>
      <c r="R291" s="8">
        <v>3</v>
      </c>
      <c r="S291" s="8">
        <v>7</v>
      </c>
      <c r="T291" s="8">
        <v>1</v>
      </c>
      <c r="U291" s="8">
        <v>5</v>
      </c>
      <c r="V291" s="8">
        <v>8</v>
      </c>
      <c r="W291" t="s">
        <v>473</v>
      </c>
      <c r="X291" t="s">
        <v>473</v>
      </c>
      <c r="Y291" t="s">
        <v>473</v>
      </c>
      <c r="Z291" t="s">
        <v>473</v>
      </c>
      <c r="AA291" t="s">
        <v>473</v>
      </c>
      <c r="AB291" t="s">
        <v>473</v>
      </c>
      <c r="AC291" s="10">
        <v>3</v>
      </c>
      <c r="AD291" s="10">
        <v>11</v>
      </c>
      <c r="AE291" t="s">
        <v>473</v>
      </c>
    </row>
    <row r="292" spans="1:31" x14ac:dyDescent="0.25">
      <c r="A292">
        <v>9262</v>
      </c>
      <c r="B292">
        <v>1984</v>
      </c>
      <c r="C292" t="s">
        <v>46</v>
      </c>
      <c r="D292" t="s">
        <v>31</v>
      </c>
      <c r="E292" t="str">
        <f>IF(OR(Table1[[#This Row],[marital_status]]="Married", Table1[[#This Row],[marital_status]]="Together"), "Partnered", "Single")</f>
        <v>Partnered</v>
      </c>
      <c r="F292" s="7">
        <v>32414</v>
      </c>
      <c r="G292" s="8">
        <v>0</v>
      </c>
      <c r="H292" s="8">
        <v>0</v>
      </c>
      <c r="I292" s="8">
        <f>Table1[[#This Row],[kids]]+Table1[[#This Row],[teens]]</f>
        <v>0</v>
      </c>
      <c r="J292" s="9">
        <v>41459</v>
      </c>
      <c r="K292" s="8">
        <v>11</v>
      </c>
      <c r="L292" s="6">
        <v>20</v>
      </c>
      <c r="M292" s="5">
        <v>6</v>
      </c>
      <c r="N292" s="5">
        <v>5</v>
      </c>
      <c r="O292" s="5">
        <v>0</v>
      </c>
      <c r="P292" s="5">
        <v>9</v>
      </c>
      <c r="Q292" s="5">
        <v>12</v>
      </c>
      <c r="R292" s="8">
        <v>1</v>
      </c>
      <c r="S292" s="8">
        <v>1</v>
      </c>
      <c r="T292" s="8">
        <v>0</v>
      </c>
      <c r="U292" s="8">
        <v>3</v>
      </c>
      <c r="V292" s="8">
        <v>7</v>
      </c>
      <c r="W292" t="s">
        <v>474</v>
      </c>
      <c r="X292" t="s">
        <v>473</v>
      </c>
      <c r="Y292" t="s">
        <v>473</v>
      </c>
      <c r="Z292" t="s">
        <v>473</v>
      </c>
      <c r="AA292" t="s">
        <v>473</v>
      </c>
      <c r="AB292" t="s">
        <v>473</v>
      </c>
      <c r="AC292" s="10">
        <v>3</v>
      </c>
      <c r="AD292" s="10">
        <v>11</v>
      </c>
      <c r="AE292" t="s">
        <v>473</v>
      </c>
    </row>
    <row r="293" spans="1:31" x14ac:dyDescent="0.25">
      <c r="A293">
        <v>7254</v>
      </c>
      <c r="B293">
        <v>1969</v>
      </c>
      <c r="C293" t="s">
        <v>466</v>
      </c>
      <c r="D293" t="s">
        <v>31</v>
      </c>
      <c r="E293" t="str">
        <f>IF(OR(Table1[[#This Row],[marital_status]]="Married", Table1[[#This Row],[marital_status]]="Together"), "Partnered", "Single")</f>
        <v>Partnered</v>
      </c>
      <c r="F293" s="7">
        <v>38361</v>
      </c>
      <c r="G293" s="8">
        <v>1</v>
      </c>
      <c r="H293" s="8">
        <v>0</v>
      </c>
      <c r="I293" s="8">
        <f>Table1[[#This Row],[kids]]+Table1[[#This Row],[teens]]</f>
        <v>1</v>
      </c>
      <c r="J293" s="9">
        <v>41635</v>
      </c>
      <c r="K293" s="8">
        <v>74</v>
      </c>
      <c r="L293" s="6">
        <v>39</v>
      </c>
      <c r="M293" s="5">
        <v>0</v>
      </c>
      <c r="N293" s="5">
        <v>56</v>
      </c>
      <c r="O293" s="5">
        <v>20</v>
      </c>
      <c r="P293" s="5">
        <v>8</v>
      </c>
      <c r="Q293" s="5">
        <v>14</v>
      </c>
      <c r="R293" s="8">
        <v>3</v>
      </c>
      <c r="S293" s="8">
        <v>3</v>
      </c>
      <c r="T293" s="8">
        <v>1</v>
      </c>
      <c r="U293" s="8">
        <v>3</v>
      </c>
      <c r="V293" s="8">
        <v>7</v>
      </c>
      <c r="W293" t="s">
        <v>473</v>
      </c>
      <c r="X293" t="s">
        <v>473</v>
      </c>
      <c r="Y293" t="s">
        <v>473</v>
      </c>
      <c r="Z293" t="s">
        <v>473</v>
      </c>
      <c r="AA293" t="s">
        <v>473</v>
      </c>
      <c r="AB293" t="s">
        <v>473</v>
      </c>
      <c r="AC293" s="10">
        <v>3</v>
      </c>
      <c r="AD293" s="10">
        <v>11</v>
      </c>
      <c r="AE293" t="s">
        <v>473</v>
      </c>
    </row>
    <row r="294" spans="1:31" x14ac:dyDescent="0.25">
      <c r="A294">
        <v>4543</v>
      </c>
      <c r="B294">
        <v>1980</v>
      </c>
      <c r="C294" t="s">
        <v>466</v>
      </c>
      <c r="D294" t="s">
        <v>34</v>
      </c>
      <c r="E294" t="str">
        <f>IF(OR(Table1[[#This Row],[marital_status]]="Married", Table1[[#This Row],[marital_status]]="Together"), "Partnered", "Single")</f>
        <v>Partnered</v>
      </c>
      <c r="F294" s="7">
        <v>82497</v>
      </c>
      <c r="G294" s="8">
        <v>0</v>
      </c>
      <c r="H294" s="8">
        <v>0</v>
      </c>
      <c r="I294" s="8">
        <f>Table1[[#This Row],[kids]]+Table1[[#This Row],[teens]]</f>
        <v>0</v>
      </c>
      <c r="J294" s="9">
        <v>41213</v>
      </c>
      <c r="K294" s="8">
        <v>32</v>
      </c>
      <c r="L294" s="6">
        <v>777</v>
      </c>
      <c r="M294" s="5">
        <v>129</v>
      </c>
      <c r="N294" s="5">
        <v>573</v>
      </c>
      <c r="O294" s="5">
        <v>216</v>
      </c>
      <c r="P294" s="5">
        <v>21</v>
      </c>
      <c r="Q294" s="5">
        <v>203</v>
      </c>
      <c r="R294" s="8">
        <v>1</v>
      </c>
      <c r="S294" s="8">
        <v>2</v>
      </c>
      <c r="T294" s="8">
        <v>7</v>
      </c>
      <c r="U294" s="8">
        <v>9</v>
      </c>
      <c r="V294" s="8">
        <v>4</v>
      </c>
      <c r="W294" t="s">
        <v>473</v>
      </c>
      <c r="X294" t="s">
        <v>473</v>
      </c>
      <c r="Y294" t="s">
        <v>474</v>
      </c>
      <c r="Z294" t="s">
        <v>473</v>
      </c>
      <c r="AA294" t="s">
        <v>473</v>
      </c>
      <c r="AB294" t="s">
        <v>473</v>
      </c>
      <c r="AC294" s="10">
        <v>3</v>
      </c>
      <c r="AD294" s="10">
        <v>11</v>
      </c>
      <c r="AE294" t="s">
        <v>473</v>
      </c>
    </row>
    <row r="295" spans="1:31" x14ac:dyDescent="0.25">
      <c r="A295">
        <v>4927</v>
      </c>
      <c r="B295">
        <v>1971</v>
      </c>
      <c r="C295" t="s">
        <v>466</v>
      </c>
      <c r="D295" t="s">
        <v>31</v>
      </c>
      <c r="E295" t="str">
        <f>IF(OR(Table1[[#This Row],[marital_status]]="Married", Table1[[#This Row],[marital_status]]="Together"), "Partnered", "Single")</f>
        <v>Partnered</v>
      </c>
      <c r="F295" s="7">
        <v>16626</v>
      </c>
      <c r="G295" s="8">
        <v>2</v>
      </c>
      <c r="H295" s="8">
        <v>0</v>
      </c>
      <c r="I295" s="8">
        <f>Table1[[#This Row],[kids]]+Table1[[#This Row],[teens]]</f>
        <v>2</v>
      </c>
      <c r="J295" s="9">
        <v>41654</v>
      </c>
      <c r="K295" s="8">
        <v>76</v>
      </c>
      <c r="L295" s="6">
        <v>8</v>
      </c>
      <c r="M295" s="5">
        <v>3</v>
      </c>
      <c r="N295" s="5">
        <v>22</v>
      </c>
      <c r="O295" s="5">
        <v>21</v>
      </c>
      <c r="P295" s="5">
        <v>1</v>
      </c>
      <c r="Q295" s="5">
        <v>13</v>
      </c>
      <c r="R295" s="8">
        <v>3</v>
      </c>
      <c r="S295" s="8">
        <v>3</v>
      </c>
      <c r="T295" s="8">
        <v>0</v>
      </c>
      <c r="U295" s="8">
        <v>3</v>
      </c>
      <c r="V295" s="8">
        <v>9</v>
      </c>
      <c r="W295" t="s">
        <v>473</v>
      </c>
      <c r="X295" t="s">
        <v>473</v>
      </c>
      <c r="Y295" t="s">
        <v>473</v>
      </c>
      <c r="Z295" t="s">
        <v>473</v>
      </c>
      <c r="AA295" t="s">
        <v>473</v>
      </c>
      <c r="AB295" t="s">
        <v>473</v>
      </c>
      <c r="AC295" s="10">
        <v>3</v>
      </c>
      <c r="AD295" s="10">
        <v>11</v>
      </c>
      <c r="AE295" t="s">
        <v>473</v>
      </c>
    </row>
    <row r="296" spans="1:31" x14ac:dyDescent="0.25">
      <c r="A296">
        <v>10451</v>
      </c>
      <c r="B296">
        <v>1965</v>
      </c>
      <c r="C296" t="s">
        <v>466</v>
      </c>
      <c r="D296" t="s">
        <v>31</v>
      </c>
      <c r="E296" t="str">
        <f>IF(OR(Table1[[#This Row],[marital_status]]="Married", Table1[[#This Row],[marital_status]]="Together"), "Partnered", "Single")</f>
        <v>Partnered</v>
      </c>
      <c r="F296" s="7">
        <v>29672</v>
      </c>
      <c r="G296" s="8">
        <v>1</v>
      </c>
      <c r="H296" s="8">
        <v>1</v>
      </c>
      <c r="I296" s="8">
        <f>Table1[[#This Row],[kids]]+Table1[[#This Row],[teens]]</f>
        <v>2</v>
      </c>
      <c r="J296" s="9">
        <v>41345</v>
      </c>
      <c r="K296" s="8">
        <v>6</v>
      </c>
      <c r="L296" s="6">
        <v>9</v>
      </c>
      <c r="M296" s="5">
        <v>1</v>
      </c>
      <c r="N296" s="5">
        <v>3</v>
      </c>
      <c r="O296" s="5">
        <v>0</v>
      </c>
      <c r="P296" s="5">
        <v>4</v>
      </c>
      <c r="Q296" s="5">
        <v>8</v>
      </c>
      <c r="R296" s="8">
        <v>1</v>
      </c>
      <c r="S296" s="8">
        <v>0</v>
      </c>
      <c r="T296" s="8">
        <v>0</v>
      </c>
      <c r="U296" s="8">
        <v>3</v>
      </c>
      <c r="V296" s="8">
        <v>6</v>
      </c>
      <c r="W296" t="s">
        <v>473</v>
      </c>
      <c r="X296" t="s">
        <v>473</v>
      </c>
      <c r="Y296" t="s">
        <v>473</v>
      </c>
      <c r="Z296" t="s">
        <v>473</v>
      </c>
      <c r="AA296" t="s">
        <v>473</v>
      </c>
      <c r="AB296" t="s">
        <v>473</v>
      </c>
      <c r="AC296" s="10">
        <v>3</v>
      </c>
      <c r="AD296" s="10">
        <v>11</v>
      </c>
      <c r="AE296" t="s">
        <v>473</v>
      </c>
    </row>
    <row r="297" spans="1:31" x14ac:dyDescent="0.25">
      <c r="A297">
        <v>2926</v>
      </c>
      <c r="B297">
        <v>1952</v>
      </c>
      <c r="C297" t="s">
        <v>36</v>
      </c>
      <c r="D297" t="s">
        <v>31</v>
      </c>
      <c r="E297" t="str">
        <f>IF(OR(Table1[[#This Row],[marital_status]]="Married", Table1[[#This Row],[marital_status]]="Together"), "Partnered", "Single")</f>
        <v>Partnered</v>
      </c>
      <c r="F297" s="7">
        <v>55951</v>
      </c>
      <c r="G297" s="8">
        <v>0</v>
      </c>
      <c r="H297" s="8">
        <v>1</v>
      </c>
      <c r="I297" s="8">
        <f>Table1[[#This Row],[kids]]+Table1[[#This Row],[teens]]</f>
        <v>1</v>
      </c>
      <c r="J297" s="9">
        <v>41144</v>
      </c>
      <c r="K297" s="8">
        <v>62</v>
      </c>
      <c r="L297" s="6">
        <v>1241</v>
      </c>
      <c r="M297" s="5">
        <v>0</v>
      </c>
      <c r="N297" s="5">
        <v>80</v>
      </c>
      <c r="O297" s="5">
        <v>0</v>
      </c>
      <c r="P297" s="5">
        <v>13</v>
      </c>
      <c r="Q297" s="5">
        <v>40</v>
      </c>
      <c r="R297" s="8">
        <v>3</v>
      </c>
      <c r="S297" s="8">
        <v>3</v>
      </c>
      <c r="T297" s="8">
        <v>6</v>
      </c>
      <c r="U297" s="8">
        <v>11</v>
      </c>
      <c r="V297" s="8">
        <v>8</v>
      </c>
      <c r="W297" t="s">
        <v>473</v>
      </c>
      <c r="X297" t="s">
        <v>474</v>
      </c>
      <c r="Y297" t="s">
        <v>473</v>
      </c>
      <c r="Z297" t="s">
        <v>473</v>
      </c>
      <c r="AA297" t="s">
        <v>474</v>
      </c>
      <c r="AB297" t="s">
        <v>473</v>
      </c>
      <c r="AC297" s="10">
        <v>3</v>
      </c>
      <c r="AD297" s="10">
        <v>11</v>
      </c>
      <c r="AE297" t="s">
        <v>473</v>
      </c>
    </row>
    <row r="298" spans="1:31" x14ac:dyDescent="0.25">
      <c r="A298">
        <v>2874</v>
      </c>
      <c r="B298">
        <v>1988</v>
      </c>
      <c r="C298" t="s">
        <v>46</v>
      </c>
      <c r="D298" t="s">
        <v>37</v>
      </c>
      <c r="E298" t="str">
        <f>IF(OR(Table1[[#This Row],[marital_status]]="Married", Table1[[#This Row],[marital_status]]="Together"), "Partnered", "Single")</f>
        <v>Single</v>
      </c>
      <c r="F298" s="7">
        <v>35388</v>
      </c>
      <c r="G298" s="8">
        <v>1</v>
      </c>
      <c r="H298" s="8">
        <v>0</v>
      </c>
      <c r="I298" s="8">
        <f>Table1[[#This Row],[kids]]+Table1[[#This Row],[teens]]</f>
        <v>1</v>
      </c>
      <c r="J298" s="9">
        <v>41340</v>
      </c>
      <c r="K298" s="8">
        <v>20</v>
      </c>
      <c r="L298" s="6">
        <v>6</v>
      </c>
      <c r="M298" s="5">
        <v>4</v>
      </c>
      <c r="N298" s="5">
        <v>7</v>
      </c>
      <c r="O298" s="5">
        <v>4</v>
      </c>
      <c r="P298" s="5">
        <v>3</v>
      </c>
      <c r="Q298" s="5">
        <v>8</v>
      </c>
      <c r="R298" s="8">
        <v>1</v>
      </c>
      <c r="S298" s="8">
        <v>1</v>
      </c>
      <c r="T298" s="8">
        <v>0</v>
      </c>
      <c r="U298" s="8">
        <v>3</v>
      </c>
      <c r="V298" s="8">
        <v>7</v>
      </c>
      <c r="W298" t="s">
        <v>473</v>
      </c>
      <c r="X298" t="s">
        <v>473</v>
      </c>
      <c r="Y298" t="s">
        <v>473</v>
      </c>
      <c r="Z298" t="s">
        <v>473</v>
      </c>
      <c r="AA298" t="s">
        <v>473</v>
      </c>
      <c r="AB298" t="s">
        <v>473</v>
      </c>
      <c r="AC298" s="10">
        <v>3</v>
      </c>
      <c r="AD298" s="10">
        <v>11</v>
      </c>
      <c r="AE298" t="s">
        <v>473</v>
      </c>
    </row>
    <row r="299" spans="1:31" x14ac:dyDescent="0.25">
      <c r="A299">
        <v>9738</v>
      </c>
      <c r="B299">
        <v>1986</v>
      </c>
      <c r="C299" t="s">
        <v>36</v>
      </c>
      <c r="D299" t="s">
        <v>31</v>
      </c>
      <c r="E299" t="str">
        <f>IF(OR(Table1[[#This Row],[marital_status]]="Married", Table1[[#This Row],[marital_status]]="Together"), "Partnered", "Single")</f>
        <v>Partnered</v>
      </c>
      <c r="F299" s="7">
        <v>42386</v>
      </c>
      <c r="G299" s="8">
        <v>1</v>
      </c>
      <c r="H299" s="8">
        <v>0</v>
      </c>
      <c r="I299" s="8">
        <f>Table1[[#This Row],[kids]]+Table1[[#This Row],[teens]]</f>
        <v>1</v>
      </c>
      <c r="J299" s="9">
        <v>41287</v>
      </c>
      <c r="K299" s="8">
        <v>43</v>
      </c>
      <c r="L299" s="6">
        <v>65</v>
      </c>
      <c r="M299" s="5">
        <v>4</v>
      </c>
      <c r="N299" s="5">
        <v>16</v>
      </c>
      <c r="O299" s="5">
        <v>0</v>
      </c>
      <c r="P299" s="5">
        <v>4</v>
      </c>
      <c r="Q299" s="5">
        <v>11</v>
      </c>
      <c r="R299" s="8">
        <v>1</v>
      </c>
      <c r="S299" s="8">
        <v>3</v>
      </c>
      <c r="T299" s="8">
        <v>0</v>
      </c>
      <c r="U299" s="8">
        <v>3</v>
      </c>
      <c r="V299" s="8">
        <v>8</v>
      </c>
      <c r="W299" t="s">
        <v>473</v>
      </c>
      <c r="X299" t="s">
        <v>473</v>
      </c>
      <c r="Y299" t="s">
        <v>473</v>
      </c>
      <c r="Z299" t="s">
        <v>473</v>
      </c>
      <c r="AA299" t="s">
        <v>473</v>
      </c>
      <c r="AB299" t="s">
        <v>473</v>
      </c>
      <c r="AC299" s="10">
        <v>3</v>
      </c>
      <c r="AD299" s="10">
        <v>11</v>
      </c>
      <c r="AE299" t="s">
        <v>473</v>
      </c>
    </row>
    <row r="300" spans="1:31" x14ac:dyDescent="0.25">
      <c r="A300">
        <v>7119</v>
      </c>
      <c r="B300">
        <v>1982</v>
      </c>
      <c r="C300" t="s">
        <v>466</v>
      </c>
      <c r="D300" t="s">
        <v>30</v>
      </c>
      <c r="E300" t="str">
        <f>IF(OR(Table1[[#This Row],[marital_status]]="Married", Table1[[#This Row],[marital_status]]="Together"), "Partnered", "Single")</f>
        <v>Single</v>
      </c>
      <c r="F300" s="7">
        <v>68627</v>
      </c>
      <c r="G300" s="8">
        <v>0</v>
      </c>
      <c r="H300" s="8">
        <v>0</v>
      </c>
      <c r="I300" s="8">
        <f>Table1[[#This Row],[kids]]+Table1[[#This Row],[teens]]</f>
        <v>0</v>
      </c>
      <c r="J300" s="9">
        <v>41286</v>
      </c>
      <c r="K300" s="8">
        <v>45</v>
      </c>
      <c r="L300" s="6">
        <v>395</v>
      </c>
      <c r="M300" s="5">
        <v>15</v>
      </c>
      <c r="N300" s="5">
        <v>263</v>
      </c>
      <c r="O300" s="5">
        <v>60</v>
      </c>
      <c r="P300" s="5">
        <v>54</v>
      </c>
      <c r="Q300" s="5">
        <v>38</v>
      </c>
      <c r="R300" s="8">
        <v>1</v>
      </c>
      <c r="S300" s="8">
        <v>2</v>
      </c>
      <c r="T300" s="8">
        <v>3</v>
      </c>
      <c r="U300" s="8">
        <v>6</v>
      </c>
      <c r="V300" s="8">
        <v>1</v>
      </c>
      <c r="W300" t="s">
        <v>473</v>
      </c>
      <c r="X300" t="s">
        <v>473</v>
      </c>
      <c r="Y300" t="s">
        <v>473</v>
      </c>
      <c r="Z300" t="s">
        <v>473</v>
      </c>
      <c r="AA300" t="s">
        <v>473</v>
      </c>
      <c r="AB300" t="s">
        <v>473</v>
      </c>
      <c r="AC300" s="10">
        <v>3</v>
      </c>
      <c r="AD300" s="10">
        <v>11</v>
      </c>
      <c r="AE300" t="s">
        <v>473</v>
      </c>
    </row>
    <row r="301" spans="1:31" x14ac:dyDescent="0.25">
      <c r="A301">
        <v>3924</v>
      </c>
      <c r="B301">
        <v>1965</v>
      </c>
      <c r="C301" t="s">
        <v>33</v>
      </c>
      <c r="D301" t="s">
        <v>37</v>
      </c>
      <c r="E301" t="str">
        <f>IF(OR(Table1[[#This Row],[marital_status]]="Married", Table1[[#This Row],[marital_status]]="Together"), "Partnered", "Single")</f>
        <v>Single</v>
      </c>
      <c r="F301" s="7">
        <v>57912</v>
      </c>
      <c r="G301" s="8">
        <v>0</v>
      </c>
      <c r="H301" s="8">
        <v>1</v>
      </c>
      <c r="I301" s="8">
        <f>Table1[[#This Row],[kids]]+Table1[[#This Row],[teens]]</f>
        <v>1</v>
      </c>
      <c r="J301" s="9">
        <v>41715</v>
      </c>
      <c r="K301" s="8">
        <v>34</v>
      </c>
      <c r="L301" s="6">
        <v>801</v>
      </c>
      <c r="M301" s="5">
        <v>0</v>
      </c>
      <c r="N301" s="5">
        <v>80</v>
      </c>
      <c r="O301" s="5">
        <v>0</v>
      </c>
      <c r="P301" s="5">
        <v>0</v>
      </c>
      <c r="Q301" s="5">
        <v>35</v>
      </c>
      <c r="R301" s="8">
        <v>5</v>
      </c>
      <c r="S301" s="8">
        <v>8</v>
      </c>
      <c r="T301" s="8">
        <v>3</v>
      </c>
      <c r="U301" s="8">
        <v>12</v>
      </c>
      <c r="V301" s="8">
        <v>5</v>
      </c>
      <c r="W301" t="s">
        <v>473</v>
      </c>
      <c r="X301" t="s">
        <v>474</v>
      </c>
      <c r="Y301" t="s">
        <v>473</v>
      </c>
      <c r="Z301" t="s">
        <v>473</v>
      </c>
      <c r="AA301" t="s">
        <v>473</v>
      </c>
      <c r="AB301" t="s">
        <v>473</v>
      </c>
      <c r="AC301" s="10">
        <v>3</v>
      </c>
      <c r="AD301" s="10">
        <v>11</v>
      </c>
      <c r="AE301" t="s">
        <v>473</v>
      </c>
    </row>
    <row r="302" spans="1:31" x14ac:dyDescent="0.25">
      <c r="A302">
        <v>5827</v>
      </c>
      <c r="B302">
        <v>1958</v>
      </c>
      <c r="C302" t="s">
        <v>466</v>
      </c>
      <c r="D302" t="s">
        <v>37</v>
      </c>
      <c r="E302" t="str">
        <f>IF(OR(Table1[[#This Row],[marital_status]]="Married", Table1[[#This Row],[marital_status]]="Together"), "Partnered", "Single")</f>
        <v>Single</v>
      </c>
      <c r="F302" s="7">
        <v>35246</v>
      </c>
      <c r="G302" s="8">
        <v>1</v>
      </c>
      <c r="H302" s="8">
        <v>1</v>
      </c>
      <c r="I302" s="8">
        <f>Table1[[#This Row],[kids]]+Table1[[#This Row],[teens]]</f>
        <v>2</v>
      </c>
      <c r="J302" s="9">
        <v>41745</v>
      </c>
      <c r="K302" s="8">
        <v>53</v>
      </c>
      <c r="L302" s="6">
        <v>36</v>
      </c>
      <c r="M302" s="5">
        <v>0</v>
      </c>
      <c r="N302" s="5">
        <v>12</v>
      </c>
      <c r="O302" s="5">
        <v>2</v>
      </c>
      <c r="P302" s="5">
        <v>2</v>
      </c>
      <c r="Q302" s="5">
        <v>10</v>
      </c>
      <c r="R302" s="8">
        <v>4</v>
      </c>
      <c r="S302" s="8">
        <v>3</v>
      </c>
      <c r="T302" s="8">
        <v>1</v>
      </c>
      <c r="U302" s="8">
        <v>3</v>
      </c>
      <c r="V302" s="8">
        <v>5</v>
      </c>
      <c r="W302" t="s">
        <v>473</v>
      </c>
      <c r="X302" t="s">
        <v>473</v>
      </c>
      <c r="Y302" t="s">
        <v>473</v>
      </c>
      <c r="Z302" t="s">
        <v>473</v>
      </c>
      <c r="AA302" t="s">
        <v>473</v>
      </c>
      <c r="AB302" t="s">
        <v>473</v>
      </c>
      <c r="AC302" s="10">
        <v>3</v>
      </c>
      <c r="AD302" s="10">
        <v>11</v>
      </c>
      <c r="AE302" t="s">
        <v>473</v>
      </c>
    </row>
    <row r="303" spans="1:31" x14ac:dyDescent="0.25">
      <c r="A303">
        <v>5596</v>
      </c>
      <c r="B303">
        <v>1956</v>
      </c>
      <c r="C303" t="s">
        <v>46</v>
      </c>
      <c r="D303" t="s">
        <v>31</v>
      </c>
      <c r="E303" t="str">
        <f>IF(OR(Table1[[#This Row],[marital_status]]="Married", Table1[[#This Row],[marital_status]]="Together"), "Partnered", "Single")</f>
        <v>Partnered</v>
      </c>
      <c r="F303" s="7">
        <v>58821</v>
      </c>
      <c r="G303" s="8">
        <v>0</v>
      </c>
      <c r="H303" s="8">
        <v>1</v>
      </c>
      <c r="I303" s="8">
        <f>Table1[[#This Row],[kids]]+Table1[[#This Row],[teens]]</f>
        <v>1</v>
      </c>
      <c r="J303" s="9">
        <v>41559</v>
      </c>
      <c r="K303" s="8">
        <v>44</v>
      </c>
      <c r="L303" s="6">
        <v>513</v>
      </c>
      <c r="M303" s="5">
        <v>14</v>
      </c>
      <c r="N303" s="5">
        <v>154</v>
      </c>
      <c r="O303" s="5">
        <v>19</v>
      </c>
      <c r="P303" s="5">
        <v>0</v>
      </c>
      <c r="Q303" s="5">
        <v>28</v>
      </c>
      <c r="R303" s="8">
        <v>1</v>
      </c>
      <c r="S303" s="8">
        <v>9</v>
      </c>
      <c r="T303" s="8">
        <v>2</v>
      </c>
      <c r="U303" s="8">
        <v>9</v>
      </c>
      <c r="V303" s="8">
        <v>6</v>
      </c>
      <c r="W303" t="s">
        <v>473</v>
      </c>
      <c r="X303" t="s">
        <v>473</v>
      </c>
      <c r="Y303" t="s">
        <v>473</v>
      </c>
      <c r="Z303" t="s">
        <v>473</v>
      </c>
      <c r="AA303" t="s">
        <v>473</v>
      </c>
      <c r="AB303" t="s">
        <v>473</v>
      </c>
      <c r="AC303" s="10">
        <v>3</v>
      </c>
      <c r="AD303" s="10">
        <v>11</v>
      </c>
      <c r="AE303" t="s">
        <v>473</v>
      </c>
    </row>
    <row r="304" spans="1:31" x14ac:dyDescent="0.25">
      <c r="A304">
        <v>10812</v>
      </c>
      <c r="B304">
        <v>1978</v>
      </c>
      <c r="C304" t="s">
        <v>33</v>
      </c>
      <c r="D304" t="s">
        <v>34</v>
      </c>
      <c r="E304" t="str">
        <f>IF(OR(Table1[[#This Row],[marital_status]]="Married", Table1[[#This Row],[marital_status]]="Together"), "Partnered", "Single")</f>
        <v>Partnered</v>
      </c>
      <c r="F304" s="7">
        <v>46377</v>
      </c>
      <c r="G304" s="8">
        <v>1</v>
      </c>
      <c r="H304" s="8">
        <v>0</v>
      </c>
      <c r="I304" s="8">
        <f>Table1[[#This Row],[kids]]+Table1[[#This Row],[teens]]</f>
        <v>1</v>
      </c>
      <c r="J304" s="9">
        <v>41699</v>
      </c>
      <c r="K304" s="8">
        <v>89</v>
      </c>
      <c r="L304" s="6">
        <v>37</v>
      </c>
      <c r="M304" s="5">
        <v>0</v>
      </c>
      <c r="N304" s="5">
        <v>46</v>
      </c>
      <c r="O304" s="5">
        <v>4</v>
      </c>
      <c r="P304" s="5">
        <v>3</v>
      </c>
      <c r="Q304" s="5">
        <v>0</v>
      </c>
      <c r="R304" s="8">
        <v>1</v>
      </c>
      <c r="S304" s="8">
        <v>2</v>
      </c>
      <c r="T304" s="8">
        <v>1</v>
      </c>
      <c r="U304" s="8">
        <v>3</v>
      </c>
      <c r="V304" s="8">
        <v>4</v>
      </c>
      <c r="W304" t="s">
        <v>473</v>
      </c>
      <c r="X304" t="s">
        <v>473</v>
      </c>
      <c r="Y304" t="s">
        <v>473</v>
      </c>
      <c r="Z304" t="s">
        <v>473</v>
      </c>
      <c r="AA304" t="s">
        <v>473</v>
      </c>
      <c r="AB304" t="s">
        <v>473</v>
      </c>
      <c r="AC304" s="10">
        <v>3</v>
      </c>
      <c r="AD304" s="10">
        <v>11</v>
      </c>
      <c r="AE304" t="s">
        <v>473</v>
      </c>
    </row>
    <row r="305" spans="1:31" x14ac:dyDescent="0.25">
      <c r="A305">
        <v>1717</v>
      </c>
      <c r="B305">
        <v>1988</v>
      </c>
      <c r="C305" t="s">
        <v>466</v>
      </c>
      <c r="D305" t="s">
        <v>30</v>
      </c>
      <c r="E305" t="str">
        <f>IF(OR(Table1[[#This Row],[marital_status]]="Married", Table1[[#This Row],[marital_status]]="Together"), "Partnered", "Single")</f>
        <v>Single</v>
      </c>
      <c r="F305" s="7">
        <v>39747</v>
      </c>
      <c r="G305" s="8">
        <v>1</v>
      </c>
      <c r="H305" s="8">
        <v>0</v>
      </c>
      <c r="I305" s="8">
        <f>Table1[[#This Row],[kids]]+Table1[[#This Row],[teens]]</f>
        <v>1</v>
      </c>
      <c r="J305" s="9">
        <v>41742</v>
      </c>
      <c r="K305" s="8">
        <v>43</v>
      </c>
      <c r="L305" s="6">
        <v>80</v>
      </c>
      <c r="M305" s="5">
        <v>15</v>
      </c>
      <c r="N305" s="5">
        <v>93</v>
      </c>
      <c r="O305" s="5">
        <v>20</v>
      </c>
      <c r="P305" s="5">
        <v>13</v>
      </c>
      <c r="Q305" s="5">
        <v>52</v>
      </c>
      <c r="R305" s="8">
        <v>3</v>
      </c>
      <c r="S305" s="8">
        <v>5</v>
      </c>
      <c r="T305" s="8">
        <v>1</v>
      </c>
      <c r="U305" s="8">
        <v>4</v>
      </c>
      <c r="V305" s="8">
        <v>8</v>
      </c>
      <c r="W305" t="s">
        <v>473</v>
      </c>
      <c r="X305" t="s">
        <v>473</v>
      </c>
      <c r="Y305" t="s">
        <v>473</v>
      </c>
      <c r="Z305" t="s">
        <v>473</v>
      </c>
      <c r="AA305" t="s">
        <v>473</v>
      </c>
      <c r="AB305" t="s">
        <v>473</v>
      </c>
      <c r="AC305" s="10">
        <v>3</v>
      </c>
      <c r="AD305" s="10">
        <v>11</v>
      </c>
      <c r="AE305" t="s">
        <v>473</v>
      </c>
    </row>
    <row r="306" spans="1:31" x14ac:dyDescent="0.25">
      <c r="A306">
        <v>9491</v>
      </c>
      <c r="B306">
        <v>1984</v>
      </c>
      <c r="C306" t="s">
        <v>466</v>
      </c>
      <c r="D306" t="s">
        <v>31</v>
      </c>
      <c r="E306" t="str">
        <f>IF(OR(Table1[[#This Row],[marital_status]]="Married", Table1[[#This Row],[marital_status]]="Together"), "Partnered", "Single")</f>
        <v>Partnered</v>
      </c>
      <c r="F306" s="7">
        <v>23976</v>
      </c>
      <c r="G306" s="8">
        <v>1</v>
      </c>
      <c r="H306" s="8">
        <v>0</v>
      </c>
      <c r="I306" s="8">
        <f>Table1[[#This Row],[kids]]+Table1[[#This Row],[teens]]</f>
        <v>1</v>
      </c>
      <c r="J306" s="9">
        <v>41635</v>
      </c>
      <c r="K306" s="8">
        <v>68</v>
      </c>
      <c r="L306" s="6">
        <v>14</v>
      </c>
      <c r="M306" s="5">
        <v>1</v>
      </c>
      <c r="N306" s="5">
        <v>21</v>
      </c>
      <c r="O306" s="5">
        <v>2</v>
      </c>
      <c r="P306" s="5">
        <v>3</v>
      </c>
      <c r="Q306" s="5">
        <v>25</v>
      </c>
      <c r="R306" s="8">
        <v>3</v>
      </c>
      <c r="S306" s="8">
        <v>3</v>
      </c>
      <c r="T306" s="8">
        <v>1</v>
      </c>
      <c r="U306" s="8">
        <v>3</v>
      </c>
      <c r="V306" s="8">
        <v>7</v>
      </c>
      <c r="W306" t="s">
        <v>473</v>
      </c>
      <c r="X306" t="s">
        <v>473</v>
      </c>
      <c r="Y306" t="s">
        <v>473</v>
      </c>
      <c r="Z306" t="s">
        <v>473</v>
      </c>
      <c r="AA306" t="s">
        <v>473</v>
      </c>
      <c r="AB306" t="s">
        <v>473</v>
      </c>
      <c r="AC306" s="10">
        <v>3</v>
      </c>
      <c r="AD306" s="10">
        <v>11</v>
      </c>
      <c r="AE306" t="s">
        <v>473</v>
      </c>
    </row>
    <row r="307" spans="1:31" x14ac:dyDescent="0.25">
      <c r="A307">
        <v>9274</v>
      </c>
      <c r="B307">
        <v>1961</v>
      </c>
      <c r="C307" t="s">
        <v>36</v>
      </c>
      <c r="D307" t="s">
        <v>34</v>
      </c>
      <c r="E307" t="str">
        <f>IF(OR(Table1[[#This Row],[marital_status]]="Married", Table1[[#This Row],[marital_status]]="Together"), "Partnered", "Single")</f>
        <v>Partnered</v>
      </c>
      <c r="F307" s="7">
        <v>80950</v>
      </c>
      <c r="G307" s="8">
        <v>0</v>
      </c>
      <c r="H307" s="8">
        <v>0</v>
      </c>
      <c r="I307" s="8">
        <f>Table1[[#This Row],[kids]]+Table1[[#This Row],[teens]]</f>
        <v>0</v>
      </c>
      <c r="J307" s="9">
        <v>41361</v>
      </c>
      <c r="K307" s="8">
        <v>44</v>
      </c>
      <c r="L307" s="6">
        <v>525</v>
      </c>
      <c r="M307" s="5">
        <v>147</v>
      </c>
      <c r="N307" s="5">
        <v>112</v>
      </c>
      <c r="O307" s="5">
        <v>219</v>
      </c>
      <c r="P307" s="5">
        <v>147</v>
      </c>
      <c r="Q307" s="5">
        <v>63</v>
      </c>
      <c r="R307" s="8">
        <v>1</v>
      </c>
      <c r="S307" s="8">
        <v>6</v>
      </c>
      <c r="T307" s="8">
        <v>7</v>
      </c>
      <c r="U307" s="8">
        <v>9</v>
      </c>
      <c r="V307" s="8">
        <v>2</v>
      </c>
      <c r="W307" t="s">
        <v>473</v>
      </c>
      <c r="X307" t="s">
        <v>473</v>
      </c>
      <c r="Y307" t="s">
        <v>473</v>
      </c>
      <c r="Z307" t="s">
        <v>474</v>
      </c>
      <c r="AA307" t="s">
        <v>473</v>
      </c>
      <c r="AB307" t="s">
        <v>473</v>
      </c>
      <c r="AC307" s="10">
        <v>3</v>
      </c>
      <c r="AD307" s="10">
        <v>11</v>
      </c>
      <c r="AE307" t="s">
        <v>473</v>
      </c>
    </row>
    <row r="308" spans="1:31" x14ac:dyDescent="0.25">
      <c r="A308">
        <v>6609</v>
      </c>
      <c r="B308">
        <v>1966</v>
      </c>
      <c r="C308" t="s">
        <v>466</v>
      </c>
      <c r="D308" t="s">
        <v>57</v>
      </c>
      <c r="E308" t="str">
        <f>IF(OR(Table1[[#This Row],[marital_status]]="Married", Table1[[#This Row],[marital_status]]="Together"), "Partnered", "Single")</f>
        <v>Single</v>
      </c>
      <c r="F308" s="7">
        <v>27038</v>
      </c>
      <c r="G308" s="8">
        <v>0</v>
      </c>
      <c r="H308" s="8">
        <v>0</v>
      </c>
      <c r="I308" s="8">
        <f>Table1[[#This Row],[kids]]+Table1[[#This Row],[teens]]</f>
        <v>0</v>
      </c>
      <c r="J308" s="9">
        <v>41170</v>
      </c>
      <c r="K308" s="8">
        <v>64</v>
      </c>
      <c r="L308" s="6">
        <v>1</v>
      </c>
      <c r="M308" s="5">
        <v>26</v>
      </c>
      <c r="N308" s="5">
        <v>25</v>
      </c>
      <c r="O308" s="5">
        <v>17</v>
      </c>
      <c r="P308" s="5">
        <v>23</v>
      </c>
      <c r="Q308" s="5">
        <v>15</v>
      </c>
      <c r="R308" s="8">
        <v>1</v>
      </c>
      <c r="S308" s="8">
        <v>3</v>
      </c>
      <c r="T308" s="8">
        <v>0</v>
      </c>
      <c r="U308" s="8">
        <v>3</v>
      </c>
      <c r="V308" s="8">
        <v>9</v>
      </c>
      <c r="W308" t="s">
        <v>473</v>
      </c>
      <c r="X308" t="s">
        <v>473</v>
      </c>
      <c r="Y308" t="s">
        <v>473</v>
      </c>
      <c r="Z308" t="s">
        <v>473</v>
      </c>
      <c r="AA308" t="s">
        <v>473</v>
      </c>
      <c r="AB308" t="s">
        <v>473</v>
      </c>
      <c r="AC308" s="10">
        <v>3</v>
      </c>
      <c r="AD308" s="10">
        <v>11</v>
      </c>
      <c r="AE308" t="s">
        <v>474</v>
      </c>
    </row>
    <row r="309" spans="1:31" x14ac:dyDescent="0.25">
      <c r="A309">
        <v>6963</v>
      </c>
      <c r="B309">
        <v>1947</v>
      </c>
      <c r="C309" t="s">
        <v>466</v>
      </c>
      <c r="D309" t="s">
        <v>30</v>
      </c>
      <c r="E309" t="str">
        <f>IF(OR(Table1[[#This Row],[marital_status]]="Married", Table1[[#This Row],[marital_status]]="Together"), "Partnered", "Single")</f>
        <v>Single</v>
      </c>
      <c r="F309" s="7">
        <v>77457</v>
      </c>
      <c r="G309" s="8">
        <v>0</v>
      </c>
      <c r="H309" s="8">
        <v>0</v>
      </c>
      <c r="I309" s="8">
        <f>Table1[[#This Row],[kids]]+Table1[[#This Row],[teens]]</f>
        <v>0</v>
      </c>
      <c r="J309" s="9">
        <v>41703</v>
      </c>
      <c r="K309" s="8">
        <v>85</v>
      </c>
      <c r="L309" s="6">
        <v>675</v>
      </c>
      <c r="M309" s="5">
        <v>11</v>
      </c>
      <c r="N309" s="5">
        <v>400</v>
      </c>
      <c r="O309" s="5">
        <v>15</v>
      </c>
      <c r="P309" s="5">
        <v>45</v>
      </c>
      <c r="Q309" s="5">
        <v>11</v>
      </c>
      <c r="R309" s="8">
        <v>1</v>
      </c>
      <c r="S309" s="8">
        <v>2</v>
      </c>
      <c r="T309" s="8">
        <v>5</v>
      </c>
      <c r="U309" s="8">
        <v>10</v>
      </c>
      <c r="V309" s="8">
        <v>1</v>
      </c>
      <c r="W309" t="s">
        <v>473</v>
      </c>
      <c r="X309" t="s">
        <v>473</v>
      </c>
      <c r="Y309" t="s">
        <v>474</v>
      </c>
      <c r="Z309" t="s">
        <v>473</v>
      </c>
      <c r="AA309" t="s">
        <v>473</v>
      </c>
      <c r="AB309" t="s">
        <v>473</v>
      </c>
      <c r="AC309" s="10">
        <v>3</v>
      </c>
      <c r="AD309" s="10">
        <v>11</v>
      </c>
      <c r="AE309" t="s">
        <v>473</v>
      </c>
    </row>
    <row r="310" spans="1:31" x14ac:dyDescent="0.25">
      <c r="A310">
        <v>4440</v>
      </c>
      <c r="B310">
        <v>1964</v>
      </c>
      <c r="C310" t="s">
        <v>36</v>
      </c>
      <c r="D310" t="s">
        <v>34</v>
      </c>
      <c r="E310" t="str">
        <f>IF(OR(Table1[[#This Row],[marital_status]]="Married", Table1[[#This Row],[marital_status]]="Together"), "Partnered", "Single")</f>
        <v>Partnered</v>
      </c>
      <c r="F310" s="7">
        <v>64100</v>
      </c>
      <c r="G310" s="8">
        <v>0</v>
      </c>
      <c r="H310" s="8">
        <v>1</v>
      </c>
      <c r="I310" s="8">
        <f>Table1[[#This Row],[kids]]+Table1[[#This Row],[teens]]</f>
        <v>1</v>
      </c>
      <c r="J310" s="9">
        <v>41527</v>
      </c>
      <c r="K310" s="8">
        <v>93</v>
      </c>
      <c r="L310" s="6">
        <v>509</v>
      </c>
      <c r="M310" s="5">
        <v>0</v>
      </c>
      <c r="N310" s="5">
        <v>27</v>
      </c>
      <c r="O310" s="5">
        <v>0</v>
      </c>
      <c r="P310" s="5">
        <v>0</v>
      </c>
      <c r="Q310" s="5">
        <v>10</v>
      </c>
      <c r="R310" s="8">
        <v>1</v>
      </c>
      <c r="S310" s="8">
        <v>8</v>
      </c>
      <c r="T310" s="8">
        <v>3</v>
      </c>
      <c r="U310" s="8">
        <v>6</v>
      </c>
      <c r="V310" s="8">
        <v>7</v>
      </c>
      <c r="W310" t="s">
        <v>473</v>
      </c>
      <c r="X310" t="s">
        <v>474</v>
      </c>
      <c r="Y310" t="s">
        <v>473</v>
      </c>
      <c r="Z310" t="s">
        <v>473</v>
      </c>
      <c r="AA310" t="s">
        <v>473</v>
      </c>
      <c r="AB310" t="s">
        <v>473</v>
      </c>
      <c r="AC310" s="10">
        <v>3</v>
      </c>
      <c r="AD310" s="10">
        <v>11</v>
      </c>
      <c r="AE310" t="s">
        <v>473</v>
      </c>
    </row>
    <row r="311" spans="1:31" x14ac:dyDescent="0.25">
      <c r="A311">
        <v>1379</v>
      </c>
      <c r="B311">
        <v>1992</v>
      </c>
      <c r="C311" t="s">
        <v>36</v>
      </c>
      <c r="D311" t="s">
        <v>31</v>
      </c>
      <c r="E311" t="str">
        <f>IF(OR(Table1[[#This Row],[marital_status]]="Married", Table1[[#This Row],[marital_status]]="Together"), "Partnered", "Single")</f>
        <v>Partnered</v>
      </c>
      <c r="F311" s="7">
        <v>42670</v>
      </c>
      <c r="G311" s="8">
        <v>0</v>
      </c>
      <c r="H311" s="8">
        <v>0</v>
      </c>
      <c r="I311" s="8">
        <f>Table1[[#This Row],[kids]]+Table1[[#This Row],[teens]]</f>
        <v>0</v>
      </c>
      <c r="J311" s="9">
        <v>41391</v>
      </c>
      <c r="K311" s="8">
        <v>12</v>
      </c>
      <c r="L311" s="6">
        <v>154</v>
      </c>
      <c r="M311" s="5">
        <v>2</v>
      </c>
      <c r="N311" s="5">
        <v>46</v>
      </c>
      <c r="O311" s="5">
        <v>20</v>
      </c>
      <c r="P311" s="5">
        <v>4</v>
      </c>
      <c r="Q311" s="5">
        <v>15</v>
      </c>
      <c r="R311" s="8">
        <v>1</v>
      </c>
      <c r="S311" s="8">
        <v>4</v>
      </c>
      <c r="T311" s="8">
        <v>2</v>
      </c>
      <c r="U311" s="8">
        <v>4</v>
      </c>
      <c r="V311" s="8">
        <v>4</v>
      </c>
      <c r="W311" t="s">
        <v>473</v>
      </c>
      <c r="X311" t="s">
        <v>473</v>
      </c>
      <c r="Y311" t="s">
        <v>473</v>
      </c>
      <c r="Z311" t="s">
        <v>473</v>
      </c>
      <c r="AA311" t="s">
        <v>473</v>
      </c>
      <c r="AB311" t="s">
        <v>473</v>
      </c>
      <c r="AC311" s="10">
        <v>3</v>
      </c>
      <c r="AD311" s="10">
        <v>11</v>
      </c>
      <c r="AE311" t="s">
        <v>473</v>
      </c>
    </row>
    <row r="312" spans="1:31" x14ac:dyDescent="0.25">
      <c r="A312">
        <v>10032</v>
      </c>
      <c r="B312">
        <v>1976</v>
      </c>
      <c r="C312" t="s">
        <v>466</v>
      </c>
      <c r="D312" t="s">
        <v>37</v>
      </c>
      <c r="E312" t="str">
        <f>IF(OR(Table1[[#This Row],[marital_status]]="Married", Table1[[#This Row],[marital_status]]="Together"), "Partnered", "Single")</f>
        <v>Single</v>
      </c>
      <c r="F312" s="7">
        <v>12571</v>
      </c>
      <c r="G312" s="8">
        <v>1</v>
      </c>
      <c r="H312" s="8">
        <v>0</v>
      </c>
      <c r="I312" s="8">
        <f>Table1[[#This Row],[kids]]+Table1[[#This Row],[teens]]</f>
        <v>1</v>
      </c>
      <c r="J312" s="9">
        <v>41657</v>
      </c>
      <c r="K312" s="8">
        <v>86</v>
      </c>
      <c r="L312" s="6">
        <v>3</v>
      </c>
      <c r="M312" s="5">
        <v>5</v>
      </c>
      <c r="N312" s="5">
        <v>14</v>
      </c>
      <c r="O312" s="5">
        <v>2</v>
      </c>
      <c r="P312" s="5">
        <v>12</v>
      </c>
      <c r="Q312" s="5">
        <v>17</v>
      </c>
      <c r="R312" s="8">
        <v>4</v>
      </c>
      <c r="S312" s="8">
        <v>3</v>
      </c>
      <c r="T312" s="8">
        <v>1</v>
      </c>
      <c r="U312" s="8">
        <v>3</v>
      </c>
      <c r="V312" s="8">
        <v>6</v>
      </c>
      <c r="W312" t="s">
        <v>473</v>
      </c>
      <c r="X312" t="s">
        <v>473</v>
      </c>
      <c r="Y312" t="s">
        <v>473</v>
      </c>
      <c r="Z312" t="s">
        <v>473</v>
      </c>
      <c r="AA312" t="s">
        <v>473</v>
      </c>
      <c r="AB312" t="s">
        <v>473</v>
      </c>
      <c r="AC312" s="10">
        <v>3</v>
      </c>
      <c r="AD312" s="10">
        <v>11</v>
      </c>
      <c r="AE312" t="s">
        <v>473</v>
      </c>
    </row>
    <row r="313" spans="1:31" x14ac:dyDescent="0.25">
      <c r="A313">
        <v>2826</v>
      </c>
      <c r="B313">
        <v>1967</v>
      </c>
      <c r="C313" t="s">
        <v>466</v>
      </c>
      <c r="D313" t="s">
        <v>34</v>
      </c>
      <c r="E313" t="str">
        <f>IF(OR(Table1[[#This Row],[marital_status]]="Married", Table1[[#This Row],[marital_status]]="Together"), "Partnered", "Single")</f>
        <v>Partnered</v>
      </c>
      <c r="F313" s="7">
        <v>22574</v>
      </c>
      <c r="G313" s="8">
        <v>2</v>
      </c>
      <c r="H313" s="8">
        <v>1</v>
      </c>
      <c r="I313" s="8">
        <f>Table1[[#This Row],[kids]]+Table1[[#This Row],[teens]]</f>
        <v>3</v>
      </c>
      <c r="J313" s="9">
        <v>41575</v>
      </c>
      <c r="K313" s="8">
        <v>28</v>
      </c>
      <c r="L313" s="6">
        <v>25</v>
      </c>
      <c r="M313" s="5">
        <v>0</v>
      </c>
      <c r="N313" s="5">
        <v>8</v>
      </c>
      <c r="O313" s="5">
        <v>2</v>
      </c>
      <c r="P313" s="5">
        <v>0</v>
      </c>
      <c r="Q313" s="5">
        <v>2</v>
      </c>
      <c r="R313" s="8">
        <v>2</v>
      </c>
      <c r="S313" s="8">
        <v>2</v>
      </c>
      <c r="T313" s="8">
        <v>0</v>
      </c>
      <c r="U313" s="8">
        <v>3</v>
      </c>
      <c r="V313" s="8">
        <v>7</v>
      </c>
      <c r="W313" t="s">
        <v>473</v>
      </c>
      <c r="X313" t="s">
        <v>473</v>
      </c>
      <c r="Y313" t="s">
        <v>473</v>
      </c>
      <c r="Z313" t="s">
        <v>473</v>
      </c>
      <c r="AA313" t="s">
        <v>473</v>
      </c>
      <c r="AB313" t="s">
        <v>473</v>
      </c>
      <c r="AC313" s="10">
        <v>3</v>
      </c>
      <c r="AD313" s="10">
        <v>11</v>
      </c>
      <c r="AE313" t="s">
        <v>473</v>
      </c>
    </row>
    <row r="314" spans="1:31" x14ac:dyDescent="0.25">
      <c r="A314">
        <v>2437</v>
      </c>
      <c r="B314">
        <v>1989</v>
      </c>
      <c r="C314" t="s">
        <v>466</v>
      </c>
      <c r="D314" t="s">
        <v>34</v>
      </c>
      <c r="E314" t="str">
        <f>IF(OR(Table1[[#This Row],[marital_status]]="Married", Table1[[#This Row],[marital_status]]="Together"), "Partnered", "Single")</f>
        <v>Partnered</v>
      </c>
      <c r="F314" s="7" t="s">
        <v>464</v>
      </c>
      <c r="G314" s="8">
        <v>0</v>
      </c>
      <c r="H314" s="8">
        <v>0</v>
      </c>
      <c r="I314" s="8">
        <f>Table1[[#This Row],[kids]]+Table1[[#This Row],[teens]]</f>
        <v>0</v>
      </c>
      <c r="J314" s="9">
        <v>41428</v>
      </c>
      <c r="K314" s="8">
        <v>69</v>
      </c>
      <c r="L314" s="6">
        <v>861</v>
      </c>
      <c r="M314" s="5">
        <v>138</v>
      </c>
      <c r="N314" s="5">
        <v>461</v>
      </c>
      <c r="O314" s="5">
        <v>60</v>
      </c>
      <c r="P314" s="5">
        <v>30</v>
      </c>
      <c r="Q314" s="5">
        <v>61</v>
      </c>
      <c r="R314" s="8">
        <v>1</v>
      </c>
      <c r="S314" s="8">
        <v>6</v>
      </c>
      <c r="T314" s="8">
        <v>5</v>
      </c>
      <c r="U314" s="8">
        <v>12</v>
      </c>
      <c r="V314" s="8">
        <v>3</v>
      </c>
      <c r="W314" t="s">
        <v>473</v>
      </c>
      <c r="X314" t="s">
        <v>474</v>
      </c>
      <c r="Y314" t="s">
        <v>473</v>
      </c>
      <c r="Z314" t="s">
        <v>474</v>
      </c>
      <c r="AA314" t="s">
        <v>473</v>
      </c>
      <c r="AB314" t="s">
        <v>473</v>
      </c>
      <c r="AC314" s="10">
        <v>3</v>
      </c>
      <c r="AD314" s="10">
        <v>11</v>
      </c>
      <c r="AE314" t="s">
        <v>473</v>
      </c>
    </row>
    <row r="315" spans="1:31" x14ac:dyDescent="0.25">
      <c r="A315">
        <v>6320</v>
      </c>
      <c r="B315">
        <v>1976</v>
      </c>
      <c r="C315" t="s">
        <v>36</v>
      </c>
      <c r="D315" t="s">
        <v>30</v>
      </c>
      <c r="E315" t="str">
        <f>IF(OR(Table1[[#This Row],[marital_status]]="Married", Table1[[#This Row],[marital_status]]="Together"), "Partnered", "Single")</f>
        <v>Single</v>
      </c>
      <c r="F315" s="7">
        <v>70893</v>
      </c>
      <c r="G315" s="8">
        <v>0</v>
      </c>
      <c r="H315" s="8">
        <v>0</v>
      </c>
      <c r="I315" s="8">
        <f>Table1[[#This Row],[kids]]+Table1[[#This Row],[teens]]</f>
        <v>0</v>
      </c>
      <c r="J315" s="9">
        <v>41311</v>
      </c>
      <c r="K315" s="8">
        <v>42</v>
      </c>
      <c r="L315" s="6">
        <v>768</v>
      </c>
      <c r="M315" s="5">
        <v>44</v>
      </c>
      <c r="N315" s="5">
        <v>561</v>
      </c>
      <c r="O315" s="5">
        <v>77</v>
      </c>
      <c r="P315" s="5">
        <v>44</v>
      </c>
      <c r="Q315" s="5">
        <v>14</v>
      </c>
      <c r="R315" s="8">
        <v>1</v>
      </c>
      <c r="S315" s="8">
        <v>6</v>
      </c>
      <c r="T315" s="8">
        <v>6</v>
      </c>
      <c r="U315" s="8">
        <v>10</v>
      </c>
      <c r="V315" s="8">
        <v>3</v>
      </c>
      <c r="W315" t="s">
        <v>473</v>
      </c>
      <c r="X315" t="s">
        <v>473</v>
      </c>
      <c r="Y315" t="s">
        <v>473</v>
      </c>
      <c r="Z315" t="s">
        <v>473</v>
      </c>
      <c r="AA315" t="s">
        <v>473</v>
      </c>
      <c r="AB315" t="s">
        <v>473</v>
      </c>
      <c r="AC315" s="10">
        <v>3</v>
      </c>
      <c r="AD315" s="10">
        <v>11</v>
      </c>
      <c r="AE315" t="s">
        <v>473</v>
      </c>
    </row>
    <row r="316" spans="1:31" x14ac:dyDescent="0.25">
      <c r="A316">
        <v>3050</v>
      </c>
      <c r="B316">
        <v>1966</v>
      </c>
      <c r="C316" t="s">
        <v>466</v>
      </c>
      <c r="D316" t="s">
        <v>34</v>
      </c>
      <c r="E316" t="str">
        <f>IF(OR(Table1[[#This Row],[marital_status]]="Married", Table1[[#This Row],[marital_status]]="Together"), "Partnered", "Single")</f>
        <v>Partnered</v>
      </c>
      <c r="F316" s="7">
        <v>54198</v>
      </c>
      <c r="G316" s="8">
        <v>1</v>
      </c>
      <c r="H316" s="8">
        <v>1</v>
      </c>
      <c r="I316" s="8">
        <f>Table1[[#This Row],[kids]]+Table1[[#This Row],[teens]]</f>
        <v>2</v>
      </c>
      <c r="J316" s="9">
        <v>41625</v>
      </c>
      <c r="K316" s="8">
        <v>13</v>
      </c>
      <c r="L316" s="6">
        <v>185</v>
      </c>
      <c r="M316" s="5">
        <v>0</v>
      </c>
      <c r="N316" s="5">
        <v>28</v>
      </c>
      <c r="O316" s="5">
        <v>3</v>
      </c>
      <c r="P316" s="5">
        <v>2</v>
      </c>
      <c r="Q316" s="5">
        <v>17</v>
      </c>
      <c r="R316" s="8">
        <v>6</v>
      </c>
      <c r="S316" s="8">
        <v>3</v>
      </c>
      <c r="T316" s="8">
        <v>1</v>
      </c>
      <c r="U316" s="8">
        <v>6</v>
      </c>
      <c r="V316" s="8">
        <v>4</v>
      </c>
      <c r="W316" t="s">
        <v>473</v>
      </c>
      <c r="X316" t="s">
        <v>473</v>
      </c>
      <c r="Y316" t="s">
        <v>473</v>
      </c>
      <c r="Z316" t="s">
        <v>473</v>
      </c>
      <c r="AA316" t="s">
        <v>473</v>
      </c>
      <c r="AB316" t="s">
        <v>473</v>
      </c>
      <c r="AC316" s="10">
        <v>3</v>
      </c>
      <c r="AD316" s="10">
        <v>11</v>
      </c>
      <c r="AE316" t="s">
        <v>473</v>
      </c>
    </row>
    <row r="317" spans="1:31" x14ac:dyDescent="0.25">
      <c r="A317">
        <v>231</v>
      </c>
      <c r="B317">
        <v>1956</v>
      </c>
      <c r="C317" t="s">
        <v>36</v>
      </c>
      <c r="D317" t="s">
        <v>31</v>
      </c>
      <c r="E317" t="str">
        <f>IF(OR(Table1[[#This Row],[marital_status]]="Married", Table1[[#This Row],[marital_status]]="Together"), "Partnered", "Single")</f>
        <v>Partnered</v>
      </c>
      <c r="F317" s="7">
        <v>28839</v>
      </c>
      <c r="G317" s="8">
        <v>1</v>
      </c>
      <c r="H317" s="8">
        <v>1</v>
      </c>
      <c r="I317" s="8">
        <f>Table1[[#This Row],[kids]]+Table1[[#This Row],[teens]]</f>
        <v>2</v>
      </c>
      <c r="J317" s="9">
        <v>41709</v>
      </c>
      <c r="K317" s="8">
        <v>86</v>
      </c>
      <c r="L317" s="6">
        <v>24</v>
      </c>
      <c r="M317" s="5">
        <v>0</v>
      </c>
      <c r="N317" s="5">
        <v>7</v>
      </c>
      <c r="O317" s="5">
        <v>0</v>
      </c>
      <c r="P317" s="5">
        <v>0</v>
      </c>
      <c r="Q317" s="5">
        <v>1</v>
      </c>
      <c r="R317" s="8">
        <v>2</v>
      </c>
      <c r="S317" s="8">
        <v>2</v>
      </c>
      <c r="T317" s="8">
        <v>0</v>
      </c>
      <c r="U317" s="8">
        <v>3</v>
      </c>
      <c r="V317" s="8">
        <v>5</v>
      </c>
      <c r="W317" t="s">
        <v>473</v>
      </c>
      <c r="X317" t="s">
        <v>473</v>
      </c>
      <c r="Y317" t="s">
        <v>473</v>
      </c>
      <c r="Z317" t="s">
        <v>473</v>
      </c>
      <c r="AA317" t="s">
        <v>473</v>
      </c>
      <c r="AB317" t="s">
        <v>473</v>
      </c>
      <c r="AC317" s="10">
        <v>3</v>
      </c>
      <c r="AD317" s="10">
        <v>11</v>
      </c>
      <c r="AE317" t="s">
        <v>473</v>
      </c>
    </row>
    <row r="318" spans="1:31" x14ac:dyDescent="0.25">
      <c r="A318">
        <v>2392</v>
      </c>
      <c r="B318">
        <v>1972</v>
      </c>
      <c r="C318" t="s">
        <v>466</v>
      </c>
      <c r="D318" t="s">
        <v>34</v>
      </c>
      <c r="E318" t="str">
        <f>IF(OR(Table1[[#This Row],[marital_status]]="Married", Table1[[#This Row],[marital_status]]="Together"), "Partnered", "Single")</f>
        <v>Partnered</v>
      </c>
      <c r="F318" s="7">
        <v>40321</v>
      </c>
      <c r="G318" s="8">
        <v>1</v>
      </c>
      <c r="H318" s="8">
        <v>1</v>
      </c>
      <c r="I318" s="8">
        <f>Table1[[#This Row],[kids]]+Table1[[#This Row],[teens]]</f>
        <v>2</v>
      </c>
      <c r="J318" s="9">
        <v>41484</v>
      </c>
      <c r="K318" s="8">
        <v>59</v>
      </c>
      <c r="L318" s="6">
        <v>44</v>
      </c>
      <c r="M318" s="5">
        <v>4</v>
      </c>
      <c r="N318" s="5">
        <v>21</v>
      </c>
      <c r="O318" s="5">
        <v>6</v>
      </c>
      <c r="P318" s="5">
        <v>0</v>
      </c>
      <c r="Q318" s="5">
        <v>27</v>
      </c>
      <c r="R318" s="8">
        <v>2</v>
      </c>
      <c r="S318" s="8">
        <v>3</v>
      </c>
      <c r="T318" s="8">
        <v>0</v>
      </c>
      <c r="U318" s="8">
        <v>3</v>
      </c>
      <c r="V318" s="8">
        <v>7</v>
      </c>
      <c r="W318" t="s">
        <v>473</v>
      </c>
      <c r="X318" t="s">
        <v>473</v>
      </c>
      <c r="Y318" t="s">
        <v>473</v>
      </c>
      <c r="Z318" t="s">
        <v>473</v>
      </c>
      <c r="AA318" t="s">
        <v>473</v>
      </c>
      <c r="AB318" t="s">
        <v>473</v>
      </c>
      <c r="AC318" s="10">
        <v>3</v>
      </c>
      <c r="AD318" s="10">
        <v>11</v>
      </c>
      <c r="AE318" t="s">
        <v>473</v>
      </c>
    </row>
    <row r="319" spans="1:31" x14ac:dyDescent="0.25">
      <c r="A319">
        <v>9478</v>
      </c>
      <c r="B319">
        <v>1985</v>
      </c>
      <c r="C319" t="s">
        <v>466</v>
      </c>
      <c r="D319" t="s">
        <v>30</v>
      </c>
      <c r="E319" t="str">
        <f>IF(OR(Table1[[#This Row],[marital_status]]="Married", Table1[[#This Row],[marital_status]]="Together"), "Partnered", "Single")</f>
        <v>Single</v>
      </c>
      <c r="F319" s="7">
        <v>66503</v>
      </c>
      <c r="G319" s="8">
        <v>1</v>
      </c>
      <c r="H319" s="8">
        <v>0</v>
      </c>
      <c r="I319" s="8">
        <f>Table1[[#This Row],[kids]]+Table1[[#This Row],[teens]]</f>
        <v>1</v>
      </c>
      <c r="J319" s="9">
        <v>41135</v>
      </c>
      <c r="K319" s="8">
        <v>30</v>
      </c>
      <c r="L319" s="6">
        <v>91</v>
      </c>
      <c r="M319" s="5">
        <v>64</v>
      </c>
      <c r="N319" s="5">
        <v>128</v>
      </c>
      <c r="O319" s="5">
        <v>65</v>
      </c>
      <c r="P319" s="5">
        <v>3</v>
      </c>
      <c r="Q319" s="5">
        <v>50</v>
      </c>
      <c r="R319" s="8">
        <v>2</v>
      </c>
      <c r="S319" s="8">
        <v>4</v>
      </c>
      <c r="T319" s="8">
        <v>3</v>
      </c>
      <c r="U319" s="8">
        <v>6</v>
      </c>
      <c r="V319" s="8">
        <v>3</v>
      </c>
      <c r="W319" t="s">
        <v>473</v>
      </c>
      <c r="X319" t="s">
        <v>473</v>
      </c>
      <c r="Y319" t="s">
        <v>473</v>
      </c>
      <c r="Z319" t="s">
        <v>473</v>
      </c>
      <c r="AA319" t="s">
        <v>473</v>
      </c>
      <c r="AB319" t="s">
        <v>473</v>
      </c>
      <c r="AC319" s="10">
        <v>3</v>
      </c>
      <c r="AD319" s="10">
        <v>11</v>
      </c>
      <c r="AE319" t="s">
        <v>473</v>
      </c>
    </row>
    <row r="320" spans="1:31" x14ac:dyDescent="0.25">
      <c r="A320">
        <v>113</v>
      </c>
      <c r="B320">
        <v>1951</v>
      </c>
      <c r="C320" t="s">
        <v>466</v>
      </c>
      <c r="D320" t="s">
        <v>34</v>
      </c>
      <c r="E320" t="str">
        <f>IF(OR(Table1[[#This Row],[marital_status]]="Married", Table1[[#This Row],[marital_status]]="Together"), "Partnered", "Single")</f>
        <v>Partnered</v>
      </c>
      <c r="F320" s="7">
        <v>30833</v>
      </c>
      <c r="G320" s="8">
        <v>1</v>
      </c>
      <c r="H320" s="8">
        <v>1</v>
      </c>
      <c r="I320" s="8">
        <f>Table1[[#This Row],[kids]]+Table1[[#This Row],[teens]]</f>
        <v>2</v>
      </c>
      <c r="J320" s="9">
        <v>41471</v>
      </c>
      <c r="K320" s="8">
        <v>33</v>
      </c>
      <c r="L320" s="6">
        <v>11</v>
      </c>
      <c r="M320" s="5">
        <v>0</v>
      </c>
      <c r="N320" s="5">
        <v>7</v>
      </c>
      <c r="O320" s="5">
        <v>3</v>
      </c>
      <c r="P320" s="5">
        <v>1</v>
      </c>
      <c r="Q320" s="5">
        <v>6</v>
      </c>
      <c r="R320" s="8">
        <v>2</v>
      </c>
      <c r="S320" s="8">
        <v>1</v>
      </c>
      <c r="T320" s="8">
        <v>0</v>
      </c>
      <c r="U320" s="8">
        <v>3</v>
      </c>
      <c r="V320" s="8">
        <v>5</v>
      </c>
      <c r="W320" t="s">
        <v>473</v>
      </c>
      <c r="X320" t="s">
        <v>473</v>
      </c>
      <c r="Y320" t="s">
        <v>473</v>
      </c>
      <c r="Z320" t="s">
        <v>473</v>
      </c>
      <c r="AA320" t="s">
        <v>473</v>
      </c>
      <c r="AB320" t="s">
        <v>473</v>
      </c>
      <c r="AC320" s="10">
        <v>3</v>
      </c>
      <c r="AD320" s="10">
        <v>11</v>
      </c>
      <c r="AE320" t="s">
        <v>473</v>
      </c>
    </row>
    <row r="321" spans="1:31" x14ac:dyDescent="0.25">
      <c r="A321">
        <v>2863</v>
      </c>
      <c r="B321">
        <v>1970</v>
      </c>
      <c r="C321" t="s">
        <v>466</v>
      </c>
      <c r="D321" t="s">
        <v>30</v>
      </c>
      <c r="E321" t="str">
        <f>IF(OR(Table1[[#This Row],[marital_status]]="Married", Table1[[#This Row],[marital_status]]="Together"), "Partnered", "Single")</f>
        <v>Single</v>
      </c>
      <c r="F321" s="7" t="s">
        <v>464</v>
      </c>
      <c r="G321" s="8">
        <v>1</v>
      </c>
      <c r="H321" s="8">
        <v>2</v>
      </c>
      <c r="I321" s="8">
        <f>Table1[[#This Row],[kids]]+Table1[[#This Row],[teens]]</f>
        <v>3</v>
      </c>
      <c r="J321" s="9">
        <v>41509</v>
      </c>
      <c r="K321" s="8">
        <v>67</v>
      </c>
      <c r="L321" s="6">
        <v>738</v>
      </c>
      <c r="M321" s="5">
        <v>20</v>
      </c>
      <c r="N321" s="5">
        <v>172</v>
      </c>
      <c r="O321" s="5">
        <v>52</v>
      </c>
      <c r="P321" s="5">
        <v>50</v>
      </c>
      <c r="Q321" s="5">
        <v>20</v>
      </c>
      <c r="R321" s="8">
        <v>6</v>
      </c>
      <c r="S321" s="8">
        <v>2</v>
      </c>
      <c r="T321" s="8">
        <v>3</v>
      </c>
      <c r="U321" s="8">
        <v>10</v>
      </c>
      <c r="V321" s="8">
        <v>7</v>
      </c>
      <c r="W321" t="s">
        <v>473</v>
      </c>
      <c r="X321" t="s">
        <v>474</v>
      </c>
      <c r="Y321" t="s">
        <v>473</v>
      </c>
      <c r="Z321" t="s">
        <v>474</v>
      </c>
      <c r="AA321" t="s">
        <v>473</v>
      </c>
      <c r="AB321" t="s">
        <v>473</v>
      </c>
      <c r="AC321" s="10">
        <v>3</v>
      </c>
      <c r="AD321" s="10">
        <v>11</v>
      </c>
      <c r="AE321" t="s">
        <v>473</v>
      </c>
    </row>
    <row r="322" spans="1:31" x14ac:dyDescent="0.25">
      <c r="A322">
        <v>1802</v>
      </c>
      <c r="B322">
        <v>1971</v>
      </c>
      <c r="C322" t="s">
        <v>466</v>
      </c>
      <c r="D322" t="s">
        <v>34</v>
      </c>
      <c r="E322" t="str">
        <f>IF(OR(Table1[[#This Row],[marital_status]]="Married", Table1[[#This Row],[marital_status]]="Together"), "Partnered", "Single")</f>
        <v>Partnered</v>
      </c>
      <c r="F322" s="7">
        <v>64795</v>
      </c>
      <c r="G322" s="8">
        <v>0</v>
      </c>
      <c r="H322" s="8">
        <v>1</v>
      </c>
      <c r="I322" s="8">
        <f>Table1[[#This Row],[kids]]+Table1[[#This Row],[teens]]</f>
        <v>1</v>
      </c>
      <c r="J322" s="9">
        <v>41291</v>
      </c>
      <c r="K322" s="8">
        <v>23</v>
      </c>
      <c r="L322" s="6">
        <v>412</v>
      </c>
      <c r="M322" s="5">
        <v>5</v>
      </c>
      <c r="N322" s="5">
        <v>119</v>
      </c>
      <c r="O322" s="5">
        <v>38</v>
      </c>
      <c r="P322" s="5">
        <v>29</v>
      </c>
      <c r="Q322" s="5">
        <v>77</v>
      </c>
      <c r="R322" s="8">
        <v>3</v>
      </c>
      <c r="S322" s="8">
        <v>3</v>
      </c>
      <c r="T322" s="8">
        <v>3</v>
      </c>
      <c r="U322" s="8">
        <v>12</v>
      </c>
      <c r="V322" s="8">
        <v>2</v>
      </c>
      <c r="W322" t="s">
        <v>473</v>
      </c>
      <c r="X322" t="s">
        <v>473</v>
      </c>
      <c r="Y322" t="s">
        <v>473</v>
      </c>
      <c r="Z322" t="s">
        <v>473</v>
      </c>
      <c r="AA322" t="s">
        <v>473</v>
      </c>
      <c r="AB322" t="s">
        <v>473</v>
      </c>
      <c r="AC322" s="10">
        <v>3</v>
      </c>
      <c r="AD322" s="10">
        <v>11</v>
      </c>
      <c r="AE322" t="s">
        <v>473</v>
      </c>
    </row>
    <row r="323" spans="1:31" x14ac:dyDescent="0.25">
      <c r="A323">
        <v>520</v>
      </c>
      <c r="B323">
        <v>1974</v>
      </c>
      <c r="C323" t="s">
        <v>466</v>
      </c>
      <c r="D323" t="s">
        <v>34</v>
      </c>
      <c r="E323" t="str">
        <f>IF(OR(Table1[[#This Row],[marital_status]]="Married", Table1[[#This Row],[marital_status]]="Together"), "Partnered", "Single")</f>
        <v>Partnered</v>
      </c>
      <c r="F323" s="7">
        <v>34421</v>
      </c>
      <c r="G323" s="8">
        <v>1</v>
      </c>
      <c r="H323" s="8">
        <v>0</v>
      </c>
      <c r="I323" s="8">
        <f>Table1[[#This Row],[kids]]+Table1[[#This Row],[teens]]</f>
        <v>1</v>
      </c>
      <c r="J323" s="9">
        <v>41456</v>
      </c>
      <c r="K323" s="8">
        <v>81</v>
      </c>
      <c r="L323" s="6">
        <v>3</v>
      </c>
      <c r="M323" s="5">
        <v>3</v>
      </c>
      <c r="N323" s="5">
        <v>7</v>
      </c>
      <c r="O323" s="5">
        <v>6</v>
      </c>
      <c r="P323" s="5">
        <v>2</v>
      </c>
      <c r="Q323" s="5">
        <v>9</v>
      </c>
      <c r="R323" s="8">
        <v>1</v>
      </c>
      <c r="S323" s="8">
        <v>1</v>
      </c>
      <c r="T323" s="8">
        <v>0</v>
      </c>
      <c r="U323" s="8">
        <v>2</v>
      </c>
      <c r="V323" s="8">
        <v>7</v>
      </c>
      <c r="W323" t="s">
        <v>473</v>
      </c>
      <c r="X323" t="s">
        <v>473</v>
      </c>
      <c r="Y323" t="s">
        <v>473</v>
      </c>
      <c r="Z323" t="s">
        <v>473</v>
      </c>
      <c r="AA323" t="s">
        <v>473</v>
      </c>
      <c r="AB323" t="s">
        <v>473</v>
      </c>
      <c r="AC323" s="10">
        <v>3</v>
      </c>
      <c r="AD323" s="10">
        <v>11</v>
      </c>
      <c r="AE323" t="s">
        <v>473</v>
      </c>
    </row>
    <row r="324" spans="1:31" x14ac:dyDescent="0.25">
      <c r="A324">
        <v>8275</v>
      </c>
      <c r="B324">
        <v>1965</v>
      </c>
      <c r="C324" t="s">
        <v>33</v>
      </c>
      <c r="D324" t="s">
        <v>37</v>
      </c>
      <c r="E324" t="str">
        <f>IF(OR(Table1[[#This Row],[marital_status]]="Married", Table1[[#This Row],[marital_status]]="Together"), "Partnered", "Single")</f>
        <v>Single</v>
      </c>
      <c r="F324" s="7">
        <v>47025</v>
      </c>
      <c r="G324" s="8">
        <v>1</v>
      </c>
      <c r="H324" s="8">
        <v>1</v>
      </c>
      <c r="I324" s="8">
        <f>Table1[[#This Row],[kids]]+Table1[[#This Row],[teens]]</f>
        <v>2</v>
      </c>
      <c r="J324" s="9">
        <v>41679</v>
      </c>
      <c r="K324" s="8">
        <v>6</v>
      </c>
      <c r="L324" s="6">
        <v>16</v>
      </c>
      <c r="M324" s="5">
        <v>0</v>
      </c>
      <c r="N324" s="5">
        <v>3</v>
      </c>
      <c r="O324" s="5">
        <v>0</v>
      </c>
      <c r="P324" s="5">
        <v>0</v>
      </c>
      <c r="Q324" s="5">
        <v>1</v>
      </c>
      <c r="R324" s="8">
        <v>1</v>
      </c>
      <c r="S324" s="8">
        <v>1</v>
      </c>
      <c r="T324" s="8">
        <v>0</v>
      </c>
      <c r="U324" s="8">
        <v>2</v>
      </c>
      <c r="V324" s="8">
        <v>7</v>
      </c>
      <c r="W324" t="s">
        <v>473</v>
      </c>
      <c r="X324" t="s">
        <v>473</v>
      </c>
      <c r="Y324" t="s">
        <v>473</v>
      </c>
      <c r="Z324" t="s">
        <v>473</v>
      </c>
      <c r="AA324" t="s">
        <v>473</v>
      </c>
      <c r="AB324" t="s">
        <v>473</v>
      </c>
      <c r="AC324" s="10">
        <v>3</v>
      </c>
      <c r="AD324" s="10">
        <v>11</v>
      </c>
      <c r="AE324" t="s">
        <v>473</v>
      </c>
    </row>
    <row r="325" spans="1:31" x14ac:dyDescent="0.25">
      <c r="A325">
        <v>9750</v>
      </c>
      <c r="B325">
        <v>1961</v>
      </c>
      <c r="C325" t="s">
        <v>33</v>
      </c>
      <c r="D325" t="s">
        <v>37</v>
      </c>
      <c r="E325" t="str">
        <f>IF(OR(Table1[[#This Row],[marital_status]]="Married", Table1[[#This Row],[marital_status]]="Together"), "Partnered", "Single")</f>
        <v>Single</v>
      </c>
      <c r="F325" s="7">
        <v>64325</v>
      </c>
      <c r="G325" s="8">
        <v>0</v>
      </c>
      <c r="H325" s="8">
        <v>1</v>
      </c>
      <c r="I325" s="8">
        <f>Table1[[#This Row],[kids]]+Table1[[#This Row],[teens]]</f>
        <v>1</v>
      </c>
      <c r="J325" s="9">
        <v>41312</v>
      </c>
      <c r="K325" s="8">
        <v>41</v>
      </c>
      <c r="L325" s="6">
        <v>731</v>
      </c>
      <c r="M325" s="5">
        <v>60</v>
      </c>
      <c r="N325" s="5">
        <v>353</v>
      </c>
      <c r="O325" s="5">
        <v>78</v>
      </c>
      <c r="P325" s="5">
        <v>12</v>
      </c>
      <c r="Q325" s="5">
        <v>73</v>
      </c>
      <c r="R325" s="8">
        <v>5</v>
      </c>
      <c r="S325" s="8">
        <v>10</v>
      </c>
      <c r="T325" s="8">
        <v>3</v>
      </c>
      <c r="U325" s="8">
        <v>5</v>
      </c>
      <c r="V325" s="8">
        <v>7</v>
      </c>
      <c r="W325" t="s">
        <v>473</v>
      </c>
      <c r="X325" t="s">
        <v>473</v>
      </c>
      <c r="Y325" t="s">
        <v>473</v>
      </c>
      <c r="Z325" t="s">
        <v>473</v>
      </c>
      <c r="AA325" t="s">
        <v>473</v>
      </c>
      <c r="AB325" t="s">
        <v>473</v>
      </c>
      <c r="AC325" s="10">
        <v>3</v>
      </c>
      <c r="AD325" s="10">
        <v>11</v>
      </c>
      <c r="AE325" t="s">
        <v>473</v>
      </c>
    </row>
    <row r="326" spans="1:31" x14ac:dyDescent="0.25">
      <c r="A326">
        <v>2607</v>
      </c>
      <c r="B326">
        <v>1953</v>
      </c>
      <c r="C326" t="s">
        <v>466</v>
      </c>
      <c r="D326" t="s">
        <v>30</v>
      </c>
      <c r="E326" t="str">
        <f>IF(OR(Table1[[#This Row],[marital_status]]="Married", Table1[[#This Row],[marital_status]]="Together"), "Partnered", "Single")</f>
        <v>Single</v>
      </c>
      <c r="F326" s="7">
        <v>40464</v>
      </c>
      <c r="G326" s="8">
        <v>0</v>
      </c>
      <c r="H326" s="8">
        <v>1</v>
      </c>
      <c r="I326" s="8">
        <f>Table1[[#This Row],[kids]]+Table1[[#This Row],[teens]]</f>
        <v>1</v>
      </c>
      <c r="J326" s="9">
        <v>41285</v>
      </c>
      <c r="K326" s="8">
        <v>78</v>
      </c>
      <c r="L326" s="6">
        <v>424</v>
      </c>
      <c r="M326" s="5">
        <v>17</v>
      </c>
      <c r="N326" s="5">
        <v>118</v>
      </c>
      <c r="O326" s="5">
        <v>7</v>
      </c>
      <c r="P326" s="5">
        <v>23</v>
      </c>
      <c r="Q326" s="5">
        <v>41</v>
      </c>
      <c r="R326" s="8">
        <v>6</v>
      </c>
      <c r="S326" s="8">
        <v>8</v>
      </c>
      <c r="T326" s="8">
        <v>2</v>
      </c>
      <c r="U326" s="8">
        <v>8</v>
      </c>
      <c r="V326" s="8">
        <v>8</v>
      </c>
      <c r="W326" t="s">
        <v>473</v>
      </c>
      <c r="X326" t="s">
        <v>473</v>
      </c>
      <c r="Y326" t="s">
        <v>473</v>
      </c>
      <c r="Z326" t="s">
        <v>473</v>
      </c>
      <c r="AA326" t="s">
        <v>473</v>
      </c>
      <c r="AB326" t="s">
        <v>473</v>
      </c>
      <c r="AC326" s="10">
        <v>3</v>
      </c>
      <c r="AD326" s="10">
        <v>11</v>
      </c>
      <c r="AE326" t="s">
        <v>473</v>
      </c>
    </row>
    <row r="327" spans="1:31" x14ac:dyDescent="0.25">
      <c r="A327">
        <v>7214</v>
      </c>
      <c r="B327">
        <v>1957</v>
      </c>
      <c r="C327" t="s">
        <v>466</v>
      </c>
      <c r="D327" t="s">
        <v>34</v>
      </c>
      <c r="E327" t="str">
        <f>IF(OR(Table1[[#This Row],[marital_status]]="Married", Table1[[#This Row],[marital_status]]="Together"), "Partnered", "Single")</f>
        <v>Partnered</v>
      </c>
      <c r="F327" s="7">
        <v>62187</v>
      </c>
      <c r="G327" s="8">
        <v>0</v>
      </c>
      <c r="H327" s="8">
        <v>0</v>
      </c>
      <c r="I327" s="8">
        <f>Table1[[#This Row],[kids]]+Table1[[#This Row],[teens]]</f>
        <v>0</v>
      </c>
      <c r="J327" s="9">
        <v>41460</v>
      </c>
      <c r="K327" s="8">
        <v>49</v>
      </c>
      <c r="L327" s="6">
        <v>792</v>
      </c>
      <c r="M327" s="5">
        <v>0</v>
      </c>
      <c r="N327" s="5">
        <v>275</v>
      </c>
      <c r="O327" s="5">
        <v>45</v>
      </c>
      <c r="P327" s="5">
        <v>45</v>
      </c>
      <c r="Q327" s="5">
        <v>126</v>
      </c>
      <c r="R327" s="8">
        <v>1</v>
      </c>
      <c r="S327" s="8">
        <v>4</v>
      </c>
      <c r="T327" s="8">
        <v>8</v>
      </c>
      <c r="U327" s="8">
        <v>5</v>
      </c>
      <c r="V327" s="8">
        <v>3</v>
      </c>
      <c r="W327" t="s">
        <v>473</v>
      </c>
      <c r="X327" t="s">
        <v>473</v>
      </c>
      <c r="Y327" t="s">
        <v>473</v>
      </c>
      <c r="Z327" t="s">
        <v>473</v>
      </c>
      <c r="AA327" t="s">
        <v>473</v>
      </c>
      <c r="AB327" t="s">
        <v>473</v>
      </c>
      <c r="AC327" s="10">
        <v>3</v>
      </c>
      <c r="AD327" s="10">
        <v>11</v>
      </c>
      <c r="AE327" t="s">
        <v>473</v>
      </c>
    </row>
    <row r="328" spans="1:31" x14ac:dyDescent="0.25">
      <c r="A328">
        <v>5835</v>
      </c>
      <c r="B328">
        <v>1976</v>
      </c>
      <c r="C328" t="s">
        <v>33</v>
      </c>
      <c r="D328" t="s">
        <v>37</v>
      </c>
      <c r="E328" t="str">
        <f>IF(OR(Table1[[#This Row],[marital_status]]="Married", Table1[[#This Row],[marital_status]]="Together"), "Partnered", "Single")</f>
        <v>Single</v>
      </c>
      <c r="F328" s="7">
        <v>14849</v>
      </c>
      <c r="G328" s="8">
        <v>1</v>
      </c>
      <c r="H328" s="8">
        <v>0</v>
      </c>
      <c r="I328" s="8">
        <f>Table1[[#This Row],[kids]]+Table1[[#This Row],[teens]]</f>
        <v>1</v>
      </c>
      <c r="J328" s="9">
        <v>41457</v>
      </c>
      <c r="K328" s="8">
        <v>39</v>
      </c>
      <c r="L328" s="6">
        <v>21</v>
      </c>
      <c r="M328" s="5">
        <v>2</v>
      </c>
      <c r="N328" s="5">
        <v>28</v>
      </c>
      <c r="O328" s="5">
        <v>3</v>
      </c>
      <c r="P328" s="5">
        <v>2</v>
      </c>
      <c r="Q328" s="5">
        <v>9</v>
      </c>
      <c r="R328" s="8">
        <v>3</v>
      </c>
      <c r="S328" s="8">
        <v>2</v>
      </c>
      <c r="T328" s="8">
        <v>0</v>
      </c>
      <c r="U328" s="8">
        <v>4</v>
      </c>
      <c r="V328" s="8">
        <v>8</v>
      </c>
      <c r="W328" t="s">
        <v>473</v>
      </c>
      <c r="X328" t="s">
        <v>473</v>
      </c>
      <c r="Y328" t="s">
        <v>473</v>
      </c>
      <c r="Z328" t="s">
        <v>473</v>
      </c>
      <c r="AA328" t="s">
        <v>473</v>
      </c>
      <c r="AB328" t="s">
        <v>473</v>
      </c>
      <c r="AC328" s="10">
        <v>3</v>
      </c>
      <c r="AD328" s="10">
        <v>11</v>
      </c>
      <c r="AE328" t="s">
        <v>473</v>
      </c>
    </row>
    <row r="329" spans="1:31" x14ac:dyDescent="0.25">
      <c r="A329">
        <v>3896</v>
      </c>
      <c r="B329">
        <v>1984</v>
      </c>
      <c r="C329" t="s">
        <v>466</v>
      </c>
      <c r="D329" t="s">
        <v>34</v>
      </c>
      <c r="E329" t="str">
        <f>IF(OR(Table1[[#This Row],[marital_status]]="Married", Table1[[#This Row],[marital_status]]="Together"), "Partnered", "Single")</f>
        <v>Partnered</v>
      </c>
      <c r="F329" s="7">
        <v>27255</v>
      </c>
      <c r="G329" s="8">
        <v>1</v>
      </c>
      <c r="H329" s="8">
        <v>0</v>
      </c>
      <c r="I329" s="8">
        <f>Table1[[#This Row],[kids]]+Table1[[#This Row],[teens]]</f>
        <v>1</v>
      </c>
      <c r="J329" s="9">
        <v>41585</v>
      </c>
      <c r="K329" s="8">
        <v>3</v>
      </c>
      <c r="L329" s="6">
        <v>22</v>
      </c>
      <c r="M329" s="5">
        <v>1</v>
      </c>
      <c r="N329" s="5">
        <v>11</v>
      </c>
      <c r="O329" s="5">
        <v>0</v>
      </c>
      <c r="P329" s="5">
        <v>1</v>
      </c>
      <c r="Q329" s="5">
        <v>2</v>
      </c>
      <c r="R329" s="8">
        <v>1</v>
      </c>
      <c r="S329" s="8">
        <v>1</v>
      </c>
      <c r="T329" s="8">
        <v>0</v>
      </c>
      <c r="U329" s="8">
        <v>3</v>
      </c>
      <c r="V329" s="8">
        <v>7</v>
      </c>
      <c r="W329" t="s">
        <v>473</v>
      </c>
      <c r="X329" t="s">
        <v>473</v>
      </c>
      <c r="Y329" t="s">
        <v>473</v>
      </c>
      <c r="Z329" t="s">
        <v>473</v>
      </c>
      <c r="AA329" t="s">
        <v>473</v>
      </c>
      <c r="AB329" t="s">
        <v>473</v>
      </c>
      <c r="AC329" s="10">
        <v>3</v>
      </c>
      <c r="AD329" s="10">
        <v>11</v>
      </c>
      <c r="AE329" t="s">
        <v>473</v>
      </c>
    </row>
    <row r="330" spans="1:31" x14ac:dyDescent="0.25">
      <c r="A330">
        <v>10350</v>
      </c>
      <c r="B330">
        <v>1950</v>
      </c>
      <c r="C330" t="s">
        <v>33</v>
      </c>
      <c r="D330" t="s">
        <v>34</v>
      </c>
      <c r="E330" t="str">
        <f>IF(OR(Table1[[#This Row],[marital_status]]="Married", Table1[[#This Row],[marital_status]]="Together"), "Partnered", "Single")</f>
        <v>Partnered</v>
      </c>
      <c r="F330" s="7">
        <v>54432</v>
      </c>
      <c r="G330" s="8">
        <v>2</v>
      </c>
      <c r="H330" s="8">
        <v>1</v>
      </c>
      <c r="I330" s="8">
        <f>Table1[[#This Row],[kids]]+Table1[[#This Row],[teens]]</f>
        <v>3</v>
      </c>
      <c r="J330" s="9">
        <v>41403</v>
      </c>
      <c r="K330" s="8">
        <v>37</v>
      </c>
      <c r="L330" s="6">
        <v>33</v>
      </c>
      <c r="M330" s="5">
        <v>0</v>
      </c>
      <c r="N330" s="5">
        <v>5</v>
      </c>
      <c r="O330" s="5">
        <v>0</v>
      </c>
      <c r="P330" s="5">
        <v>0</v>
      </c>
      <c r="Q330" s="5">
        <v>0</v>
      </c>
      <c r="R330" s="8">
        <v>1</v>
      </c>
      <c r="S330" s="8">
        <v>1</v>
      </c>
      <c r="T330" s="8">
        <v>0</v>
      </c>
      <c r="U330" s="8">
        <v>3</v>
      </c>
      <c r="V330" s="8">
        <v>4</v>
      </c>
      <c r="W330" t="s">
        <v>473</v>
      </c>
      <c r="X330" t="s">
        <v>473</v>
      </c>
      <c r="Y330" t="s">
        <v>473</v>
      </c>
      <c r="Z330" t="s">
        <v>473</v>
      </c>
      <c r="AA330" t="s">
        <v>473</v>
      </c>
      <c r="AB330" t="s">
        <v>473</v>
      </c>
      <c r="AC330" s="10">
        <v>3</v>
      </c>
      <c r="AD330" s="10">
        <v>11</v>
      </c>
      <c r="AE330" t="s">
        <v>473</v>
      </c>
    </row>
    <row r="331" spans="1:31" x14ac:dyDescent="0.25">
      <c r="A331">
        <v>7786</v>
      </c>
      <c r="B331">
        <v>1986</v>
      </c>
      <c r="C331" t="s">
        <v>33</v>
      </c>
      <c r="D331" t="s">
        <v>30</v>
      </c>
      <c r="E331" t="str">
        <f>IF(OR(Table1[[#This Row],[marital_status]]="Married", Table1[[#This Row],[marital_status]]="Together"), "Partnered", "Single")</f>
        <v>Single</v>
      </c>
      <c r="F331" s="7">
        <v>29999</v>
      </c>
      <c r="G331" s="8">
        <v>1</v>
      </c>
      <c r="H331" s="8">
        <v>0</v>
      </c>
      <c r="I331" s="8">
        <f>Table1[[#This Row],[kids]]+Table1[[#This Row],[teens]]</f>
        <v>1</v>
      </c>
      <c r="J331" s="9">
        <v>41318</v>
      </c>
      <c r="K331" s="8">
        <v>22</v>
      </c>
      <c r="L331" s="6">
        <v>68</v>
      </c>
      <c r="M331" s="5">
        <v>7</v>
      </c>
      <c r="N331" s="5">
        <v>59</v>
      </c>
      <c r="O331" s="5">
        <v>10</v>
      </c>
      <c r="P331" s="5">
        <v>5</v>
      </c>
      <c r="Q331" s="5">
        <v>11</v>
      </c>
      <c r="R331" s="8">
        <v>4</v>
      </c>
      <c r="S331" s="8">
        <v>3</v>
      </c>
      <c r="T331" s="8">
        <v>1</v>
      </c>
      <c r="U331" s="8">
        <v>4</v>
      </c>
      <c r="V331" s="8">
        <v>8</v>
      </c>
      <c r="W331" t="s">
        <v>473</v>
      </c>
      <c r="X331" t="s">
        <v>473</v>
      </c>
      <c r="Y331" t="s">
        <v>473</v>
      </c>
      <c r="Z331" t="s">
        <v>473</v>
      </c>
      <c r="AA331" t="s">
        <v>473</v>
      </c>
      <c r="AB331" t="s">
        <v>473</v>
      </c>
      <c r="AC331" s="10">
        <v>3</v>
      </c>
      <c r="AD331" s="10">
        <v>11</v>
      </c>
      <c r="AE331" t="s">
        <v>473</v>
      </c>
    </row>
    <row r="332" spans="1:31" x14ac:dyDescent="0.25">
      <c r="A332">
        <v>2861</v>
      </c>
      <c r="B332">
        <v>1983</v>
      </c>
      <c r="C332" t="s">
        <v>466</v>
      </c>
      <c r="D332" t="s">
        <v>30</v>
      </c>
      <c r="E332" t="str">
        <f>IF(OR(Table1[[#This Row],[marital_status]]="Married", Table1[[#This Row],[marital_status]]="Together"), "Partnered", "Single")</f>
        <v>Single</v>
      </c>
      <c r="F332" s="7">
        <v>24072</v>
      </c>
      <c r="G332" s="8">
        <v>1</v>
      </c>
      <c r="H332" s="8">
        <v>0</v>
      </c>
      <c r="I332" s="8">
        <f>Table1[[#This Row],[kids]]+Table1[[#This Row],[teens]]</f>
        <v>1</v>
      </c>
      <c r="J332" s="9">
        <v>41380</v>
      </c>
      <c r="K332" s="8">
        <v>79</v>
      </c>
      <c r="L332" s="6">
        <v>9</v>
      </c>
      <c r="M332" s="5">
        <v>1</v>
      </c>
      <c r="N332" s="5">
        <v>6</v>
      </c>
      <c r="O332" s="5">
        <v>3</v>
      </c>
      <c r="P332" s="5">
        <v>0</v>
      </c>
      <c r="Q332" s="5">
        <v>4</v>
      </c>
      <c r="R332" s="8">
        <v>1</v>
      </c>
      <c r="S332" s="8">
        <v>1</v>
      </c>
      <c r="T332" s="8">
        <v>0</v>
      </c>
      <c r="U332" s="8">
        <v>2</v>
      </c>
      <c r="V332" s="8">
        <v>8</v>
      </c>
      <c r="W332" t="s">
        <v>473</v>
      </c>
      <c r="X332" t="s">
        <v>473</v>
      </c>
      <c r="Y332" t="s">
        <v>473</v>
      </c>
      <c r="Z332" t="s">
        <v>473</v>
      </c>
      <c r="AA332" t="s">
        <v>473</v>
      </c>
      <c r="AB332" t="s">
        <v>473</v>
      </c>
      <c r="AC332" s="10">
        <v>3</v>
      </c>
      <c r="AD332" s="10">
        <v>11</v>
      </c>
      <c r="AE332" t="s">
        <v>473</v>
      </c>
    </row>
    <row r="333" spans="1:31" x14ac:dyDescent="0.25">
      <c r="A333">
        <v>663</v>
      </c>
      <c r="B333">
        <v>1989</v>
      </c>
      <c r="C333" t="s">
        <v>33</v>
      </c>
      <c r="D333" t="s">
        <v>30</v>
      </c>
      <c r="E333" t="str">
        <f>IF(OR(Table1[[#This Row],[marital_status]]="Married", Table1[[#This Row],[marital_status]]="Together"), "Partnered", "Single")</f>
        <v>Single</v>
      </c>
      <c r="F333" s="7">
        <v>33996</v>
      </c>
      <c r="G333" s="8">
        <v>0</v>
      </c>
      <c r="H333" s="8">
        <v>0</v>
      </c>
      <c r="I333" s="8">
        <f>Table1[[#This Row],[kids]]+Table1[[#This Row],[teens]]</f>
        <v>0</v>
      </c>
      <c r="J333" s="9">
        <v>41528</v>
      </c>
      <c r="K333" s="8">
        <v>46</v>
      </c>
      <c r="L333" s="6">
        <v>40</v>
      </c>
      <c r="M333" s="5">
        <v>2</v>
      </c>
      <c r="N333" s="5">
        <v>15</v>
      </c>
      <c r="O333" s="5">
        <v>8</v>
      </c>
      <c r="P333" s="5">
        <v>0</v>
      </c>
      <c r="Q333" s="5">
        <v>6</v>
      </c>
      <c r="R333" s="8">
        <v>1</v>
      </c>
      <c r="S333" s="8">
        <v>1</v>
      </c>
      <c r="T333" s="8">
        <v>1</v>
      </c>
      <c r="U333" s="8">
        <v>3</v>
      </c>
      <c r="V333" s="8">
        <v>4</v>
      </c>
      <c r="W333" t="s">
        <v>473</v>
      </c>
      <c r="X333" t="s">
        <v>473</v>
      </c>
      <c r="Y333" t="s">
        <v>473</v>
      </c>
      <c r="Z333" t="s">
        <v>473</v>
      </c>
      <c r="AA333" t="s">
        <v>473</v>
      </c>
      <c r="AB333" t="s">
        <v>473</v>
      </c>
      <c r="AC333" s="10">
        <v>3</v>
      </c>
      <c r="AD333" s="10">
        <v>11</v>
      </c>
      <c r="AE333" t="s">
        <v>473</v>
      </c>
    </row>
    <row r="334" spans="1:31" x14ac:dyDescent="0.25">
      <c r="A334">
        <v>10675</v>
      </c>
      <c r="B334">
        <v>1956</v>
      </c>
      <c r="C334" t="s">
        <v>33</v>
      </c>
      <c r="D334" t="s">
        <v>34</v>
      </c>
      <c r="E334" t="str">
        <f>IF(OR(Table1[[#This Row],[marital_status]]="Married", Table1[[#This Row],[marital_status]]="Together"), "Partnered", "Single")</f>
        <v>Partnered</v>
      </c>
      <c r="F334" s="7">
        <v>66334</v>
      </c>
      <c r="G334" s="8">
        <v>0</v>
      </c>
      <c r="H334" s="8">
        <v>1</v>
      </c>
      <c r="I334" s="8">
        <f>Table1[[#This Row],[kids]]+Table1[[#This Row],[teens]]</f>
        <v>1</v>
      </c>
      <c r="J334" s="9">
        <v>41367</v>
      </c>
      <c r="K334" s="8">
        <v>82</v>
      </c>
      <c r="L334" s="6">
        <v>909</v>
      </c>
      <c r="M334" s="5">
        <v>11</v>
      </c>
      <c r="N334" s="5">
        <v>218</v>
      </c>
      <c r="O334" s="5">
        <v>0</v>
      </c>
      <c r="P334" s="5">
        <v>0</v>
      </c>
      <c r="Q334" s="5">
        <v>23</v>
      </c>
      <c r="R334" s="8">
        <v>2</v>
      </c>
      <c r="S334" s="8">
        <v>9</v>
      </c>
      <c r="T334" s="8">
        <v>3</v>
      </c>
      <c r="U334" s="8">
        <v>5</v>
      </c>
      <c r="V334" s="8">
        <v>5</v>
      </c>
      <c r="W334" t="s">
        <v>473</v>
      </c>
      <c r="X334" t="s">
        <v>473</v>
      </c>
      <c r="Y334" t="s">
        <v>473</v>
      </c>
      <c r="Z334" t="s">
        <v>473</v>
      </c>
      <c r="AA334" t="s">
        <v>473</v>
      </c>
      <c r="AB334" t="s">
        <v>473</v>
      </c>
      <c r="AC334" s="10">
        <v>3</v>
      </c>
      <c r="AD334" s="10">
        <v>11</v>
      </c>
      <c r="AE334" t="s">
        <v>474</v>
      </c>
    </row>
    <row r="335" spans="1:31" x14ac:dyDescent="0.25">
      <c r="A335">
        <v>2521</v>
      </c>
      <c r="B335">
        <v>1971</v>
      </c>
      <c r="C335" t="s">
        <v>36</v>
      </c>
      <c r="D335" t="s">
        <v>34</v>
      </c>
      <c r="E335" t="str">
        <f>IF(OR(Table1[[#This Row],[marital_status]]="Married", Table1[[#This Row],[marital_status]]="Together"), "Partnered", "Single")</f>
        <v>Partnered</v>
      </c>
      <c r="F335" s="7">
        <v>35178</v>
      </c>
      <c r="G335" s="8">
        <v>1</v>
      </c>
      <c r="H335" s="8">
        <v>0</v>
      </c>
      <c r="I335" s="8">
        <f>Table1[[#This Row],[kids]]+Table1[[#This Row],[teens]]</f>
        <v>1</v>
      </c>
      <c r="J335" s="9">
        <v>41284</v>
      </c>
      <c r="K335" s="8">
        <v>10</v>
      </c>
      <c r="L335" s="6">
        <v>23</v>
      </c>
      <c r="M335" s="5">
        <v>1</v>
      </c>
      <c r="N335" s="5">
        <v>13</v>
      </c>
      <c r="O335" s="5">
        <v>2</v>
      </c>
      <c r="P335" s="5">
        <v>2</v>
      </c>
      <c r="Q335" s="5">
        <v>18</v>
      </c>
      <c r="R335" s="8">
        <v>1</v>
      </c>
      <c r="S335" s="8">
        <v>1</v>
      </c>
      <c r="T335" s="8">
        <v>1</v>
      </c>
      <c r="U335" s="8">
        <v>2</v>
      </c>
      <c r="V335" s="8">
        <v>7</v>
      </c>
      <c r="W335" t="s">
        <v>474</v>
      </c>
      <c r="X335" t="s">
        <v>473</v>
      </c>
      <c r="Y335" t="s">
        <v>473</v>
      </c>
      <c r="Z335" t="s">
        <v>473</v>
      </c>
      <c r="AA335" t="s">
        <v>473</v>
      </c>
      <c r="AB335" t="s">
        <v>473</v>
      </c>
      <c r="AC335" s="10">
        <v>3</v>
      </c>
      <c r="AD335" s="10">
        <v>11</v>
      </c>
      <c r="AE335" t="s">
        <v>474</v>
      </c>
    </row>
    <row r="336" spans="1:31" x14ac:dyDescent="0.25">
      <c r="A336">
        <v>9592</v>
      </c>
      <c r="B336">
        <v>1983</v>
      </c>
      <c r="C336" t="s">
        <v>466</v>
      </c>
      <c r="D336" t="s">
        <v>31</v>
      </c>
      <c r="E336" t="str">
        <f>IF(OR(Table1[[#This Row],[marital_status]]="Married", Table1[[#This Row],[marital_status]]="Together"), "Partnered", "Single")</f>
        <v>Partnered</v>
      </c>
      <c r="F336" s="7">
        <v>22010</v>
      </c>
      <c r="G336" s="8">
        <v>1</v>
      </c>
      <c r="H336" s="8">
        <v>0</v>
      </c>
      <c r="I336" s="8">
        <f>Table1[[#This Row],[kids]]+Table1[[#This Row],[teens]]</f>
        <v>1</v>
      </c>
      <c r="J336" s="9">
        <v>41455</v>
      </c>
      <c r="K336" s="8">
        <v>51</v>
      </c>
      <c r="L336" s="6">
        <v>11</v>
      </c>
      <c r="M336" s="5">
        <v>2</v>
      </c>
      <c r="N336" s="5">
        <v>9</v>
      </c>
      <c r="O336" s="5">
        <v>3</v>
      </c>
      <c r="P336" s="5">
        <v>0</v>
      </c>
      <c r="Q336" s="5">
        <v>8</v>
      </c>
      <c r="R336" s="8">
        <v>2</v>
      </c>
      <c r="S336" s="8">
        <v>2</v>
      </c>
      <c r="T336" s="8">
        <v>0</v>
      </c>
      <c r="U336" s="8">
        <v>3</v>
      </c>
      <c r="V336" s="8">
        <v>8</v>
      </c>
      <c r="W336" t="s">
        <v>473</v>
      </c>
      <c r="X336" t="s">
        <v>473</v>
      </c>
      <c r="Y336" t="s">
        <v>473</v>
      </c>
      <c r="Z336" t="s">
        <v>473</v>
      </c>
      <c r="AA336" t="s">
        <v>473</v>
      </c>
      <c r="AB336" t="s">
        <v>473</v>
      </c>
      <c r="AC336" s="10">
        <v>3</v>
      </c>
      <c r="AD336" s="10">
        <v>11</v>
      </c>
      <c r="AE336" t="s">
        <v>473</v>
      </c>
    </row>
    <row r="337" spans="1:31" x14ac:dyDescent="0.25">
      <c r="A337">
        <v>10151</v>
      </c>
      <c r="B337">
        <v>1960</v>
      </c>
      <c r="C337" t="s">
        <v>466</v>
      </c>
      <c r="D337" t="s">
        <v>37</v>
      </c>
      <c r="E337" t="str">
        <f>IF(OR(Table1[[#This Row],[marital_status]]="Married", Table1[[#This Row],[marital_status]]="Together"), "Partnered", "Single")</f>
        <v>Single</v>
      </c>
      <c r="F337" s="7">
        <v>62204</v>
      </c>
      <c r="G337" s="8">
        <v>0</v>
      </c>
      <c r="H337" s="8">
        <v>2</v>
      </c>
      <c r="I337" s="8">
        <f>Table1[[#This Row],[kids]]+Table1[[#This Row],[teens]]</f>
        <v>2</v>
      </c>
      <c r="J337" s="9">
        <v>41164</v>
      </c>
      <c r="K337" s="8">
        <v>38</v>
      </c>
      <c r="L337" s="6">
        <v>317</v>
      </c>
      <c r="M337" s="5">
        <v>46</v>
      </c>
      <c r="N337" s="5">
        <v>247</v>
      </c>
      <c r="O337" s="5">
        <v>151</v>
      </c>
      <c r="P337" s="5">
        <v>46</v>
      </c>
      <c r="Q337" s="5">
        <v>139</v>
      </c>
      <c r="R337" s="8">
        <v>1</v>
      </c>
      <c r="S337" s="8">
        <v>4</v>
      </c>
      <c r="T337" s="8">
        <v>5</v>
      </c>
      <c r="U337" s="8">
        <v>12</v>
      </c>
      <c r="V337" s="8">
        <v>3</v>
      </c>
      <c r="W337" t="s">
        <v>473</v>
      </c>
      <c r="X337" t="s">
        <v>473</v>
      </c>
      <c r="Y337" t="s">
        <v>473</v>
      </c>
      <c r="Z337" t="s">
        <v>473</v>
      </c>
      <c r="AA337" t="s">
        <v>473</v>
      </c>
      <c r="AB337" t="s">
        <v>473</v>
      </c>
      <c r="AC337" s="10">
        <v>3</v>
      </c>
      <c r="AD337" s="10">
        <v>11</v>
      </c>
      <c r="AE337" t="s">
        <v>473</v>
      </c>
    </row>
    <row r="338" spans="1:31" x14ac:dyDescent="0.25">
      <c r="A338">
        <v>7381</v>
      </c>
      <c r="B338">
        <v>1968</v>
      </c>
      <c r="C338" t="s">
        <v>466</v>
      </c>
      <c r="D338" t="s">
        <v>37</v>
      </c>
      <c r="E338" t="str">
        <f>IF(OR(Table1[[#This Row],[marital_status]]="Married", Table1[[#This Row],[marital_status]]="Together"), "Partnered", "Single")</f>
        <v>Single</v>
      </c>
      <c r="F338" s="7">
        <v>75693</v>
      </c>
      <c r="G338" s="8">
        <v>0</v>
      </c>
      <c r="H338" s="8">
        <v>0</v>
      </c>
      <c r="I338" s="8">
        <f>Table1[[#This Row],[kids]]+Table1[[#This Row],[teens]]</f>
        <v>0</v>
      </c>
      <c r="J338" s="9">
        <v>41249</v>
      </c>
      <c r="K338" s="8">
        <v>10</v>
      </c>
      <c r="L338" s="6">
        <v>797</v>
      </c>
      <c r="M338" s="5">
        <v>153</v>
      </c>
      <c r="N338" s="5">
        <v>293</v>
      </c>
      <c r="O338" s="5">
        <v>72</v>
      </c>
      <c r="P338" s="5">
        <v>97</v>
      </c>
      <c r="Q338" s="5">
        <v>30</v>
      </c>
      <c r="R338" s="8">
        <v>1</v>
      </c>
      <c r="S338" s="8">
        <v>11</v>
      </c>
      <c r="T338" s="8">
        <v>4</v>
      </c>
      <c r="U338" s="8">
        <v>6</v>
      </c>
      <c r="V338" s="8">
        <v>4</v>
      </c>
      <c r="W338" t="s">
        <v>473</v>
      </c>
      <c r="X338" t="s">
        <v>474</v>
      </c>
      <c r="Y338" t="s">
        <v>474</v>
      </c>
      <c r="Z338" t="s">
        <v>474</v>
      </c>
      <c r="AA338" t="s">
        <v>473</v>
      </c>
      <c r="AB338" t="s">
        <v>473</v>
      </c>
      <c r="AC338" s="10">
        <v>3</v>
      </c>
      <c r="AD338" s="10">
        <v>11</v>
      </c>
      <c r="AE338" t="s">
        <v>474</v>
      </c>
    </row>
    <row r="339" spans="1:31" x14ac:dyDescent="0.25">
      <c r="A339">
        <v>4099</v>
      </c>
      <c r="B339">
        <v>1972</v>
      </c>
      <c r="C339" t="s">
        <v>466</v>
      </c>
      <c r="D339" t="s">
        <v>34</v>
      </c>
      <c r="E339" t="str">
        <f>IF(OR(Table1[[#This Row],[marital_status]]="Married", Table1[[#This Row],[marital_status]]="Together"), "Partnered", "Single")</f>
        <v>Partnered</v>
      </c>
      <c r="F339" s="7">
        <v>30675</v>
      </c>
      <c r="G339" s="8">
        <v>1</v>
      </c>
      <c r="H339" s="8">
        <v>0</v>
      </c>
      <c r="I339" s="8">
        <f>Table1[[#This Row],[kids]]+Table1[[#This Row],[teens]]</f>
        <v>1</v>
      </c>
      <c r="J339" s="9">
        <v>41225</v>
      </c>
      <c r="K339" s="8">
        <v>14</v>
      </c>
      <c r="L339" s="6">
        <v>10</v>
      </c>
      <c r="M339" s="5">
        <v>2</v>
      </c>
      <c r="N339" s="5">
        <v>16</v>
      </c>
      <c r="O339" s="5">
        <v>11</v>
      </c>
      <c r="P339" s="5">
        <v>2</v>
      </c>
      <c r="Q339" s="5">
        <v>21</v>
      </c>
      <c r="R339" s="8">
        <v>1</v>
      </c>
      <c r="S339" s="8">
        <v>1</v>
      </c>
      <c r="T339" s="8">
        <v>0</v>
      </c>
      <c r="U339" s="8">
        <v>3</v>
      </c>
      <c r="V339" s="8">
        <v>8</v>
      </c>
      <c r="W339" t="s">
        <v>473</v>
      </c>
      <c r="X339" t="s">
        <v>473</v>
      </c>
      <c r="Y339" t="s">
        <v>473</v>
      </c>
      <c r="Z339" t="s">
        <v>473</v>
      </c>
      <c r="AA339" t="s">
        <v>473</v>
      </c>
      <c r="AB339" t="s">
        <v>473</v>
      </c>
      <c r="AC339" s="10">
        <v>3</v>
      </c>
      <c r="AD339" s="10">
        <v>11</v>
      </c>
      <c r="AE339" t="s">
        <v>473</v>
      </c>
    </row>
    <row r="340" spans="1:31" x14ac:dyDescent="0.25">
      <c r="A340">
        <v>9560</v>
      </c>
      <c r="B340">
        <v>1965</v>
      </c>
      <c r="C340" t="s">
        <v>466</v>
      </c>
      <c r="D340" t="s">
        <v>31</v>
      </c>
      <c r="E340" t="str">
        <f>IF(OR(Table1[[#This Row],[marital_status]]="Married", Table1[[#This Row],[marital_status]]="Together"), "Partnered", "Single")</f>
        <v>Partnered</v>
      </c>
      <c r="F340" s="7">
        <v>83003</v>
      </c>
      <c r="G340" s="8">
        <v>0</v>
      </c>
      <c r="H340" s="8">
        <v>0</v>
      </c>
      <c r="I340" s="8">
        <f>Table1[[#This Row],[kids]]+Table1[[#This Row],[teens]]</f>
        <v>0</v>
      </c>
      <c r="J340" s="9">
        <v>41336</v>
      </c>
      <c r="K340" s="8">
        <v>18</v>
      </c>
      <c r="L340" s="6">
        <v>856</v>
      </c>
      <c r="M340" s="5">
        <v>61</v>
      </c>
      <c r="N340" s="5">
        <v>570</v>
      </c>
      <c r="O340" s="5">
        <v>40</v>
      </c>
      <c r="P340" s="5">
        <v>25</v>
      </c>
      <c r="Q340" s="5">
        <v>122</v>
      </c>
      <c r="R340" s="8">
        <v>1</v>
      </c>
      <c r="S340" s="8">
        <v>7</v>
      </c>
      <c r="T340" s="8">
        <v>6</v>
      </c>
      <c r="U340" s="8">
        <v>8</v>
      </c>
      <c r="V340" s="8">
        <v>3</v>
      </c>
      <c r="W340" t="s">
        <v>473</v>
      </c>
      <c r="X340" t="s">
        <v>473</v>
      </c>
      <c r="Y340" t="s">
        <v>474</v>
      </c>
      <c r="Z340" t="s">
        <v>473</v>
      </c>
      <c r="AA340" t="s">
        <v>473</v>
      </c>
      <c r="AB340" t="s">
        <v>473</v>
      </c>
      <c r="AC340" s="10">
        <v>3</v>
      </c>
      <c r="AD340" s="10">
        <v>11</v>
      </c>
      <c r="AE340" t="s">
        <v>474</v>
      </c>
    </row>
    <row r="341" spans="1:31" x14ac:dyDescent="0.25">
      <c r="A341">
        <v>1150</v>
      </c>
      <c r="B341">
        <v>1899</v>
      </c>
      <c r="C341" t="s">
        <v>33</v>
      </c>
      <c r="D341" t="s">
        <v>31</v>
      </c>
      <c r="E341" t="str">
        <f>IF(OR(Table1[[#This Row],[marital_status]]="Married", Table1[[#This Row],[marital_status]]="Together"), "Partnered", "Single")</f>
        <v>Partnered</v>
      </c>
      <c r="F341" s="7">
        <v>83532</v>
      </c>
      <c r="G341" s="8">
        <v>0</v>
      </c>
      <c r="H341" s="8">
        <v>0</v>
      </c>
      <c r="I341" s="8">
        <f>Table1[[#This Row],[kids]]+Table1[[#This Row],[teens]]</f>
        <v>0</v>
      </c>
      <c r="J341" s="9">
        <v>41543</v>
      </c>
      <c r="K341" s="8">
        <v>36</v>
      </c>
      <c r="L341" s="6">
        <v>755</v>
      </c>
      <c r="M341" s="5">
        <v>144</v>
      </c>
      <c r="N341" s="5">
        <v>562</v>
      </c>
      <c r="O341" s="5">
        <v>104</v>
      </c>
      <c r="P341" s="5">
        <v>64</v>
      </c>
      <c r="Q341" s="5">
        <v>224</v>
      </c>
      <c r="R341" s="8">
        <v>1</v>
      </c>
      <c r="S341" s="8">
        <v>4</v>
      </c>
      <c r="T341" s="8">
        <v>6</v>
      </c>
      <c r="U341" s="8">
        <v>4</v>
      </c>
      <c r="V341" s="8">
        <v>1</v>
      </c>
      <c r="W341" t="s">
        <v>473</v>
      </c>
      <c r="X341" t="s">
        <v>473</v>
      </c>
      <c r="Y341" t="s">
        <v>474</v>
      </c>
      <c r="Z341" t="s">
        <v>473</v>
      </c>
      <c r="AA341" t="s">
        <v>473</v>
      </c>
      <c r="AB341" t="s">
        <v>473</v>
      </c>
      <c r="AC341" s="10">
        <v>3</v>
      </c>
      <c r="AD341" s="10">
        <v>11</v>
      </c>
      <c r="AE341" t="s">
        <v>473</v>
      </c>
    </row>
    <row r="342" spans="1:31" x14ac:dyDescent="0.25">
      <c r="A342">
        <v>10172</v>
      </c>
      <c r="B342">
        <v>1988</v>
      </c>
      <c r="C342" t="s">
        <v>466</v>
      </c>
      <c r="D342" t="s">
        <v>30</v>
      </c>
      <c r="E342" t="str">
        <f>IF(OR(Table1[[#This Row],[marital_status]]="Married", Table1[[#This Row],[marital_status]]="Together"), "Partnered", "Single")</f>
        <v>Single</v>
      </c>
      <c r="F342" s="7">
        <v>68655</v>
      </c>
      <c r="G342" s="8">
        <v>0</v>
      </c>
      <c r="H342" s="8">
        <v>0</v>
      </c>
      <c r="I342" s="8">
        <f>Table1[[#This Row],[kids]]+Table1[[#This Row],[teens]]</f>
        <v>0</v>
      </c>
      <c r="J342" s="9">
        <v>41131</v>
      </c>
      <c r="K342" s="8">
        <v>95</v>
      </c>
      <c r="L342" s="6">
        <v>456</v>
      </c>
      <c r="M342" s="5">
        <v>19</v>
      </c>
      <c r="N342" s="5">
        <v>832</v>
      </c>
      <c r="O342" s="5">
        <v>75</v>
      </c>
      <c r="P342" s="5">
        <v>118</v>
      </c>
      <c r="Q342" s="5">
        <v>38</v>
      </c>
      <c r="R342" s="8">
        <v>1</v>
      </c>
      <c r="S342" s="8">
        <v>4</v>
      </c>
      <c r="T342" s="8">
        <v>5</v>
      </c>
      <c r="U342" s="8">
        <v>11</v>
      </c>
      <c r="V342" s="8">
        <v>3</v>
      </c>
      <c r="W342" t="s">
        <v>473</v>
      </c>
      <c r="X342" t="s">
        <v>473</v>
      </c>
      <c r="Y342" t="s">
        <v>473</v>
      </c>
      <c r="Z342" t="s">
        <v>473</v>
      </c>
      <c r="AA342" t="s">
        <v>473</v>
      </c>
      <c r="AB342" t="s">
        <v>473</v>
      </c>
      <c r="AC342" s="10">
        <v>3</v>
      </c>
      <c r="AD342" s="10">
        <v>11</v>
      </c>
      <c r="AE342" t="s">
        <v>473</v>
      </c>
    </row>
    <row r="343" spans="1:31" x14ac:dyDescent="0.25">
      <c r="A343">
        <v>11191</v>
      </c>
      <c r="B343">
        <v>1986</v>
      </c>
      <c r="C343" t="s">
        <v>466</v>
      </c>
      <c r="D343" t="s">
        <v>37</v>
      </c>
      <c r="E343" t="str">
        <f>IF(OR(Table1[[#This Row],[marital_status]]="Married", Table1[[#This Row],[marital_status]]="Together"), "Partnered", "Single")</f>
        <v>Single</v>
      </c>
      <c r="F343" s="7">
        <v>41411</v>
      </c>
      <c r="G343" s="8">
        <v>0</v>
      </c>
      <c r="H343" s="8">
        <v>0</v>
      </c>
      <c r="I343" s="8">
        <f>Table1[[#This Row],[kids]]+Table1[[#This Row],[teens]]</f>
        <v>0</v>
      </c>
      <c r="J343" s="9">
        <v>41615</v>
      </c>
      <c r="K343" s="8">
        <v>11</v>
      </c>
      <c r="L343" s="6">
        <v>37</v>
      </c>
      <c r="M343" s="5">
        <v>32</v>
      </c>
      <c r="N343" s="5">
        <v>38</v>
      </c>
      <c r="O343" s="5">
        <v>11</v>
      </c>
      <c r="P343" s="5">
        <v>3</v>
      </c>
      <c r="Q343" s="5">
        <v>18</v>
      </c>
      <c r="R343" s="8">
        <v>1</v>
      </c>
      <c r="S343" s="8">
        <v>2</v>
      </c>
      <c r="T343" s="8">
        <v>1</v>
      </c>
      <c r="U343" s="8">
        <v>4</v>
      </c>
      <c r="V343" s="8">
        <v>6</v>
      </c>
      <c r="W343" t="s">
        <v>473</v>
      </c>
      <c r="X343" t="s">
        <v>473</v>
      </c>
      <c r="Y343" t="s">
        <v>473</v>
      </c>
      <c r="Z343" t="s">
        <v>473</v>
      </c>
      <c r="AA343" t="s">
        <v>473</v>
      </c>
      <c r="AB343" t="s">
        <v>473</v>
      </c>
      <c r="AC343" s="10">
        <v>3</v>
      </c>
      <c r="AD343" s="10">
        <v>11</v>
      </c>
      <c r="AE343" t="s">
        <v>473</v>
      </c>
    </row>
    <row r="344" spans="1:31" x14ac:dyDescent="0.25">
      <c r="A344">
        <v>9707</v>
      </c>
      <c r="B344">
        <v>1969</v>
      </c>
      <c r="C344" t="s">
        <v>33</v>
      </c>
      <c r="D344" t="s">
        <v>34</v>
      </c>
      <c r="E344" t="str">
        <f>IF(OR(Table1[[#This Row],[marital_status]]="Married", Table1[[#This Row],[marital_status]]="Together"), "Partnered", "Single")</f>
        <v>Partnered</v>
      </c>
      <c r="F344" s="7">
        <v>55212</v>
      </c>
      <c r="G344" s="8">
        <v>0</v>
      </c>
      <c r="H344" s="8">
        <v>1</v>
      </c>
      <c r="I344" s="8">
        <f>Table1[[#This Row],[kids]]+Table1[[#This Row],[teens]]</f>
        <v>1</v>
      </c>
      <c r="J344" s="9">
        <v>41236</v>
      </c>
      <c r="K344" s="8">
        <v>65</v>
      </c>
      <c r="L344" s="6">
        <v>1103</v>
      </c>
      <c r="M344" s="5">
        <v>0</v>
      </c>
      <c r="N344" s="5">
        <v>45</v>
      </c>
      <c r="O344" s="5">
        <v>0</v>
      </c>
      <c r="P344" s="5">
        <v>0</v>
      </c>
      <c r="Q344" s="5">
        <v>34</v>
      </c>
      <c r="R344" s="8">
        <v>3</v>
      </c>
      <c r="S344" s="8">
        <v>4</v>
      </c>
      <c r="T344" s="8">
        <v>2</v>
      </c>
      <c r="U344" s="8">
        <v>11</v>
      </c>
      <c r="V344" s="8">
        <v>8</v>
      </c>
      <c r="W344" t="s">
        <v>473</v>
      </c>
      <c r="X344" t="s">
        <v>474</v>
      </c>
      <c r="Y344" t="s">
        <v>473</v>
      </c>
      <c r="Z344" t="s">
        <v>473</v>
      </c>
      <c r="AA344" t="s">
        <v>474</v>
      </c>
      <c r="AB344" t="s">
        <v>473</v>
      </c>
      <c r="AC344" s="10">
        <v>3</v>
      </c>
      <c r="AD344" s="10">
        <v>11</v>
      </c>
      <c r="AE344" t="s">
        <v>473</v>
      </c>
    </row>
    <row r="345" spans="1:31" x14ac:dyDescent="0.25">
      <c r="A345">
        <v>6245</v>
      </c>
      <c r="B345">
        <v>1950</v>
      </c>
      <c r="C345" t="s">
        <v>33</v>
      </c>
      <c r="D345" t="s">
        <v>31</v>
      </c>
      <c r="E345" t="str">
        <f>IF(OR(Table1[[#This Row],[marital_status]]="Married", Table1[[#This Row],[marital_status]]="Together"), "Partnered", "Single")</f>
        <v>Partnered</v>
      </c>
      <c r="F345" s="7">
        <v>59292</v>
      </c>
      <c r="G345" s="8">
        <v>0</v>
      </c>
      <c r="H345" s="8">
        <v>1</v>
      </c>
      <c r="I345" s="8">
        <f>Table1[[#This Row],[kids]]+Table1[[#This Row],[teens]]</f>
        <v>1</v>
      </c>
      <c r="J345" s="9">
        <v>41438</v>
      </c>
      <c r="K345" s="8">
        <v>71</v>
      </c>
      <c r="L345" s="6">
        <v>378</v>
      </c>
      <c r="M345" s="5">
        <v>14</v>
      </c>
      <c r="N345" s="5">
        <v>68</v>
      </c>
      <c r="O345" s="5">
        <v>19</v>
      </c>
      <c r="P345" s="5">
        <v>14</v>
      </c>
      <c r="Q345" s="5">
        <v>14</v>
      </c>
      <c r="R345" s="8">
        <v>2</v>
      </c>
      <c r="S345" s="8">
        <v>3</v>
      </c>
      <c r="T345" s="8">
        <v>5</v>
      </c>
      <c r="U345" s="8">
        <v>8</v>
      </c>
      <c r="V345" s="8">
        <v>3</v>
      </c>
      <c r="W345" t="s">
        <v>473</v>
      </c>
      <c r="X345" t="s">
        <v>473</v>
      </c>
      <c r="Y345" t="s">
        <v>473</v>
      </c>
      <c r="Z345" t="s">
        <v>473</v>
      </c>
      <c r="AA345" t="s">
        <v>473</v>
      </c>
      <c r="AB345" t="s">
        <v>473</v>
      </c>
      <c r="AC345" s="10">
        <v>3</v>
      </c>
      <c r="AD345" s="10">
        <v>11</v>
      </c>
      <c r="AE345" t="s">
        <v>473</v>
      </c>
    </row>
    <row r="346" spans="1:31" x14ac:dyDescent="0.25">
      <c r="A346">
        <v>8234</v>
      </c>
      <c r="B346">
        <v>1973</v>
      </c>
      <c r="C346" t="s">
        <v>41</v>
      </c>
      <c r="D346" t="s">
        <v>31</v>
      </c>
      <c r="E346" t="str">
        <f>IF(OR(Table1[[#This Row],[marital_status]]="Married", Table1[[#This Row],[marital_status]]="Together"), "Partnered", "Single")</f>
        <v>Partnered</v>
      </c>
      <c r="F346" s="7">
        <v>27190</v>
      </c>
      <c r="G346" s="8">
        <v>1</v>
      </c>
      <c r="H346" s="8">
        <v>0</v>
      </c>
      <c r="I346" s="8">
        <f>Table1[[#This Row],[kids]]+Table1[[#This Row],[teens]]</f>
        <v>1</v>
      </c>
      <c r="J346" s="9">
        <v>41501</v>
      </c>
      <c r="K346" s="8">
        <v>13</v>
      </c>
      <c r="L346" s="6">
        <v>1</v>
      </c>
      <c r="M346" s="5">
        <v>6</v>
      </c>
      <c r="N346" s="5">
        <v>7</v>
      </c>
      <c r="O346" s="5">
        <v>0</v>
      </c>
      <c r="P346" s="5">
        <v>1</v>
      </c>
      <c r="Q346" s="5">
        <v>3</v>
      </c>
      <c r="R346" s="8">
        <v>1</v>
      </c>
      <c r="S346" s="8">
        <v>1</v>
      </c>
      <c r="T346" s="8">
        <v>0</v>
      </c>
      <c r="U346" s="8">
        <v>2</v>
      </c>
      <c r="V346" s="8">
        <v>8</v>
      </c>
      <c r="W346" t="s">
        <v>474</v>
      </c>
      <c r="X346" t="s">
        <v>473</v>
      </c>
      <c r="Y346" t="s">
        <v>473</v>
      </c>
      <c r="Z346" t="s">
        <v>473</v>
      </c>
      <c r="AA346" t="s">
        <v>473</v>
      </c>
      <c r="AB346" t="s">
        <v>473</v>
      </c>
      <c r="AC346" s="10">
        <v>3</v>
      </c>
      <c r="AD346" s="10">
        <v>11</v>
      </c>
      <c r="AE346" t="s">
        <v>474</v>
      </c>
    </row>
    <row r="347" spans="1:31" x14ac:dyDescent="0.25">
      <c r="A347">
        <v>1411</v>
      </c>
      <c r="B347">
        <v>1952</v>
      </c>
      <c r="C347" t="s">
        <v>466</v>
      </c>
      <c r="D347" t="s">
        <v>37</v>
      </c>
      <c r="E347" t="str">
        <f>IF(OR(Table1[[#This Row],[marital_status]]="Married", Table1[[#This Row],[marital_status]]="Together"), "Partnered", "Single")</f>
        <v>Single</v>
      </c>
      <c r="F347" s="7">
        <v>82623</v>
      </c>
      <c r="G347" s="8">
        <v>0</v>
      </c>
      <c r="H347" s="8">
        <v>0</v>
      </c>
      <c r="I347" s="8">
        <f>Table1[[#This Row],[kids]]+Table1[[#This Row],[teens]]</f>
        <v>0</v>
      </c>
      <c r="J347" s="9">
        <v>41588</v>
      </c>
      <c r="K347" s="8">
        <v>58</v>
      </c>
      <c r="L347" s="6">
        <v>204</v>
      </c>
      <c r="M347" s="5">
        <v>34</v>
      </c>
      <c r="N347" s="5">
        <v>204</v>
      </c>
      <c r="O347" s="5">
        <v>172</v>
      </c>
      <c r="P347" s="5">
        <v>153</v>
      </c>
      <c r="Q347" s="5">
        <v>173</v>
      </c>
      <c r="R347" s="8">
        <v>1</v>
      </c>
      <c r="S347" s="8">
        <v>2</v>
      </c>
      <c r="T347" s="8">
        <v>9</v>
      </c>
      <c r="U347" s="8">
        <v>4</v>
      </c>
      <c r="V347" s="8">
        <v>1</v>
      </c>
      <c r="W347" t="s">
        <v>473</v>
      </c>
      <c r="X347" t="s">
        <v>473</v>
      </c>
      <c r="Y347" t="s">
        <v>473</v>
      </c>
      <c r="Z347" t="s">
        <v>473</v>
      </c>
      <c r="AA347" t="s">
        <v>473</v>
      </c>
      <c r="AB347" t="s">
        <v>473</v>
      </c>
      <c r="AC347" s="10">
        <v>3</v>
      </c>
      <c r="AD347" s="10">
        <v>11</v>
      </c>
      <c r="AE347" t="s">
        <v>473</v>
      </c>
    </row>
    <row r="348" spans="1:31" x14ac:dyDescent="0.25">
      <c r="A348">
        <v>8553</v>
      </c>
      <c r="B348">
        <v>1965</v>
      </c>
      <c r="C348" t="s">
        <v>466</v>
      </c>
      <c r="D348" t="s">
        <v>34</v>
      </c>
      <c r="E348" t="str">
        <f>IF(OR(Table1[[#This Row],[marital_status]]="Married", Table1[[#This Row],[marital_status]]="Together"), "Partnered", "Single")</f>
        <v>Partnered</v>
      </c>
      <c r="F348" s="7">
        <v>44300</v>
      </c>
      <c r="G348" s="8">
        <v>1</v>
      </c>
      <c r="H348" s="8">
        <v>1</v>
      </c>
      <c r="I348" s="8">
        <f>Table1[[#This Row],[kids]]+Table1[[#This Row],[teens]]</f>
        <v>2</v>
      </c>
      <c r="J348" s="9">
        <v>41448</v>
      </c>
      <c r="K348" s="8">
        <v>65</v>
      </c>
      <c r="L348" s="6">
        <v>30</v>
      </c>
      <c r="M348" s="5">
        <v>0</v>
      </c>
      <c r="N348" s="5">
        <v>9</v>
      </c>
      <c r="O348" s="5">
        <v>0</v>
      </c>
      <c r="P348" s="5">
        <v>0</v>
      </c>
      <c r="Q348" s="5">
        <v>3</v>
      </c>
      <c r="R348" s="8">
        <v>2</v>
      </c>
      <c r="S348" s="8">
        <v>1</v>
      </c>
      <c r="T348" s="8">
        <v>0</v>
      </c>
      <c r="U348" s="8">
        <v>3</v>
      </c>
      <c r="V348" s="8">
        <v>6</v>
      </c>
      <c r="W348" t="s">
        <v>473</v>
      </c>
      <c r="X348" t="s">
        <v>473</v>
      </c>
      <c r="Y348" t="s">
        <v>473</v>
      </c>
      <c r="Z348" t="s">
        <v>473</v>
      </c>
      <c r="AA348" t="s">
        <v>473</v>
      </c>
      <c r="AB348" t="s">
        <v>473</v>
      </c>
      <c r="AC348" s="10">
        <v>3</v>
      </c>
      <c r="AD348" s="10">
        <v>11</v>
      </c>
      <c r="AE348" t="s">
        <v>473</v>
      </c>
    </row>
    <row r="349" spans="1:31" x14ac:dyDescent="0.25">
      <c r="A349">
        <v>1826</v>
      </c>
      <c r="B349">
        <v>1970</v>
      </c>
      <c r="C349" t="s">
        <v>466</v>
      </c>
      <c r="D349" t="s">
        <v>37</v>
      </c>
      <c r="E349" t="str">
        <f>IF(OR(Table1[[#This Row],[marital_status]]="Married", Table1[[#This Row],[marital_status]]="Together"), "Partnered", "Single")</f>
        <v>Single</v>
      </c>
      <c r="F349" s="7">
        <v>84835</v>
      </c>
      <c r="G349" s="8">
        <v>0</v>
      </c>
      <c r="H349" s="8">
        <v>0</v>
      </c>
      <c r="I349" s="8">
        <f>Table1[[#This Row],[kids]]+Table1[[#This Row],[teens]]</f>
        <v>0</v>
      </c>
      <c r="J349" s="9">
        <v>41806</v>
      </c>
      <c r="K349" s="8">
        <v>0</v>
      </c>
      <c r="L349" s="6">
        <v>189</v>
      </c>
      <c r="M349" s="5">
        <v>104</v>
      </c>
      <c r="N349" s="5">
        <v>379</v>
      </c>
      <c r="O349" s="5">
        <v>111</v>
      </c>
      <c r="P349" s="5">
        <v>189</v>
      </c>
      <c r="Q349" s="5">
        <v>218</v>
      </c>
      <c r="R349" s="8">
        <v>1</v>
      </c>
      <c r="S349" s="8">
        <v>4</v>
      </c>
      <c r="T349" s="8">
        <v>4</v>
      </c>
      <c r="U349" s="8">
        <v>6</v>
      </c>
      <c r="V349" s="8">
        <v>1</v>
      </c>
      <c r="W349" t="s">
        <v>473</v>
      </c>
      <c r="X349" t="s">
        <v>473</v>
      </c>
      <c r="Y349" t="s">
        <v>473</v>
      </c>
      <c r="Z349" t="s">
        <v>473</v>
      </c>
      <c r="AA349" t="s">
        <v>473</v>
      </c>
      <c r="AB349" t="s">
        <v>473</v>
      </c>
      <c r="AC349" s="10">
        <v>3</v>
      </c>
      <c r="AD349" s="10">
        <v>11</v>
      </c>
      <c r="AE349" t="s">
        <v>474</v>
      </c>
    </row>
    <row r="350" spans="1:31" x14ac:dyDescent="0.25">
      <c r="A350">
        <v>8842</v>
      </c>
      <c r="B350">
        <v>1971</v>
      </c>
      <c r="C350" t="s">
        <v>466</v>
      </c>
      <c r="D350" t="s">
        <v>57</v>
      </c>
      <c r="E350" t="str">
        <f>IF(OR(Table1[[#This Row],[marital_status]]="Married", Table1[[#This Row],[marital_status]]="Together"), "Partnered", "Single")</f>
        <v>Single</v>
      </c>
      <c r="F350" s="7">
        <v>30372</v>
      </c>
      <c r="G350" s="8">
        <v>1</v>
      </c>
      <c r="H350" s="8">
        <v>1</v>
      </c>
      <c r="I350" s="8">
        <f>Table1[[#This Row],[kids]]+Table1[[#This Row],[teens]]</f>
        <v>2</v>
      </c>
      <c r="J350" s="9">
        <v>41268</v>
      </c>
      <c r="K350" s="8">
        <v>33</v>
      </c>
      <c r="L350" s="6">
        <v>15</v>
      </c>
      <c r="M350" s="5">
        <v>0</v>
      </c>
      <c r="N350" s="5">
        <v>12</v>
      </c>
      <c r="O350" s="5">
        <v>7</v>
      </c>
      <c r="P350" s="5">
        <v>3</v>
      </c>
      <c r="Q350" s="5">
        <v>7</v>
      </c>
      <c r="R350" s="8">
        <v>3</v>
      </c>
      <c r="S350" s="8">
        <v>2</v>
      </c>
      <c r="T350" s="8">
        <v>0</v>
      </c>
      <c r="U350" s="8">
        <v>3</v>
      </c>
      <c r="V350" s="8">
        <v>7</v>
      </c>
      <c r="W350" t="s">
        <v>473</v>
      </c>
      <c r="X350" t="s">
        <v>473</v>
      </c>
      <c r="Y350" t="s">
        <v>473</v>
      </c>
      <c r="Z350" t="s">
        <v>473</v>
      </c>
      <c r="AA350" t="s">
        <v>473</v>
      </c>
      <c r="AB350" t="s">
        <v>473</v>
      </c>
      <c r="AC350" s="10">
        <v>3</v>
      </c>
      <c r="AD350" s="10">
        <v>11</v>
      </c>
      <c r="AE350" t="s">
        <v>473</v>
      </c>
    </row>
    <row r="351" spans="1:31" x14ac:dyDescent="0.25">
      <c r="A351">
        <v>11030</v>
      </c>
      <c r="B351">
        <v>1976</v>
      </c>
      <c r="C351" t="s">
        <v>36</v>
      </c>
      <c r="D351" t="s">
        <v>34</v>
      </c>
      <c r="E351" t="str">
        <f>IF(OR(Table1[[#This Row],[marital_status]]="Married", Table1[[#This Row],[marital_status]]="Together"), "Partnered", "Single")</f>
        <v>Partnered</v>
      </c>
      <c r="F351" s="7">
        <v>33181</v>
      </c>
      <c r="G351" s="8">
        <v>1</v>
      </c>
      <c r="H351" s="8">
        <v>0</v>
      </c>
      <c r="I351" s="8">
        <f>Table1[[#This Row],[kids]]+Table1[[#This Row],[teens]]</f>
        <v>1</v>
      </c>
      <c r="J351" s="9">
        <v>41642</v>
      </c>
      <c r="K351" s="8">
        <v>90</v>
      </c>
      <c r="L351" s="6">
        <v>9</v>
      </c>
      <c r="M351" s="5">
        <v>0</v>
      </c>
      <c r="N351" s="5">
        <v>3</v>
      </c>
      <c r="O351" s="5">
        <v>0</v>
      </c>
      <c r="P351" s="5">
        <v>0</v>
      </c>
      <c r="Q351" s="5">
        <v>4</v>
      </c>
      <c r="R351" s="8">
        <v>1</v>
      </c>
      <c r="S351" s="8">
        <v>1</v>
      </c>
      <c r="T351" s="8">
        <v>0</v>
      </c>
      <c r="U351" s="8">
        <v>2</v>
      </c>
      <c r="V351" s="8">
        <v>6</v>
      </c>
      <c r="W351" t="s">
        <v>474</v>
      </c>
      <c r="X351" t="s">
        <v>473</v>
      </c>
      <c r="Y351" t="s">
        <v>473</v>
      </c>
      <c r="Z351" t="s">
        <v>473</v>
      </c>
      <c r="AA351" t="s">
        <v>473</v>
      </c>
      <c r="AB351" t="s">
        <v>473</v>
      </c>
      <c r="AC351" s="10">
        <v>3</v>
      </c>
      <c r="AD351" s="10">
        <v>11</v>
      </c>
      <c r="AE351" t="s">
        <v>473</v>
      </c>
    </row>
    <row r="352" spans="1:31" x14ac:dyDescent="0.25">
      <c r="A352">
        <v>2579</v>
      </c>
      <c r="B352">
        <v>1957</v>
      </c>
      <c r="C352" t="s">
        <v>466</v>
      </c>
      <c r="D352" t="s">
        <v>34</v>
      </c>
      <c r="E352" t="str">
        <f>IF(OR(Table1[[#This Row],[marital_status]]="Married", Table1[[#This Row],[marital_status]]="Together"), "Partnered", "Single")</f>
        <v>Partnered</v>
      </c>
      <c r="F352" s="7">
        <v>71113</v>
      </c>
      <c r="G352" s="8">
        <v>0</v>
      </c>
      <c r="H352" s="8">
        <v>1</v>
      </c>
      <c r="I352" s="8">
        <f>Table1[[#This Row],[kids]]+Table1[[#This Row],[teens]]</f>
        <v>1</v>
      </c>
      <c r="J352" s="9">
        <v>41625</v>
      </c>
      <c r="K352" s="8">
        <v>95</v>
      </c>
      <c r="L352" s="6">
        <v>495</v>
      </c>
      <c r="M352" s="5">
        <v>33</v>
      </c>
      <c r="N352" s="5">
        <v>255</v>
      </c>
      <c r="O352" s="5">
        <v>11</v>
      </c>
      <c r="P352" s="5">
        <v>33</v>
      </c>
      <c r="Q352" s="5">
        <v>8</v>
      </c>
      <c r="R352" s="8">
        <v>4</v>
      </c>
      <c r="S352" s="8">
        <v>6</v>
      </c>
      <c r="T352" s="8">
        <v>7</v>
      </c>
      <c r="U352" s="8">
        <v>9</v>
      </c>
      <c r="V352" s="8">
        <v>4</v>
      </c>
      <c r="W352" t="s">
        <v>473</v>
      </c>
      <c r="X352" t="s">
        <v>473</v>
      </c>
      <c r="Y352" t="s">
        <v>473</v>
      </c>
      <c r="Z352" t="s">
        <v>473</v>
      </c>
      <c r="AA352" t="s">
        <v>473</v>
      </c>
      <c r="AB352" t="s">
        <v>473</v>
      </c>
      <c r="AC352" s="10">
        <v>3</v>
      </c>
      <c r="AD352" s="10">
        <v>11</v>
      </c>
      <c r="AE352" t="s">
        <v>473</v>
      </c>
    </row>
    <row r="353" spans="1:31" x14ac:dyDescent="0.25">
      <c r="A353">
        <v>175</v>
      </c>
      <c r="B353">
        <v>1986</v>
      </c>
      <c r="C353" t="s">
        <v>466</v>
      </c>
      <c r="D353" t="s">
        <v>34</v>
      </c>
      <c r="E353" t="str">
        <f>IF(OR(Table1[[#This Row],[marital_status]]="Married", Table1[[#This Row],[marital_status]]="Together"), "Partnered", "Single")</f>
        <v>Partnered</v>
      </c>
      <c r="F353" s="7">
        <v>71952</v>
      </c>
      <c r="G353" s="8">
        <v>1</v>
      </c>
      <c r="H353" s="8">
        <v>0</v>
      </c>
      <c r="I353" s="8">
        <f>Table1[[#This Row],[kids]]+Table1[[#This Row],[teens]]</f>
        <v>1</v>
      </c>
      <c r="J353" s="9">
        <v>41284</v>
      </c>
      <c r="K353" s="8">
        <v>93</v>
      </c>
      <c r="L353" s="6">
        <v>656</v>
      </c>
      <c r="M353" s="5">
        <v>80</v>
      </c>
      <c r="N353" s="5">
        <v>455</v>
      </c>
      <c r="O353" s="5">
        <v>52</v>
      </c>
      <c r="P353" s="5">
        <v>107</v>
      </c>
      <c r="Q353" s="5">
        <v>93</v>
      </c>
      <c r="R353" s="8">
        <v>2</v>
      </c>
      <c r="S353" s="8">
        <v>8</v>
      </c>
      <c r="T353" s="8">
        <v>4</v>
      </c>
      <c r="U353" s="8">
        <v>8</v>
      </c>
      <c r="V353" s="8">
        <v>4</v>
      </c>
      <c r="W353" t="s">
        <v>474</v>
      </c>
      <c r="X353" t="s">
        <v>473</v>
      </c>
      <c r="Y353" t="s">
        <v>474</v>
      </c>
      <c r="Z353" t="s">
        <v>473</v>
      </c>
      <c r="AA353" t="s">
        <v>473</v>
      </c>
      <c r="AB353" t="s">
        <v>473</v>
      </c>
      <c r="AC353" s="10">
        <v>3</v>
      </c>
      <c r="AD353" s="10">
        <v>11</v>
      </c>
      <c r="AE353" t="s">
        <v>473</v>
      </c>
    </row>
    <row r="354" spans="1:31" x14ac:dyDescent="0.25">
      <c r="A354">
        <v>9185</v>
      </c>
      <c r="B354">
        <v>1966</v>
      </c>
      <c r="C354" t="s">
        <v>33</v>
      </c>
      <c r="D354" t="s">
        <v>30</v>
      </c>
      <c r="E354" t="str">
        <f>IF(OR(Table1[[#This Row],[marital_status]]="Married", Table1[[#This Row],[marital_status]]="Together"), "Partnered", "Single")</f>
        <v>Single</v>
      </c>
      <c r="F354" s="7">
        <v>69759</v>
      </c>
      <c r="G354" s="8">
        <v>0</v>
      </c>
      <c r="H354" s="8">
        <v>0</v>
      </c>
      <c r="I354" s="8">
        <f>Table1[[#This Row],[kids]]+Table1[[#This Row],[teens]]</f>
        <v>0</v>
      </c>
      <c r="J354" s="9">
        <v>41575</v>
      </c>
      <c r="K354" s="8">
        <v>38</v>
      </c>
      <c r="L354" s="6">
        <v>452</v>
      </c>
      <c r="M354" s="5">
        <v>20</v>
      </c>
      <c r="N354" s="5">
        <v>514</v>
      </c>
      <c r="O354" s="5">
        <v>13</v>
      </c>
      <c r="P354" s="5">
        <v>30</v>
      </c>
      <c r="Q354" s="5">
        <v>0</v>
      </c>
      <c r="R354" s="8">
        <v>3</v>
      </c>
      <c r="S354" s="8">
        <v>4</v>
      </c>
      <c r="T354" s="8">
        <v>6</v>
      </c>
      <c r="U354" s="8">
        <v>5</v>
      </c>
      <c r="V354" s="8">
        <v>3</v>
      </c>
      <c r="W354" t="s">
        <v>473</v>
      </c>
      <c r="X354" t="s">
        <v>473</v>
      </c>
      <c r="Y354" t="s">
        <v>473</v>
      </c>
      <c r="Z354" t="s">
        <v>473</v>
      </c>
      <c r="AA354" t="s">
        <v>473</v>
      </c>
      <c r="AB354" t="s">
        <v>473</v>
      </c>
      <c r="AC354" s="10">
        <v>3</v>
      </c>
      <c r="AD354" s="10">
        <v>11</v>
      </c>
      <c r="AE354" t="s">
        <v>474</v>
      </c>
    </row>
    <row r="355" spans="1:31" x14ac:dyDescent="0.25">
      <c r="A355">
        <v>11056</v>
      </c>
      <c r="B355">
        <v>1974</v>
      </c>
      <c r="C355" t="s">
        <v>466</v>
      </c>
      <c r="D355" t="s">
        <v>34</v>
      </c>
      <c r="E355" t="str">
        <f>IF(OR(Table1[[#This Row],[marital_status]]="Married", Table1[[#This Row],[marital_status]]="Together"), "Partnered", "Single")</f>
        <v>Partnered</v>
      </c>
      <c r="F355" s="7">
        <v>72099</v>
      </c>
      <c r="G355" s="8">
        <v>0</v>
      </c>
      <c r="H355" s="8">
        <v>0</v>
      </c>
      <c r="I355" s="8">
        <f>Table1[[#This Row],[kids]]+Table1[[#This Row],[teens]]</f>
        <v>0</v>
      </c>
      <c r="J355" s="9">
        <v>41209</v>
      </c>
      <c r="K355" s="8">
        <v>18</v>
      </c>
      <c r="L355" s="6">
        <v>546</v>
      </c>
      <c r="M355" s="5">
        <v>91</v>
      </c>
      <c r="N355" s="5">
        <v>410</v>
      </c>
      <c r="O355" s="5">
        <v>119</v>
      </c>
      <c r="P355" s="5">
        <v>0</v>
      </c>
      <c r="Q355" s="5">
        <v>22</v>
      </c>
      <c r="R355" s="8">
        <v>1</v>
      </c>
      <c r="S355" s="8">
        <v>3</v>
      </c>
      <c r="T355" s="8">
        <v>4</v>
      </c>
      <c r="U355" s="8">
        <v>10</v>
      </c>
      <c r="V355" s="8">
        <v>1</v>
      </c>
      <c r="W355" t="s">
        <v>473</v>
      </c>
      <c r="X355" t="s">
        <v>473</v>
      </c>
      <c r="Y355" t="s">
        <v>473</v>
      </c>
      <c r="Z355" t="s">
        <v>473</v>
      </c>
      <c r="AA355" t="s">
        <v>473</v>
      </c>
      <c r="AB355" t="s">
        <v>473</v>
      </c>
      <c r="AC355" s="10">
        <v>3</v>
      </c>
      <c r="AD355" s="10">
        <v>11</v>
      </c>
      <c r="AE355" t="s">
        <v>473</v>
      </c>
    </row>
    <row r="356" spans="1:31" x14ac:dyDescent="0.25">
      <c r="A356">
        <v>9365</v>
      </c>
      <c r="B356">
        <v>1976</v>
      </c>
      <c r="C356" t="s">
        <v>33</v>
      </c>
      <c r="D356" t="s">
        <v>30</v>
      </c>
      <c r="E356" t="str">
        <f>IF(OR(Table1[[#This Row],[marital_status]]="Married", Table1[[#This Row],[marital_status]]="Together"), "Partnered", "Single")</f>
        <v>Single</v>
      </c>
      <c r="F356" s="7">
        <v>60000</v>
      </c>
      <c r="G356" s="8">
        <v>0</v>
      </c>
      <c r="H356" s="8">
        <v>1</v>
      </c>
      <c r="I356" s="8">
        <f>Table1[[#This Row],[kids]]+Table1[[#This Row],[teens]]</f>
        <v>1</v>
      </c>
      <c r="J356" s="9">
        <v>41265</v>
      </c>
      <c r="K356" s="8">
        <v>57</v>
      </c>
      <c r="L356" s="6">
        <v>1048</v>
      </c>
      <c r="M356" s="5">
        <v>0</v>
      </c>
      <c r="N356" s="5">
        <v>217</v>
      </c>
      <c r="O356" s="5">
        <v>0</v>
      </c>
      <c r="P356" s="5">
        <v>0</v>
      </c>
      <c r="Q356" s="5">
        <v>12</v>
      </c>
      <c r="R356" s="8">
        <v>5</v>
      </c>
      <c r="S356" s="8">
        <v>11</v>
      </c>
      <c r="T356" s="8">
        <v>3</v>
      </c>
      <c r="U356" s="8">
        <v>5</v>
      </c>
      <c r="V356" s="8">
        <v>6</v>
      </c>
      <c r="W356" t="s">
        <v>473</v>
      </c>
      <c r="X356" t="s">
        <v>473</v>
      </c>
      <c r="Y356" t="s">
        <v>473</v>
      </c>
      <c r="Z356" t="s">
        <v>473</v>
      </c>
      <c r="AA356" t="s">
        <v>473</v>
      </c>
      <c r="AB356" t="s">
        <v>473</v>
      </c>
      <c r="AC356" s="10">
        <v>3</v>
      </c>
      <c r="AD356" s="10">
        <v>11</v>
      </c>
      <c r="AE356" t="s">
        <v>473</v>
      </c>
    </row>
    <row r="357" spans="1:31" x14ac:dyDescent="0.25">
      <c r="A357">
        <v>6201</v>
      </c>
      <c r="B357">
        <v>1978</v>
      </c>
      <c r="C357" t="s">
        <v>466</v>
      </c>
      <c r="D357" t="s">
        <v>30</v>
      </c>
      <c r="E357" t="str">
        <f>IF(OR(Table1[[#This Row],[marital_status]]="Married", Table1[[#This Row],[marital_status]]="Together"), "Partnered", "Single")</f>
        <v>Single</v>
      </c>
      <c r="F357" s="7">
        <v>38643</v>
      </c>
      <c r="G357" s="8">
        <v>1</v>
      </c>
      <c r="H357" s="8">
        <v>1</v>
      </c>
      <c r="I357" s="8">
        <f>Table1[[#This Row],[kids]]+Table1[[#This Row],[teens]]</f>
        <v>2</v>
      </c>
      <c r="J357" s="9">
        <v>41607</v>
      </c>
      <c r="K357" s="8">
        <v>45</v>
      </c>
      <c r="L357" s="6">
        <v>22</v>
      </c>
      <c r="M357" s="5">
        <v>2</v>
      </c>
      <c r="N357" s="5">
        <v>14</v>
      </c>
      <c r="O357" s="5">
        <v>0</v>
      </c>
      <c r="P357" s="5">
        <v>1</v>
      </c>
      <c r="Q357" s="5">
        <v>10</v>
      </c>
      <c r="R357" s="8">
        <v>2</v>
      </c>
      <c r="S357" s="8">
        <v>2</v>
      </c>
      <c r="T357" s="8">
        <v>0</v>
      </c>
      <c r="U357" s="8">
        <v>3</v>
      </c>
      <c r="V357" s="8">
        <v>7</v>
      </c>
      <c r="W357" t="s">
        <v>473</v>
      </c>
      <c r="X357" t="s">
        <v>473</v>
      </c>
      <c r="Y357" t="s">
        <v>473</v>
      </c>
      <c r="Z357" t="s">
        <v>473</v>
      </c>
      <c r="AA357" t="s">
        <v>473</v>
      </c>
      <c r="AB357" t="s">
        <v>474</v>
      </c>
      <c r="AC357" s="10">
        <v>3</v>
      </c>
      <c r="AD357" s="10">
        <v>11</v>
      </c>
      <c r="AE357" t="s">
        <v>473</v>
      </c>
    </row>
    <row r="358" spans="1:31" x14ac:dyDescent="0.25">
      <c r="A358">
        <v>2061</v>
      </c>
      <c r="B358">
        <v>1955</v>
      </c>
      <c r="C358" t="s">
        <v>466</v>
      </c>
      <c r="D358" t="s">
        <v>34</v>
      </c>
      <c r="E358" t="str">
        <f>IF(OR(Table1[[#This Row],[marital_status]]="Married", Table1[[#This Row],[marital_status]]="Together"), "Partnered", "Single")</f>
        <v>Partnered</v>
      </c>
      <c r="F358" s="7">
        <v>50737</v>
      </c>
      <c r="G358" s="8">
        <v>0</v>
      </c>
      <c r="H358" s="8">
        <v>1</v>
      </c>
      <c r="I358" s="8">
        <f>Table1[[#This Row],[kids]]+Table1[[#This Row],[teens]]</f>
        <v>1</v>
      </c>
      <c r="J358" s="9">
        <v>41405</v>
      </c>
      <c r="K358" s="8">
        <v>61</v>
      </c>
      <c r="L358" s="6">
        <v>78</v>
      </c>
      <c r="M358" s="5">
        <v>0</v>
      </c>
      <c r="N358" s="5">
        <v>11</v>
      </c>
      <c r="O358" s="5">
        <v>0</v>
      </c>
      <c r="P358" s="5">
        <v>0</v>
      </c>
      <c r="Q358" s="5">
        <v>10</v>
      </c>
      <c r="R358" s="8">
        <v>1</v>
      </c>
      <c r="S358" s="8">
        <v>2</v>
      </c>
      <c r="T358" s="8">
        <v>0</v>
      </c>
      <c r="U358" s="8">
        <v>4</v>
      </c>
      <c r="V358" s="8">
        <v>6</v>
      </c>
      <c r="W358" t="s">
        <v>473</v>
      </c>
      <c r="X358" t="s">
        <v>474</v>
      </c>
      <c r="Y358" t="s">
        <v>473</v>
      </c>
      <c r="Z358" t="s">
        <v>473</v>
      </c>
      <c r="AA358" t="s">
        <v>473</v>
      </c>
      <c r="AB358" t="s">
        <v>473</v>
      </c>
      <c r="AC358" s="10">
        <v>3</v>
      </c>
      <c r="AD358" s="10">
        <v>11</v>
      </c>
      <c r="AE358" t="s">
        <v>473</v>
      </c>
    </row>
    <row r="359" spans="1:31" x14ac:dyDescent="0.25">
      <c r="A359">
        <v>6184</v>
      </c>
      <c r="B359">
        <v>1969</v>
      </c>
      <c r="C359" t="s">
        <v>33</v>
      </c>
      <c r="D359" t="s">
        <v>34</v>
      </c>
      <c r="E359" t="str">
        <f>IF(OR(Table1[[#This Row],[marital_status]]="Married", Table1[[#This Row],[marital_status]]="Together"), "Partnered", "Single")</f>
        <v>Partnered</v>
      </c>
      <c r="F359" s="7">
        <v>68462</v>
      </c>
      <c r="G359" s="8">
        <v>0</v>
      </c>
      <c r="H359" s="8">
        <v>0</v>
      </c>
      <c r="I359" s="8">
        <f>Table1[[#This Row],[kids]]+Table1[[#This Row],[teens]]</f>
        <v>0</v>
      </c>
      <c r="J359" s="9">
        <v>41255</v>
      </c>
      <c r="K359" s="8">
        <v>6</v>
      </c>
      <c r="L359" s="6">
        <v>561</v>
      </c>
      <c r="M359" s="5">
        <v>64</v>
      </c>
      <c r="N359" s="5">
        <v>785</v>
      </c>
      <c r="O359" s="5">
        <v>84</v>
      </c>
      <c r="P359" s="5">
        <v>128</v>
      </c>
      <c r="Q359" s="5">
        <v>48</v>
      </c>
      <c r="R359" s="8">
        <v>1</v>
      </c>
      <c r="S359" s="8">
        <v>3</v>
      </c>
      <c r="T359" s="8">
        <v>3</v>
      </c>
      <c r="U359" s="8">
        <v>8</v>
      </c>
      <c r="V359" s="8">
        <v>1</v>
      </c>
      <c r="W359" t="s">
        <v>473</v>
      </c>
      <c r="X359" t="s">
        <v>473</v>
      </c>
      <c r="Y359" t="s">
        <v>473</v>
      </c>
      <c r="Z359" t="s">
        <v>473</v>
      </c>
      <c r="AA359" t="s">
        <v>473</v>
      </c>
      <c r="AB359" t="s">
        <v>473</v>
      </c>
      <c r="AC359" s="10">
        <v>3</v>
      </c>
      <c r="AD359" s="10">
        <v>11</v>
      </c>
      <c r="AE359" t="s">
        <v>473</v>
      </c>
    </row>
    <row r="360" spans="1:31" x14ac:dyDescent="0.25">
      <c r="A360">
        <v>6142</v>
      </c>
      <c r="B360">
        <v>1943</v>
      </c>
      <c r="C360" t="s">
        <v>36</v>
      </c>
      <c r="D360" t="s">
        <v>34</v>
      </c>
      <c r="E360" t="str">
        <f>IF(OR(Table1[[#This Row],[marital_status]]="Married", Table1[[#This Row],[marital_status]]="Together"), "Partnered", "Single")</f>
        <v>Partnered</v>
      </c>
      <c r="F360" s="7">
        <v>65073</v>
      </c>
      <c r="G360" s="8">
        <v>0</v>
      </c>
      <c r="H360" s="8">
        <v>0</v>
      </c>
      <c r="I360" s="8">
        <f>Table1[[#This Row],[kids]]+Table1[[#This Row],[teens]]</f>
        <v>0</v>
      </c>
      <c r="J360" s="9">
        <v>41506</v>
      </c>
      <c r="K360" s="8">
        <v>65</v>
      </c>
      <c r="L360" s="6">
        <v>629</v>
      </c>
      <c r="M360" s="5">
        <v>17</v>
      </c>
      <c r="N360" s="5">
        <v>177</v>
      </c>
      <c r="O360" s="5">
        <v>69</v>
      </c>
      <c r="P360" s="5">
        <v>0</v>
      </c>
      <c r="Q360" s="5">
        <v>8</v>
      </c>
      <c r="R360" s="8">
        <v>1</v>
      </c>
      <c r="S360" s="8">
        <v>5</v>
      </c>
      <c r="T360" s="8">
        <v>3</v>
      </c>
      <c r="U360" s="8">
        <v>5</v>
      </c>
      <c r="V360" s="8">
        <v>2</v>
      </c>
      <c r="W360" t="s">
        <v>473</v>
      </c>
      <c r="X360" t="s">
        <v>473</v>
      </c>
      <c r="Y360" t="s">
        <v>473</v>
      </c>
      <c r="Z360" t="s">
        <v>473</v>
      </c>
      <c r="AA360" t="s">
        <v>473</v>
      </c>
      <c r="AB360" t="s">
        <v>474</v>
      </c>
      <c r="AC360" s="10">
        <v>3</v>
      </c>
      <c r="AD360" s="10">
        <v>11</v>
      </c>
      <c r="AE360" t="s">
        <v>473</v>
      </c>
    </row>
    <row r="361" spans="1:31" x14ac:dyDescent="0.25">
      <c r="A361">
        <v>4107</v>
      </c>
      <c r="B361">
        <v>1948</v>
      </c>
      <c r="C361" t="s">
        <v>33</v>
      </c>
      <c r="D361" t="s">
        <v>31</v>
      </c>
      <c r="E361" t="str">
        <f>IF(OR(Table1[[#This Row],[marital_status]]="Married", Table1[[#This Row],[marital_status]]="Together"), "Partnered", "Single")</f>
        <v>Partnered</v>
      </c>
      <c r="F361" s="7">
        <v>46681</v>
      </c>
      <c r="G361" s="8">
        <v>0</v>
      </c>
      <c r="H361" s="8">
        <v>2</v>
      </c>
      <c r="I361" s="8">
        <f>Table1[[#This Row],[kids]]+Table1[[#This Row],[teens]]</f>
        <v>2</v>
      </c>
      <c r="J361" s="9">
        <v>41555</v>
      </c>
      <c r="K361" s="8">
        <v>52</v>
      </c>
      <c r="L361" s="6">
        <v>269</v>
      </c>
      <c r="M361" s="5">
        <v>15</v>
      </c>
      <c r="N361" s="5">
        <v>69</v>
      </c>
      <c r="O361" s="5">
        <v>15</v>
      </c>
      <c r="P361" s="5">
        <v>19</v>
      </c>
      <c r="Q361" s="5">
        <v>38</v>
      </c>
      <c r="R361" s="8">
        <v>2</v>
      </c>
      <c r="S361" s="8">
        <v>4</v>
      </c>
      <c r="T361" s="8">
        <v>6</v>
      </c>
      <c r="U361" s="8">
        <v>4</v>
      </c>
      <c r="V361" s="8">
        <v>5</v>
      </c>
      <c r="W361" t="s">
        <v>473</v>
      </c>
      <c r="X361" t="s">
        <v>473</v>
      </c>
      <c r="Y361" t="s">
        <v>473</v>
      </c>
      <c r="Z361" t="s">
        <v>473</v>
      </c>
      <c r="AA361" t="s">
        <v>473</v>
      </c>
      <c r="AB361" t="s">
        <v>473</v>
      </c>
      <c r="AC361" s="10">
        <v>3</v>
      </c>
      <c r="AD361" s="10">
        <v>11</v>
      </c>
      <c r="AE361" t="s">
        <v>473</v>
      </c>
    </row>
    <row r="362" spans="1:31" x14ac:dyDescent="0.25">
      <c r="A362">
        <v>7274</v>
      </c>
      <c r="B362">
        <v>1957</v>
      </c>
      <c r="C362" t="s">
        <v>466</v>
      </c>
      <c r="D362" t="s">
        <v>34</v>
      </c>
      <c r="E362" t="str">
        <f>IF(OR(Table1[[#This Row],[marital_status]]="Married", Table1[[#This Row],[marital_status]]="Together"), "Partnered", "Single")</f>
        <v>Partnered</v>
      </c>
      <c r="F362" s="7">
        <v>78618</v>
      </c>
      <c r="G362" s="8">
        <v>0</v>
      </c>
      <c r="H362" s="8">
        <v>0</v>
      </c>
      <c r="I362" s="8">
        <f>Table1[[#This Row],[kids]]+Table1[[#This Row],[teens]]</f>
        <v>0</v>
      </c>
      <c r="J362" s="9">
        <v>41180</v>
      </c>
      <c r="K362" s="8">
        <v>87</v>
      </c>
      <c r="L362" s="6">
        <v>736</v>
      </c>
      <c r="M362" s="5">
        <v>163</v>
      </c>
      <c r="N362" s="5">
        <v>818</v>
      </c>
      <c r="O362" s="5">
        <v>212</v>
      </c>
      <c r="P362" s="5">
        <v>163</v>
      </c>
      <c r="Q362" s="5">
        <v>61</v>
      </c>
      <c r="R362" s="8">
        <v>1</v>
      </c>
      <c r="S362" s="8">
        <v>4</v>
      </c>
      <c r="T362" s="8">
        <v>7</v>
      </c>
      <c r="U362" s="8">
        <v>10</v>
      </c>
      <c r="V362" s="8">
        <v>2</v>
      </c>
      <c r="W362" t="s">
        <v>473</v>
      </c>
      <c r="X362" t="s">
        <v>474</v>
      </c>
      <c r="Y362" t="s">
        <v>473</v>
      </c>
      <c r="Z362" t="s">
        <v>473</v>
      </c>
      <c r="AA362" t="s">
        <v>473</v>
      </c>
      <c r="AB362" t="s">
        <v>473</v>
      </c>
      <c r="AC362" s="10">
        <v>3</v>
      </c>
      <c r="AD362" s="10">
        <v>11</v>
      </c>
      <c r="AE362" t="s">
        <v>473</v>
      </c>
    </row>
    <row r="363" spans="1:31" x14ac:dyDescent="0.25">
      <c r="A363">
        <v>9336</v>
      </c>
      <c r="B363">
        <v>1969</v>
      </c>
      <c r="C363" t="s">
        <v>33</v>
      </c>
      <c r="D363" t="s">
        <v>57</v>
      </c>
      <c r="E363" t="str">
        <f>IF(OR(Table1[[#This Row],[marital_status]]="Married", Table1[[#This Row],[marital_status]]="Together"), "Partnered", "Single")</f>
        <v>Single</v>
      </c>
      <c r="F363" s="7">
        <v>62187</v>
      </c>
      <c r="G363" s="8">
        <v>0</v>
      </c>
      <c r="H363" s="8">
        <v>1</v>
      </c>
      <c r="I363" s="8">
        <f>Table1[[#This Row],[kids]]+Table1[[#This Row],[teens]]</f>
        <v>1</v>
      </c>
      <c r="J363" s="9">
        <v>41720</v>
      </c>
      <c r="K363" s="8">
        <v>38</v>
      </c>
      <c r="L363" s="6">
        <v>512</v>
      </c>
      <c r="M363" s="5">
        <v>0</v>
      </c>
      <c r="N363" s="5">
        <v>83</v>
      </c>
      <c r="O363" s="5">
        <v>0</v>
      </c>
      <c r="P363" s="5">
        <v>0</v>
      </c>
      <c r="Q363" s="5">
        <v>41</v>
      </c>
      <c r="R363" s="8">
        <v>3</v>
      </c>
      <c r="S363" s="8">
        <v>6</v>
      </c>
      <c r="T363" s="8">
        <v>2</v>
      </c>
      <c r="U363" s="8">
        <v>10</v>
      </c>
      <c r="V363" s="8">
        <v>4</v>
      </c>
      <c r="W363" t="s">
        <v>473</v>
      </c>
      <c r="X363" t="s">
        <v>473</v>
      </c>
      <c r="Y363" t="s">
        <v>473</v>
      </c>
      <c r="Z363" t="s">
        <v>473</v>
      </c>
      <c r="AA363" t="s">
        <v>473</v>
      </c>
      <c r="AB363" t="s">
        <v>473</v>
      </c>
      <c r="AC363" s="10">
        <v>3</v>
      </c>
      <c r="AD363" s="10">
        <v>11</v>
      </c>
      <c r="AE363" t="s">
        <v>473</v>
      </c>
    </row>
    <row r="364" spans="1:31" x14ac:dyDescent="0.25">
      <c r="A364">
        <v>2958</v>
      </c>
      <c r="B364">
        <v>1978</v>
      </c>
      <c r="C364" t="s">
        <v>466</v>
      </c>
      <c r="D364" t="s">
        <v>34</v>
      </c>
      <c r="E364" t="str">
        <f>IF(OR(Table1[[#This Row],[marital_status]]="Married", Table1[[#This Row],[marital_status]]="Together"), "Partnered", "Single")</f>
        <v>Partnered</v>
      </c>
      <c r="F364" s="7">
        <v>28442</v>
      </c>
      <c r="G364" s="8">
        <v>2</v>
      </c>
      <c r="H364" s="8">
        <v>0</v>
      </c>
      <c r="I364" s="8">
        <f>Table1[[#This Row],[kids]]+Table1[[#This Row],[teens]]</f>
        <v>2</v>
      </c>
      <c r="J364" s="9">
        <v>41694</v>
      </c>
      <c r="K364" s="8">
        <v>53</v>
      </c>
      <c r="L364" s="6">
        <v>19</v>
      </c>
      <c r="M364" s="5">
        <v>3</v>
      </c>
      <c r="N364" s="5">
        <v>10</v>
      </c>
      <c r="O364" s="5">
        <v>11</v>
      </c>
      <c r="P364" s="5">
        <v>8</v>
      </c>
      <c r="Q364" s="5">
        <v>6</v>
      </c>
      <c r="R364" s="8">
        <v>3</v>
      </c>
      <c r="S364" s="8">
        <v>2</v>
      </c>
      <c r="T364" s="8">
        <v>1</v>
      </c>
      <c r="U364" s="8">
        <v>4</v>
      </c>
      <c r="V364" s="8">
        <v>4</v>
      </c>
      <c r="W364" t="s">
        <v>473</v>
      </c>
      <c r="X364" t="s">
        <v>473</v>
      </c>
      <c r="Y364" t="s">
        <v>473</v>
      </c>
      <c r="Z364" t="s">
        <v>473</v>
      </c>
      <c r="AA364" t="s">
        <v>473</v>
      </c>
      <c r="AB364" t="s">
        <v>473</v>
      </c>
      <c r="AC364" s="10">
        <v>3</v>
      </c>
      <c r="AD364" s="10">
        <v>11</v>
      </c>
      <c r="AE364" t="s">
        <v>473</v>
      </c>
    </row>
    <row r="365" spans="1:31" x14ac:dyDescent="0.25">
      <c r="A365">
        <v>933</v>
      </c>
      <c r="B365">
        <v>1978</v>
      </c>
      <c r="C365" t="s">
        <v>33</v>
      </c>
      <c r="D365" t="s">
        <v>34</v>
      </c>
      <c r="E365" t="str">
        <f>IF(OR(Table1[[#This Row],[marital_status]]="Married", Table1[[#This Row],[marital_status]]="Together"), "Partnered", "Single")</f>
        <v>Partnered</v>
      </c>
      <c r="F365" s="7">
        <v>37717</v>
      </c>
      <c r="G365" s="8">
        <v>1</v>
      </c>
      <c r="H365" s="8">
        <v>0</v>
      </c>
      <c r="I365" s="8">
        <f>Table1[[#This Row],[kids]]+Table1[[#This Row],[teens]]</f>
        <v>1</v>
      </c>
      <c r="J365" s="9">
        <v>41236</v>
      </c>
      <c r="K365" s="8">
        <v>31</v>
      </c>
      <c r="L365" s="6">
        <v>9</v>
      </c>
      <c r="M365" s="5">
        <v>0</v>
      </c>
      <c r="N365" s="5">
        <v>6</v>
      </c>
      <c r="O365" s="5">
        <v>4</v>
      </c>
      <c r="P365" s="5">
        <v>1</v>
      </c>
      <c r="Q365" s="5">
        <v>5</v>
      </c>
      <c r="R365" s="8">
        <v>1</v>
      </c>
      <c r="S365" s="8">
        <v>1</v>
      </c>
      <c r="T365" s="8">
        <v>0</v>
      </c>
      <c r="U365" s="8">
        <v>2</v>
      </c>
      <c r="V365" s="8">
        <v>9</v>
      </c>
      <c r="W365" t="s">
        <v>473</v>
      </c>
      <c r="X365" t="s">
        <v>473</v>
      </c>
      <c r="Y365" t="s">
        <v>473</v>
      </c>
      <c r="Z365" t="s">
        <v>473</v>
      </c>
      <c r="AA365" t="s">
        <v>473</v>
      </c>
      <c r="AB365" t="s">
        <v>473</v>
      </c>
      <c r="AC365" s="10">
        <v>3</v>
      </c>
      <c r="AD365" s="10">
        <v>11</v>
      </c>
      <c r="AE365" t="s">
        <v>473</v>
      </c>
    </row>
    <row r="366" spans="1:31" x14ac:dyDescent="0.25">
      <c r="A366">
        <v>5837</v>
      </c>
      <c r="B366">
        <v>1967</v>
      </c>
      <c r="C366" t="s">
        <v>466</v>
      </c>
      <c r="D366" t="s">
        <v>34</v>
      </c>
      <c r="E366" t="str">
        <f>IF(OR(Table1[[#This Row],[marital_status]]="Married", Table1[[#This Row],[marital_status]]="Together"), "Partnered", "Single")</f>
        <v>Partnered</v>
      </c>
      <c r="F366" s="7">
        <v>51479</v>
      </c>
      <c r="G366" s="8">
        <v>1</v>
      </c>
      <c r="H366" s="8">
        <v>1</v>
      </c>
      <c r="I366" s="8">
        <f>Table1[[#This Row],[kids]]+Table1[[#This Row],[teens]]</f>
        <v>2</v>
      </c>
      <c r="J366" s="9">
        <v>41271</v>
      </c>
      <c r="K366" s="8">
        <v>67</v>
      </c>
      <c r="L366" s="6">
        <v>247</v>
      </c>
      <c r="M366" s="5">
        <v>8</v>
      </c>
      <c r="N366" s="5">
        <v>160</v>
      </c>
      <c r="O366" s="5">
        <v>6</v>
      </c>
      <c r="P366" s="5">
        <v>8</v>
      </c>
      <c r="Q366" s="5">
        <v>65</v>
      </c>
      <c r="R366" s="8">
        <v>7</v>
      </c>
      <c r="S366" s="8">
        <v>6</v>
      </c>
      <c r="T366" s="8">
        <v>3</v>
      </c>
      <c r="U366" s="8">
        <v>6</v>
      </c>
      <c r="V366" s="8">
        <v>7</v>
      </c>
      <c r="W366" t="s">
        <v>473</v>
      </c>
      <c r="X366" t="s">
        <v>473</v>
      </c>
      <c r="Y366" t="s">
        <v>473</v>
      </c>
      <c r="Z366" t="s">
        <v>473</v>
      </c>
      <c r="AA366" t="s">
        <v>473</v>
      </c>
      <c r="AB366" t="s">
        <v>473</v>
      </c>
      <c r="AC366" s="10">
        <v>3</v>
      </c>
      <c r="AD366" s="10">
        <v>11</v>
      </c>
      <c r="AE366" t="s">
        <v>473</v>
      </c>
    </row>
    <row r="367" spans="1:31" x14ac:dyDescent="0.25">
      <c r="A367">
        <v>10704</v>
      </c>
      <c r="B367">
        <v>1969</v>
      </c>
      <c r="C367" t="s">
        <v>466</v>
      </c>
      <c r="D367" t="s">
        <v>30</v>
      </c>
      <c r="E367" t="str">
        <f>IF(OR(Table1[[#This Row],[marital_status]]="Married", Table1[[#This Row],[marital_status]]="Together"), "Partnered", "Single")</f>
        <v>Single</v>
      </c>
      <c r="F367" s="7">
        <v>54803</v>
      </c>
      <c r="G367" s="8">
        <v>0</v>
      </c>
      <c r="H367" s="8">
        <v>1</v>
      </c>
      <c r="I367" s="8">
        <f>Table1[[#This Row],[kids]]+Table1[[#This Row],[teens]]</f>
        <v>1</v>
      </c>
      <c r="J367" s="9">
        <v>41142</v>
      </c>
      <c r="K367" s="8">
        <v>65</v>
      </c>
      <c r="L367" s="6">
        <v>404</v>
      </c>
      <c r="M367" s="5">
        <v>0</v>
      </c>
      <c r="N367" s="5">
        <v>92</v>
      </c>
      <c r="O367" s="5">
        <v>28</v>
      </c>
      <c r="P367" s="5">
        <v>27</v>
      </c>
      <c r="Q367" s="5">
        <v>142</v>
      </c>
      <c r="R367" s="8">
        <v>2</v>
      </c>
      <c r="S367" s="8">
        <v>6</v>
      </c>
      <c r="T367" s="8">
        <v>2</v>
      </c>
      <c r="U367" s="8">
        <v>9</v>
      </c>
      <c r="V367" s="8">
        <v>4</v>
      </c>
      <c r="W367" t="s">
        <v>473</v>
      </c>
      <c r="X367" t="s">
        <v>473</v>
      </c>
      <c r="Y367" t="s">
        <v>473</v>
      </c>
      <c r="Z367" t="s">
        <v>473</v>
      </c>
      <c r="AA367" t="s">
        <v>473</v>
      </c>
      <c r="AB367" t="s">
        <v>473</v>
      </c>
      <c r="AC367" s="10">
        <v>3</v>
      </c>
      <c r="AD367" s="10">
        <v>11</v>
      </c>
      <c r="AE367" t="s">
        <v>473</v>
      </c>
    </row>
    <row r="368" spans="1:31" x14ac:dyDescent="0.25">
      <c r="A368">
        <v>5125</v>
      </c>
      <c r="B368">
        <v>1960</v>
      </c>
      <c r="C368" t="s">
        <v>466</v>
      </c>
      <c r="D368" t="s">
        <v>34</v>
      </c>
      <c r="E368" t="str">
        <f>IF(OR(Table1[[#This Row],[marital_status]]="Married", Table1[[#This Row],[marital_status]]="Together"), "Partnered", "Single")</f>
        <v>Partnered</v>
      </c>
      <c r="F368" s="7">
        <v>79530</v>
      </c>
      <c r="G368" s="8">
        <v>0</v>
      </c>
      <c r="H368" s="8">
        <v>0</v>
      </c>
      <c r="I368" s="8">
        <f>Table1[[#This Row],[kids]]+Table1[[#This Row],[teens]]</f>
        <v>0</v>
      </c>
      <c r="J368" s="9">
        <v>41411</v>
      </c>
      <c r="K368" s="8">
        <v>64</v>
      </c>
      <c r="L368" s="6">
        <v>333</v>
      </c>
      <c r="M368" s="5">
        <v>0</v>
      </c>
      <c r="N368" s="5">
        <v>815</v>
      </c>
      <c r="O368" s="5">
        <v>129</v>
      </c>
      <c r="P368" s="5">
        <v>42</v>
      </c>
      <c r="Q368" s="5">
        <v>29</v>
      </c>
      <c r="R368" s="8">
        <v>1</v>
      </c>
      <c r="S368" s="8">
        <v>4</v>
      </c>
      <c r="T368" s="8">
        <v>10</v>
      </c>
      <c r="U368" s="8">
        <v>11</v>
      </c>
      <c r="V368" s="8">
        <v>2</v>
      </c>
      <c r="W368" t="s">
        <v>473</v>
      </c>
      <c r="X368" t="s">
        <v>473</v>
      </c>
      <c r="Y368" t="s">
        <v>473</v>
      </c>
      <c r="Z368" t="s">
        <v>473</v>
      </c>
      <c r="AA368" t="s">
        <v>473</v>
      </c>
      <c r="AB368" t="s">
        <v>473</v>
      </c>
      <c r="AC368" s="10">
        <v>3</v>
      </c>
      <c r="AD368" s="10">
        <v>11</v>
      </c>
      <c r="AE368" t="s">
        <v>473</v>
      </c>
    </row>
    <row r="369" spans="1:31" x14ac:dyDescent="0.25">
      <c r="A369">
        <v>4432</v>
      </c>
      <c r="B369">
        <v>1976</v>
      </c>
      <c r="C369" t="s">
        <v>466</v>
      </c>
      <c r="D369" t="s">
        <v>37</v>
      </c>
      <c r="E369" t="str">
        <f>IF(OR(Table1[[#This Row],[marital_status]]="Married", Table1[[#This Row],[marital_status]]="Together"), "Partnered", "Single")</f>
        <v>Single</v>
      </c>
      <c r="F369" s="7">
        <v>31615</v>
      </c>
      <c r="G369" s="8">
        <v>1</v>
      </c>
      <c r="H369" s="8">
        <v>0</v>
      </c>
      <c r="I369" s="8">
        <f>Table1[[#This Row],[kids]]+Table1[[#This Row],[teens]]</f>
        <v>1</v>
      </c>
      <c r="J369" s="9">
        <v>41349</v>
      </c>
      <c r="K369" s="8">
        <v>82</v>
      </c>
      <c r="L369" s="6">
        <v>2</v>
      </c>
      <c r="M369" s="5">
        <v>3</v>
      </c>
      <c r="N369" s="5">
        <v>20</v>
      </c>
      <c r="O369" s="5">
        <v>6</v>
      </c>
      <c r="P369" s="5">
        <v>11</v>
      </c>
      <c r="Q369" s="5">
        <v>9</v>
      </c>
      <c r="R369" s="8">
        <v>2</v>
      </c>
      <c r="S369" s="8">
        <v>2</v>
      </c>
      <c r="T369" s="8">
        <v>0</v>
      </c>
      <c r="U369" s="8">
        <v>3</v>
      </c>
      <c r="V369" s="8">
        <v>7</v>
      </c>
      <c r="W369" t="s">
        <v>473</v>
      </c>
      <c r="X369" t="s">
        <v>473</v>
      </c>
      <c r="Y369" t="s">
        <v>473</v>
      </c>
      <c r="Z369" t="s">
        <v>473</v>
      </c>
      <c r="AA369" t="s">
        <v>473</v>
      </c>
      <c r="AB369" t="s">
        <v>473</v>
      </c>
      <c r="AC369" s="10">
        <v>3</v>
      </c>
      <c r="AD369" s="10">
        <v>11</v>
      </c>
      <c r="AE369" t="s">
        <v>473</v>
      </c>
    </row>
    <row r="370" spans="1:31" x14ac:dyDescent="0.25">
      <c r="A370">
        <v>5955</v>
      </c>
      <c r="B370">
        <v>1962</v>
      </c>
      <c r="C370" t="s">
        <v>466</v>
      </c>
      <c r="D370" t="s">
        <v>31</v>
      </c>
      <c r="E370" t="str">
        <f>IF(OR(Table1[[#This Row],[marital_status]]="Married", Table1[[#This Row],[marital_status]]="Together"), "Partnered", "Single")</f>
        <v>Partnered</v>
      </c>
      <c r="F370" s="7">
        <v>72025</v>
      </c>
      <c r="G370" s="8">
        <v>0</v>
      </c>
      <c r="H370" s="8">
        <v>0</v>
      </c>
      <c r="I370" s="8">
        <f>Table1[[#This Row],[kids]]+Table1[[#This Row],[teens]]</f>
        <v>0</v>
      </c>
      <c r="J370" s="9">
        <v>41230</v>
      </c>
      <c r="K370" s="8">
        <v>27</v>
      </c>
      <c r="L370" s="6">
        <v>833</v>
      </c>
      <c r="M370" s="5">
        <v>33</v>
      </c>
      <c r="N370" s="5">
        <v>549</v>
      </c>
      <c r="O370" s="5">
        <v>151</v>
      </c>
      <c r="P370" s="5">
        <v>133</v>
      </c>
      <c r="Q370" s="5">
        <v>233</v>
      </c>
      <c r="R370" s="8">
        <v>1</v>
      </c>
      <c r="S370" s="8">
        <v>4</v>
      </c>
      <c r="T370" s="8">
        <v>3</v>
      </c>
      <c r="U370" s="8">
        <v>8</v>
      </c>
      <c r="V370" s="8">
        <v>3</v>
      </c>
      <c r="W370" t="s">
        <v>473</v>
      </c>
      <c r="X370" t="s">
        <v>473</v>
      </c>
      <c r="Y370" t="s">
        <v>473</v>
      </c>
      <c r="Z370" t="s">
        <v>473</v>
      </c>
      <c r="AA370" t="s">
        <v>473</v>
      </c>
      <c r="AB370" t="s">
        <v>473</v>
      </c>
      <c r="AC370" s="10">
        <v>3</v>
      </c>
      <c r="AD370" s="10">
        <v>11</v>
      </c>
      <c r="AE370" t="s">
        <v>473</v>
      </c>
    </row>
    <row r="371" spans="1:31" x14ac:dyDescent="0.25">
      <c r="A371">
        <v>2928</v>
      </c>
      <c r="B371">
        <v>1975</v>
      </c>
      <c r="C371" t="s">
        <v>33</v>
      </c>
      <c r="D371" t="s">
        <v>30</v>
      </c>
      <c r="E371" t="str">
        <f>IF(OR(Table1[[#This Row],[marital_status]]="Married", Table1[[#This Row],[marital_status]]="Together"), "Partnered", "Single")</f>
        <v>Single</v>
      </c>
      <c r="F371" s="7">
        <v>52614</v>
      </c>
      <c r="G371" s="8">
        <v>0</v>
      </c>
      <c r="H371" s="8">
        <v>1</v>
      </c>
      <c r="I371" s="8">
        <f>Table1[[#This Row],[kids]]+Table1[[#This Row],[teens]]</f>
        <v>1</v>
      </c>
      <c r="J371" s="9">
        <v>41244</v>
      </c>
      <c r="K371" s="8">
        <v>63</v>
      </c>
      <c r="L371" s="6">
        <v>789</v>
      </c>
      <c r="M371" s="5">
        <v>0</v>
      </c>
      <c r="N371" s="5">
        <v>142</v>
      </c>
      <c r="O371" s="5">
        <v>12</v>
      </c>
      <c r="P371" s="5">
        <v>9</v>
      </c>
      <c r="Q371" s="5">
        <v>38</v>
      </c>
      <c r="R371" s="8">
        <v>2</v>
      </c>
      <c r="S371" s="8">
        <v>2</v>
      </c>
      <c r="T371" s="8">
        <v>4</v>
      </c>
      <c r="U371" s="8">
        <v>8</v>
      </c>
      <c r="V371" s="8">
        <v>8</v>
      </c>
      <c r="W371" t="s">
        <v>473</v>
      </c>
      <c r="X371" t="s">
        <v>473</v>
      </c>
      <c r="Y371" t="s">
        <v>473</v>
      </c>
      <c r="Z371" t="s">
        <v>473</v>
      </c>
      <c r="AA371" t="s">
        <v>473</v>
      </c>
      <c r="AB371" t="s">
        <v>473</v>
      </c>
      <c r="AC371" s="10">
        <v>3</v>
      </c>
      <c r="AD371" s="10">
        <v>11</v>
      </c>
      <c r="AE371" t="s">
        <v>473</v>
      </c>
    </row>
    <row r="372" spans="1:31" x14ac:dyDescent="0.25">
      <c r="A372">
        <v>5680</v>
      </c>
      <c r="B372">
        <v>1984</v>
      </c>
      <c r="C372" t="s">
        <v>46</v>
      </c>
      <c r="D372" t="s">
        <v>34</v>
      </c>
      <c r="E372" t="str">
        <f>IF(OR(Table1[[#This Row],[marital_status]]="Married", Table1[[#This Row],[marital_status]]="Together"), "Partnered", "Single")</f>
        <v>Partnered</v>
      </c>
      <c r="F372" s="7">
        <v>35684</v>
      </c>
      <c r="G372" s="8">
        <v>1</v>
      </c>
      <c r="H372" s="8">
        <v>0</v>
      </c>
      <c r="I372" s="8">
        <f>Table1[[#This Row],[kids]]+Table1[[#This Row],[teens]]</f>
        <v>1</v>
      </c>
      <c r="J372" s="9">
        <v>41751</v>
      </c>
      <c r="K372" s="8">
        <v>66</v>
      </c>
      <c r="L372" s="6">
        <v>10</v>
      </c>
      <c r="M372" s="5">
        <v>4</v>
      </c>
      <c r="N372" s="5">
        <v>7</v>
      </c>
      <c r="O372" s="5">
        <v>0</v>
      </c>
      <c r="P372" s="5">
        <v>6</v>
      </c>
      <c r="Q372" s="5">
        <v>3</v>
      </c>
      <c r="R372" s="8">
        <v>1</v>
      </c>
      <c r="S372" s="8">
        <v>1</v>
      </c>
      <c r="T372" s="8">
        <v>0</v>
      </c>
      <c r="U372" s="8">
        <v>3</v>
      </c>
      <c r="V372" s="8">
        <v>6</v>
      </c>
      <c r="W372" t="s">
        <v>473</v>
      </c>
      <c r="X372" t="s">
        <v>473</v>
      </c>
      <c r="Y372" t="s">
        <v>473</v>
      </c>
      <c r="Z372" t="s">
        <v>473</v>
      </c>
      <c r="AA372" t="s">
        <v>473</v>
      </c>
      <c r="AB372" t="s">
        <v>473</v>
      </c>
      <c r="AC372" s="10">
        <v>3</v>
      </c>
      <c r="AD372" s="10">
        <v>11</v>
      </c>
      <c r="AE372" t="s">
        <v>473</v>
      </c>
    </row>
    <row r="373" spans="1:31" x14ac:dyDescent="0.25">
      <c r="A373">
        <v>10313</v>
      </c>
      <c r="B373">
        <v>1975</v>
      </c>
      <c r="C373" t="s">
        <v>466</v>
      </c>
      <c r="D373" t="s">
        <v>34</v>
      </c>
      <c r="E373" t="str">
        <f>IF(OR(Table1[[#This Row],[marital_status]]="Married", Table1[[#This Row],[marital_status]]="Together"), "Partnered", "Single")</f>
        <v>Partnered</v>
      </c>
      <c r="F373" s="7">
        <v>48178</v>
      </c>
      <c r="G373" s="8">
        <v>1</v>
      </c>
      <c r="H373" s="8">
        <v>1</v>
      </c>
      <c r="I373" s="8">
        <f>Table1[[#This Row],[kids]]+Table1[[#This Row],[teens]]</f>
        <v>2</v>
      </c>
      <c r="J373" s="9">
        <v>41210</v>
      </c>
      <c r="K373" s="8">
        <v>69</v>
      </c>
      <c r="L373" s="6">
        <v>159</v>
      </c>
      <c r="M373" s="5">
        <v>4</v>
      </c>
      <c r="N373" s="5">
        <v>45</v>
      </c>
      <c r="O373" s="5">
        <v>6</v>
      </c>
      <c r="P373" s="5">
        <v>2</v>
      </c>
      <c r="Q373" s="5">
        <v>38</v>
      </c>
      <c r="R373" s="8">
        <v>6</v>
      </c>
      <c r="S373" s="8">
        <v>5</v>
      </c>
      <c r="T373" s="8">
        <v>1</v>
      </c>
      <c r="U373" s="8">
        <v>4</v>
      </c>
      <c r="V373" s="8">
        <v>8</v>
      </c>
      <c r="W373" t="s">
        <v>473</v>
      </c>
      <c r="X373" t="s">
        <v>473</v>
      </c>
      <c r="Y373" t="s">
        <v>473</v>
      </c>
      <c r="Z373" t="s">
        <v>473</v>
      </c>
      <c r="AA373" t="s">
        <v>473</v>
      </c>
      <c r="AB373" t="s">
        <v>473</v>
      </c>
      <c r="AC373" s="10">
        <v>3</v>
      </c>
      <c r="AD373" s="10">
        <v>11</v>
      </c>
      <c r="AE373" t="s">
        <v>473</v>
      </c>
    </row>
    <row r="374" spans="1:31" x14ac:dyDescent="0.25">
      <c r="A374">
        <v>2557</v>
      </c>
      <c r="B374">
        <v>1970</v>
      </c>
      <c r="C374" t="s">
        <v>36</v>
      </c>
      <c r="D374" t="s">
        <v>30</v>
      </c>
      <c r="E374" t="str">
        <f>IF(OR(Table1[[#This Row],[marital_status]]="Married", Table1[[#This Row],[marital_status]]="Together"), "Partnered", "Single")</f>
        <v>Single</v>
      </c>
      <c r="F374" s="7">
        <v>29548</v>
      </c>
      <c r="G374" s="8">
        <v>1</v>
      </c>
      <c r="H374" s="8">
        <v>0</v>
      </c>
      <c r="I374" s="8">
        <f>Table1[[#This Row],[kids]]+Table1[[#This Row],[teens]]</f>
        <v>1</v>
      </c>
      <c r="J374" s="9">
        <v>41515</v>
      </c>
      <c r="K374" s="8">
        <v>52</v>
      </c>
      <c r="L374" s="6">
        <v>7</v>
      </c>
      <c r="M374" s="5">
        <v>1</v>
      </c>
      <c r="N374" s="5">
        <v>6</v>
      </c>
      <c r="O374" s="5">
        <v>3</v>
      </c>
      <c r="P374" s="5">
        <v>1</v>
      </c>
      <c r="Q374" s="5">
        <v>11</v>
      </c>
      <c r="R374" s="8">
        <v>1</v>
      </c>
      <c r="S374" s="8">
        <v>1</v>
      </c>
      <c r="T374" s="8">
        <v>1</v>
      </c>
      <c r="U374" s="8">
        <v>2</v>
      </c>
      <c r="V374" s="8">
        <v>4</v>
      </c>
      <c r="W374" t="s">
        <v>474</v>
      </c>
      <c r="X374" t="s">
        <v>473</v>
      </c>
      <c r="Y374" t="s">
        <v>473</v>
      </c>
      <c r="Z374" t="s">
        <v>473</v>
      </c>
      <c r="AA374" t="s">
        <v>473</v>
      </c>
      <c r="AB374" t="s">
        <v>473</v>
      </c>
      <c r="AC374" s="10">
        <v>3</v>
      </c>
      <c r="AD374" s="10">
        <v>11</v>
      </c>
      <c r="AE374" t="s">
        <v>473</v>
      </c>
    </row>
    <row r="375" spans="1:31" x14ac:dyDescent="0.25">
      <c r="A375">
        <v>1245</v>
      </c>
      <c r="B375">
        <v>1966</v>
      </c>
      <c r="C375" t="s">
        <v>466</v>
      </c>
      <c r="D375" t="s">
        <v>30</v>
      </c>
      <c r="E375" t="str">
        <f>IF(OR(Table1[[#This Row],[marital_status]]="Married", Table1[[#This Row],[marital_status]]="Together"), "Partnered", "Single")</f>
        <v>Single</v>
      </c>
      <c r="F375" s="7">
        <v>63810</v>
      </c>
      <c r="G375" s="8">
        <v>0</v>
      </c>
      <c r="H375" s="8">
        <v>1</v>
      </c>
      <c r="I375" s="8">
        <f>Table1[[#This Row],[kids]]+Table1[[#This Row],[teens]]</f>
        <v>1</v>
      </c>
      <c r="J375" s="9">
        <v>41224</v>
      </c>
      <c r="K375" s="8">
        <v>45</v>
      </c>
      <c r="L375" s="6">
        <v>977</v>
      </c>
      <c r="M375" s="5">
        <v>12</v>
      </c>
      <c r="N375" s="5">
        <v>253</v>
      </c>
      <c r="O375" s="5">
        <v>16</v>
      </c>
      <c r="P375" s="5">
        <v>12</v>
      </c>
      <c r="Q375" s="5">
        <v>101</v>
      </c>
      <c r="R375" s="8">
        <v>4</v>
      </c>
      <c r="S375" s="8">
        <v>4</v>
      </c>
      <c r="T375" s="8">
        <v>3</v>
      </c>
      <c r="U375" s="8">
        <v>12</v>
      </c>
      <c r="V375" s="8">
        <v>8</v>
      </c>
      <c r="W375" t="s">
        <v>473</v>
      </c>
      <c r="X375" t="s">
        <v>474</v>
      </c>
      <c r="Y375" t="s">
        <v>473</v>
      </c>
      <c r="Z375" t="s">
        <v>473</v>
      </c>
      <c r="AA375" t="s">
        <v>473</v>
      </c>
      <c r="AB375" t="s">
        <v>473</v>
      </c>
      <c r="AC375" s="10">
        <v>3</v>
      </c>
      <c r="AD375" s="10">
        <v>11</v>
      </c>
      <c r="AE375" t="s">
        <v>473</v>
      </c>
    </row>
    <row r="376" spans="1:31" x14ac:dyDescent="0.25">
      <c r="A376">
        <v>1519</v>
      </c>
      <c r="B376">
        <v>1972</v>
      </c>
      <c r="C376" t="s">
        <v>33</v>
      </c>
      <c r="D376" t="s">
        <v>30</v>
      </c>
      <c r="E376" t="str">
        <f>IF(OR(Table1[[#This Row],[marital_status]]="Married", Table1[[#This Row],[marital_status]]="Together"), "Partnered", "Single")</f>
        <v>Single</v>
      </c>
      <c r="F376" s="7">
        <v>38578</v>
      </c>
      <c r="G376" s="8">
        <v>1</v>
      </c>
      <c r="H376" s="8">
        <v>1</v>
      </c>
      <c r="I376" s="8">
        <f>Table1[[#This Row],[kids]]+Table1[[#This Row],[teens]]</f>
        <v>2</v>
      </c>
      <c r="J376" s="9">
        <v>41447</v>
      </c>
      <c r="K376" s="8">
        <v>2</v>
      </c>
      <c r="L376" s="6">
        <v>38</v>
      </c>
      <c r="M376" s="5">
        <v>4</v>
      </c>
      <c r="N376" s="5">
        <v>22</v>
      </c>
      <c r="O376" s="5">
        <v>3</v>
      </c>
      <c r="P376" s="5">
        <v>3</v>
      </c>
      <c r="Q376" s="5">
        <v>3</v>
      </c>
      <c r="R376" s="8">
        <v>3</v>
      </c>
      <c r="S376" s="8">
        <v>3</v>
      </c>
      <c r="T376" s="8">
        <v>0</v>
      </c>
      <c r="U376" s="8">
        <v>3</v>
      </c>
      <c r="V376" s="8">
        <v>8</v>
      </c>
      <c r="W376" t="s">
        <v>473</v>
      </c>
      <c r="X376" t="s">
        <v>473</v>
      </c>
      <c r="Y376" t="s">
        <v>473</v>
      </c>
      <c r="Z376" t="s">
        <v>473</v>
      </c>
      <c r="AA376" t="s">
        <v>473</v>
      </c>
      <c r="AB376" t="s">
        <v>473</v>
      </c>
      <c r="AC376" s="10">
        <v>3</v>
      </c>
      <c r="AD376" s="10">
        <v>11</v>
      </c>
      <c r="AE376" t="s">
        <v>474</v>
      </c>
    </row>
    <row r="377" spans="1:31" x14ac:dyDescent="0.25">
      <c r="A377">
        <v>10703</v>
      </c>
      <c r="B377">
        <v>1975</v>
      </c>
      <c r="C377" t="s">
        <v>36</v>
      </c>
      <c r="D377" t="s">
        <v>30</v>
      </c>
      <c r="E377" t="str">
        <f>IF(OR(Table1[[#This Row],[marital_status]]="Married", Table1[[#This Row],[marital_status]]="Together"), "Partnered", "Single")</f>
        <v>Single</v>
      </c>
      <c r="F377" s="7">
        <v>46098</v>
      </c>
      <c r="G377" s="8">
        <v>1</v>
      </c>
      <c r="H377" s="8">
        <v>1</v>
      </c>
      <c r="I377" s="8">
        <f>Table1[[#This Row],[kids]]+Table1[[#This Row],[teens]]</f>
        <v>2</v>
      </c>
      <c r="J377" s="9">
        <v>41139</v>
      </c>
      <c r="K377" s="8">
        <v>86</v>
      </c>
      <c r="L377" s="6">
        <v>57</v>
      </c>
      <c r="M377" s="5">
        <v>0</v>
      </c>
      <c r="N377" s="5">
        <v>27</v>
      </c>
      <c r="O377" s="5">
        <v>0</v>
      </c>
      <c r="P377" s="5">
        <v>0</v>
      </c>
      <c r="Q377" s="5">
        <v>36</v>
      </c>
      <c r="R377" s="8">
        <v>4</v>
      </c>
      <c r="S377" s="8">
        <v>3</v>
      </c>
      <c r="T377" s="8">
        <v>2</v>
      </c>
      <c r="U377" s="8">
        <v>2</v>
      </c>
      <c r="V377" s="8">
        <v>8</v>
      </c>
      <c r="W377" t="s">
        <v>473</v>
      </c>
      <c r="X377" t="s">
        <v>473</v>
      </c>
      <c r="Y377" t="s">
        <v>473</v>
      </c>
      <c r="Z377" t="s">
        <v>473</v>
      </c>
      <c r="AA377" t="s">
        <v>473</v>
      </c>
      <c r="AB377" t="s">
        <v>473</v>
      </c>
      <c r="AC377" s="10">
        <v>3</v>
      </c>
      <c r="AD377" s="10">
        <v>11</v>
      </c>
      <c r="AE377" t="s">
        <v>473</v>
      </c>
    </row>
    <row r="378" spans="1:31" x14ac:dyDescent="0.25">
      <c r="A378">
        <v>1726</v>
      </c>
      <c r="B378">
        <v>1970</v>
      </c>
      <c r="C378" t="s">
        <v>466</v>
      </c>
      <c r="D378" t="s">
        <v>30</v>
      </c>
      <c r="E378" t="str">
        <f>IF(OR(Table1[[#This Row],[marital_status]]="Married", Table1[[#This Row],[marital_status]]="Together"), "Partnered", "Single")</f>
        <v>Single</v>
      </c>
      <c r="F378" s="7">
        <v>22585</v>
      </c>
      <c r="G378" s="8">
        <v>0</v>
      </c>
      <c r="H378" s="8">
        <v>0</v>
      </c>
      <c r="I378" s="8">
        <f>Table1[[#This Row],[kids]]+Table1[[#This Row],[teens]]</f>
        <v>0</v>
      </c>
      <c r="J378" s="9">
        <v>41351</v>
      </c>
      <c r="K378" s="8">
        <v>23</v>
      </c>
      <c r="L378" s="6">
        <v>3</v>
      </c>
      <c r="M378" s="5">
        <v>9</v>
      </c>
      <c r="N378" s="5">
        <v>15</v>
      </c>
      <c r="O378" s="5">
        <v>13</v>
      </c>
      <c r="P378" s="5">
        <v>2</v>
      </c>
      <c r="Q378" s="5">
        <v>39</v>
      </c>
      <c r="R378" s="8">
        <v>1</v>
      </c>
      <c r="S378" s="8">
        <v>1</v>
      </c>
      <c r="T378" s="8">
        <v>1</v>
      </c>
      <c r="U378" s="8">
        <v>2</v>
      </c>
      <c r="V378" s="8">
        <v>9</v>
      </c>
      <c r="W378" t="s">
        <v>474</v>
      </c>
      <c r="X378" t="s">
        <v>473</v>
      </c>
      <c r="Y378" t="s">
        <v>473</v>
      </c>
      <c r="Z378" t="s">
        <v>473</v>
      </c>
      <c r="AA378" t="s">
        <v>473</v>
      </c>
      <c r="AB378" t="s">
        <v>473</v>
      </c>
      <c r="AC378" s="10">
        <v>3</v>
      </c>
      <c r="AD378" s="10">
        <v>11</v>
      </c>
      <c r="AE378" t="s">
        <v>474</v>
      </c>
    </row>
    <row r="379" spans="1:31" x14ac:dyDescent="0.25">
      <c r="A379">
        <v>4459</v>
      </c>
      <c r="B379">
        <v>1989</v>
      </c>
      <c r="C379" t="s">
        <v>466</v>
      </c>
      <c r="D379" t="s">
        <v>30</v>
      </c>
      <c r="E379" t="str">
        <f>IF(OR(Table1[[#This Row],[marital_status]]="Married", Table1[[#This Row],[marital_status]]="Together"), "Partnered", "Single")</f>
        <v>Single</v>
      </c>
      <c r="F379" s="7">
        <v>30279</v>
      </c>
      <c r="G379" s="8">
        <v>1</v>
      </c>
      <c r="H379" s="8">
        <v>0</v>
      </c>
      <c r="I379" s="8">
        <f>Table1[[#This Row],[kids]]+Table1[[#This Row],[teens]]</f>
        <v>1</v>
      </c>
      <c r="J379" s="9">
        <v>41273</v>
      </c>
      <c r="K379" s="8">
        <v>13</v>
      </c>
      <c r="L379" s="6">
        <v>10</v>
      </c>
      <c r="M379" s="5">
        <v>4</v>
      </c>
      <c r="N379" s="5">
        <v>14</v>
      </c>
      <c r="O379" s="5">
        <v>4</v>
      </c>
      <c r="P379" s="5">
        <v>4</v>
      </c>
      <c r="Q379" s="5">
        <v>1</v>
      </c>
      <c r="R379" s="8">
        <v>1</v>
      </c>
      <c r="S379" s="8">
        <v>1</v>
      </c>
      <c r="T379" s="8">
        <v>0</v>
      </c>
      <c r="U379" s="8">
        <v>3</v>
      </c>
      <c r="V379" s="8">
        <v>8</v>
      </c>
      <c r="W379" t="s">
        <v>473</v>
      </c>
      <c r="X379" t="s">
        <v>473</v>
      </c>
      <c r="Y379" t="s">
        <v>473</v>
      </c>
      <c r="Z379" t="s">
        <v>473</v>
      </c>
      <c r="AA379" t="s">
        <v>473</v>
      </c>
      <c r="AB379" t="s">
        <v>473</v>
      </c>
      <c r="AC379" s="10">
        <v>3</v>
      </c>
      <c r="AD379" s="10">
        <v>11</v>
      </c>
      <c r="AE379" t="s">
        <v>473</v>
      </c>
    </row>
    <row r="380" spans="1:31" x14ac:dyDescent="0.25">
      <c r="A380">
        <v>1729</v>
      </c>
      <c r="B380">
        <v>1961</v>
      </c>
      <c r="C380" t="s">
        <v>33</v>
      </c>
      <c r="D380" t="s">
        <v>31</v>
      </c>
      <c r="E380" t="str">
        <f>IF(OR(Table1[[#This Row],[marital_status]]="Married", Table1[[#This Row],[marital_status]]="Together"), "Partnered", "Single")</f>
        <v>Partnered</v>
      </c>
      <c r="F380" s="7">
        <v>66426</v>
      </c>
      <c r="G380" s="8">
        <v>0</v>
      </c>
      <c r="H380" s="8">
        <v>1</v>
      </c>
      <c r="I380" s="8">
        <f>Table1[[#This Row],[kids]]+Table1[[#This Row],[teens]]</f>
        <v>1</v>
      </c>
      <c r="J380" s="9">
        <v>41549</v>
      </c>
      <c r="K380" s="8">
        <v>14</v>
      </c>
      <c r="L380" s="6">
        <v>1043</v>
      </c>
      <c r="M380" s="5">
        <v>24</v>
      </c>
      <c r="N380" s="5">
        <v>97</v>
      </c>
      <c r="O380" s="5">
        <v>32</v>
      </c>
      <c r="P380" s="5">
        <v>24</v>
      </c>
      <c r="Q380" s="5">
        <v>157</v>
      </c>
      <c r="R380" s="8">
        <v>2</v>
      </c>
      <c r="S380" s="8">
        <v>3</v>
      </c>
      <c r="T380" s="8">
        <v>5</v>
      </c>
      <c r="U380" s="8">
        <v>10</v>
      </c>
      <c r="V380" s="8">
        <v>6</v>
      </c>
      <c r="W380" t="s">
        <v>473</v>
      </c>
      <c r="X380" t="s">
        <v>473</v>
      </c>
      <c r="Y380" t="s">
        <v>473</v>
      </c>
      <c r="Z380" t="s">
        <v>473</v>
      </c>
      <c r="AA380" t="s">
        <v>473</v>
      </c>
      <c r="AB380" t="s">
        <v>473</v>
      </c>
      <c r="AC380" s="10">
        <v>3</v>
      </c>
      <c r="AD380" s="10">
        <v>11</v>
      </c>
      <c r="AE380" t="s">
        <v>473</v>
      </c>
    </row>
    <row r="381" spans="1:31" x14ac:dyDescent="0.25">
      <c r="A381">
        <v>1517</v>
      </c>
      <c r="B381">
        <v>1969</v>
      </c>
      <c r="C381" t="s">
        <v>466</v>
      </c>
      <c r="D381" t="s">
        <v>30</v>
      </c>
      <c r="E381" t="str">
        <f>IF(OR(Table1[[#This Row],[marital_status]]="Married", Table1[[#This Row],[marital_status]]="Together"), "Partnered", "Single")</f>
        <v>Single</v>
      </c>
      <c r="F381" s="7">
        <v>30822</v>
      </c>
      <c r="G381" s="8">
        <v>1</v>
      </c>
      <c r="H381" s="8">
        <v>0</v>
      </c>
      <c r="I381" s="8">
        <f>Table1[[#This Row],[kids]]+Table1[[#This Row],[teens]]</f>
        <v>1</v>
      </c>
      <c r="J381" s="9">
        <v>41439</v>
      </c>
      <c r="K381" s="8">
        <v>92</v>
      </c>
      <c r="L381" s="6">
        <v>3</v>
      </c>
      <c r="M381" s="5">
        <v>9</v>
      </c>
      <c r="N381" s="5">
        <v>13</v>
      </c>
      <c r="O381" s="5">
        <v>2</v>
      </c>
      <c r="P381" s="5">
        <v>12</v>
      </c>
      <c r="Q381" s="5">
        <v>12</v>
      </c>
      <c r="R381" s="8">
        <v>1</v>
      </c>
      <c r="S381" s="8">
        <v>1</v>
      </c>
      <c r="T381" s="8">
        <v>0</v>
      </c>
      <c r="U381" s="8">
        <v>3</v>
      </c>
      <c r="V381" s="8">
        <v>7</v>
      </c>
      <c r="W381" t="s">
        <v>473</v>
      </c>
      <c r="X381" t="s">
        <v>473</v>
      </c>
      <c r="Y381" t="s">
        <v>473</v>
      </c>
      <c r="Z381" t="s">
        <v>473</v>
      </c>
      <c r="AA381" t="s">
        <v>473</v>
      </c>
      <c r="AB381" t="s">
        <v>473</v>
      </c>
      <c r="AC381" s="10">
        <v>3</v>
      </c>
      <c r="AD381" s="10">
        <v>11</v>
      </c>
      <c r="AE381" t="s">
        <v>473</v>
      </c>
    </row>
    <row r="382" spans="1:31" x14ac:dyDescent="0.25">
      <c r="A382">
        <v>2098</v>
      </c>
      <c r="B382">
        <v>1969</v>
      </c>
      <c r="C382" t="s">
        <v>33</v>
      </c>
      <c r="D382" t="s">
        <v>34</v>
      </c>
      <c r="E382" t="str">
        <f>IF(OR(Table1[[#This Row],[marital_status]]="Married", Table1[[#This Row],[marital_status]]="Together"), "Partnered", "Single")</f>
        <v>Partnered</v>
      </c>
      <c r="F382" s="7">
        <v>33581</v>
      </c>
      <c r="G382" s="8">
        <v>2</v>
      </c>
      <c r="H382" s="8">
        <v>0</v>
      </c>
      <c r="I382" s="8">
        <f>Table1[[#This Row],[kids]]+Table1[[#This Row],[teens]]</f>
        <v>2</v>
      </c>
      <c r="J382" s="9">
        <v>41282</v>
      </c>
      <c r="K382" s="8">
        <v>38</v>
      </c>
      <c r="L382" s="6">
        <v>11</v>
      </c>
      <c r="M382" s="5">
        <v>0</v>
      </c>
      <c r="N382" s="5">
        <v>5</v>
      </c>
      <c r="O382" s="5">
        <v>0</v>
      </c>
      <c r="P382" s="5">
        <v>0</v>
      </c>
      <c r="Q382" s="5">
        <v>1</v>
      </c>
      <c r="R382" s="8">
        <v>1</v>
      </c>
      <c r="S382" s="8">
        <v>1</v>
      </c>
      <c r="T382" s="8">
        <v>0</v>
      </c>
      <c r="U382" s="8">
        <v>2</v>
      </c>
      <c r="V382" s="8">
        <v>8</v>
      </c>
      <c r="W382" t="s">
        <v>473</v>
      </c>
      <c r="X382" t="s">
        <v>473</v>
      </c>
      <c r="Y382" t="s">
        <v>473</v>
      </c>
      <c r="Z382" t="s">
        <v>473</v>
      </c>
      <c r="AA382" t="s">
        <v>473</v>
      </c>
      <c r="AB382" t="s">
        <v>473</v>
      </c>
      <c r="AC382" s="10">
        <v>3</v>
      </c>
      <c r="AD382" s="10">
        <v>11</v>
      </c>
      <c r="AE382" t="s">
        <v>473</v>
      </c>
    </row>
    <row r="383" spans="1:31" x14ac:dyDescent="0.25">
      <c r="A383">
        <v>9543</v>
      </c>
      <c r="B383">
        <v>1985</v>
      </c>
      <c r="C383" t="s">
        <v>466</v>
      </c>
      <c r="D383" t="s">
        <v>34</v>
      </c>
      <c r="E383" t="str">
        <f>IF(OR(Table1[[#This Row],[marital_status]]="Married", Table1[[#This Row],[marital_status]]="Together"), "Partnered", "Single")</f>
        <v>Partnered</v>
      </c>
      <c r="F383" s="7">
        <v>19986</v>
      </c>
      <c r="G383" s="8">
        <v>1</v>
      </c>
      <c r="H383" s="8">
        <v>0</v>
      </c>
      <c r="I383" s="8">
        <f>Table1[[#This Row],[kids]]+Table1[[#This Row],[teens]]</f>
        <v>1</v>
      </c>
      <c r="J383" s="9">
        <v>41592</v>
      </c>
      <c r="K383" s="8">
        <v>74</v>
      </c>
      <c r="L383" s="6">
        <v>3</v>
      </c>
      <c r="M383" s="5">
        <v>6</v>
      </c>
      <c r="N383" s="5">
        <v>5</v>
      </c>
      <c r="O383" s="5">
        <v>0</v>
      </c>
      <c r="P383" s="5">
        <v>2</v>
      </c>
      <c r="Q383" s="5">
        <v>6</v>
      </c>
      <c r="R383" s="8">
        <v>1</v>
      </c>
      <c r="S383" s="8">
        <v>0</v>
      </c>
      <c r="T383" s="8">
        <v>0</v>
      </c>
      <c r="U383" s="8">
        <v>3</v>
      </c>
      <c r="V383" s="8">
        <v>7</v>
      </c>
      <c r="W383" t="s">
        <v>473</v>
      </c>
      <c r="X383" t="s">
        <v>473</v>
      </c>
      <c r="Y383" t="s">
        <v>473</v>
      </c>
      <c r="Z383" t="s">
        <v>473</v>
      </c>
      <c r="AA383" t="s">
        <v>473</v>
      </c>
      <c r="AB383" t="s">
        <v>473</v>
      </c>
      <c r="AC383" s="10">
        <v>3</v>
      </c>
      <c r="AD383" s="10">
        <v>11</v>
      </c>
      <c r="AE383" t="s">
        <v>473</v>
      </c>
    </row>
    <row r="384" spans="1:31" x14ac:dyDescent="0.25">
      <c r="A384">
        <v>6878</v>
      </c>
      <c r="B384">
        <v>1954</v>
      </c>
      <c r="C384" t="s">
        <v>466</v>
      </c>
      <c r="D384" t="s">
        <v>57</v>
      </c>
      <c r="E384" t="str">
        <f>IF(OR(Table1[[#This Row],[marital_status]]="Married", Table1[[#This Row],[marital_status]]="Together"), "Partnered", "Single")</f>
        <v>Single</v>
      </c>
      <c r="F384" s="7">
        <v>27421</v>
      </c>
      <c r="G384" s="8">
        <v>0</v>
      </c>
      <c r="H384" s="8">
        <v>0</v>
      </c>
      <c r="I384" s="8">
        <f>Table1[[#This Row],[kids]]+Table1[[#This Row],[teens]]</f>
        <v>0</v>
      </c>
      <c r="J384" s="9">
        <v>41255</v>
      </c>
      <c r="K384" s="8">
        <v>14</v>
      </c>
      <c r="L384" s="6">
        <v>43</v>
      </c>
      <c r="M384" s="5">
        <v>12</v>
      </c>
      <c r="N384" s="5">
        <v>96</v>
      </c>
      <c r="O384" s="5">
        <v>78</v>
      </c>
      <c r="P384" s="5">
        <v>40</v>
      </c>
      <c r="Q384" s="5">
        <v>55</v>
      </c>
      <c r="R384" s="8">
        <v>3</v>
      </c>
      <c r="S384" s="8">
        <v>4</v>
      </c>
      <c r="T384" s="8">
        <v>1</v>
      </c>
      <c r="U384" s="8">
        <v>6</v>
      </c>
      <c r="V384" s="8">
        <v>7</v>
      </c>
      <c r="W384" t="s">
        <v>473</v>
      </c>
      <c r="X384" t="s">
        <v>473</v>
      </c>
      <c r="Y384" t="s">
        <v>473</v>
      </c>
      <c r="Z384" t="s">
        <v>473</v>
      </c>
      <c r="AA384" t="s">
        <v>473</v>
      </c>
      <c r="AB384" t="s">
        <v>473</v>
      </c>
      <c r="AC384" s="10">
        <v>3</v>
      </c>
      <c r="AD384" s="10">
        <v>11</v>
      </c>
      <c r="AE384" t="s">
        <v>473</v>
      </c>
    </row>
    <row r="385" spans="1:31" x14ac:dyDescent="0.25">
      <c r="A385">
        <v>3310</v>
      </c>
      <c r="B385">
        <v>1973</v>
      </c>
      <c r="C385" t="s">
        <v>46</v>
      </c>
      <c r="D385" t="s">
        <v>34</v>
      </c>
      <c r="E385" t="str">
        <f>IF(OR(Table1[[#This Row],[marital_status]]="Married", Table1[[#This Row],[marital_status]]="Together"), "Partnered", "Single")</f>
        <v>Partnered</v>
      </c>
      <c r="F385" s="7">
        <v>35688</v>
      </c>
      <c r="G385" s="8">
        <v>2</v>
      </c>
      <c r="H385" s="8">
        <v>1</v>
      </c>
      <c r="I385" s="8">
        <f>Table1[[#This Row],[kids]]+Table1[[#This Row],[teens]]</f>
        <v>3</v>
      </c>
      <c r="J385" s="9">
        <v>41143</v>
      </c>
      <c r="K385" s="8">
        <v>94</v>
      </c>
      <c r="L385" s="6">
        <v>73</v>
      </c>
      <c r="M385" s="5">
        <v>3</v>
      </c>
      <c r="N385" s="5">
        <v>90</v>
      </c>
      <c r="O385" s="5">
        <v>12</v>
      </c>
      <c r="P385" s="5">
        <v>1</v>
      </c>
      <c r="Q385" s="5">
        <v>32</v>
      </c>
      <c r="R385" s="8">
        <v>7</v>
      </c>
      <c r="S385" s="8">
        <v>4</v>
      </c>
      <c r="T385" s="8">
        <v>1</v>
      </c>
      <c r="U385" s="8">
        <v>4</v>
      </c>
      <c r="V385" s="8">
        <v>8</v>
      </c>
      <c r="W385" t="s">
        <v>473</v>
      </c>
      <c r="X385" t="s">
        <v>473</v>
      </c>
      <c r="Y385" t="s">
        <v>473</v>
      </c>
      <c r="Z385" t="s">
        <v>473</v>
      </c>
      <c r="AA385" t="s">
        <v>473</v>
      </c>
      <c r="AB385" t="s">
        <v>473</v>
      </c>
      <c r="AC385" s="10">
        <v>3</v>
      </c>
      <c r="AD385" s="10">
        <v>11</v>
      </c>
      <c r="AE385" t="s">
        <v>473</v>
      </c>
    </row>
    <row r="386" spans="1:31" x14ac:dyDescent="0.25">
      <c r="A386">
        <v>2724</v>
      </c>
      <c r="B386">
        <v>1981</v>
      </c>
      <c r="C386" t="s">
        <v>36</v>
      </c>
      <c r="D386" t="s">
        <v>30</v>
      </c>
      <c r="E386" t="str">
        <f>IF(OR(Table1[[#This Row],[marital_status]]="Married", Table1[[#This Row],[marital_status]]="Together"), "Partnered", "Single")</f>
        <v>Single</v>
      </c>
      <c r="F386" s="7">
        <v>36143</v>
      </c>
      <c r="G386" s="8">
        <v>1</v>
      </c>
      <c r="H386" s="8">
        <v>0</v>
      </c>
      <c r="I386" s="8">
        <f>Table1[[#This Row],[kids]]+Table1[[#This Row],[teens]]</f>
        <v>1</v>
      </c>
      <c r="J386" s="9">
        <v>41728</v>
      </c>
      <c r="K386" s="8">
        <v>33</v>
      </c>
      <c r="L386" s="6">
        <v>12</v>
      </c>
      <c r="M386" s="5">
        <v>0</v>
      </c>
      <c r="N386" s="5">
        <v>1</v>
      </c>
      <c r="O386" s="5">
        <v>0</v>
      </c>
      <c r="P386" s="5">
        <v>0</v>
      </c>
      <c r="Q386" s="5">
        <v>6</v>
      </c>
      <c r="R386" s="8">
        <v>1</v>
      </c>
      <c r="S386" s="8">
        <v>0</v>
      </c>
      <c r="T386" s="8">
        <v>1</v>
      </c>
      <c r="U386" s="8">
        <v>2</v>
      </c>
      <c r="V386" s="8">
        <v>3</v>
      </c>
      <c r="W386" t="s">
        <v>473</v>
      </c>
      <c r="X386" t="s">
        <v>473</v>
      </c>
      <c r="Y386" t="s">
        <v>473</v>
      </c>
      <c r="Z386" t="s">
        <v>473</v>
      </c>
      <c r="AA386" t="s">
        <v>473</v>
      </c>
      <c r="AB386" t="s">
        <v>473</v>
      </c>
      <c r="AC386" s="10">
        <v>3</v>
      </c>
      <c r="AD386" s="10">
        <v>11</v>
      </c>
      <c r="AE386" t="s">
        <v>473</v>
      </c>
    </row>
    <row r="387" spans="1:31" x14ac:dyDescent="0.25">
      <c r="A387">
        <v>948</v>
      </c>
      <c r="B387">
        <v>1971</v>
      </c>
      <c r="C387" t="s">
        <v>466</v>
      </c>
      <c r="D387" t="s">
        <v>30</v>
      </c>
      <c r="E387" t="str">
        <f>IF(OR(Table1[[#This Row],[marital_status]]="Married", Table1[[#This Row],[marital_status]]="Together"), "Partnered", "Single")</f>
        <v>Single</v>
      </c>
      <c r="F387" s="7">
        <v>10245</v>
      </c>
      <c r="G387" s="8">
        <v>1</v>
      </c>
      <c r="H387" s="8">
        <v>0</v>
      </c>
      <c r="I387" s="8">
        <f>Table1[[#This Row],[kids]]+Table1[[#This Row],[teens]]</f>
        <v>1</v>
      </c>
      <c r="J387" s="9">
        <v>41409</v>
      </c>
      <c r="K387" s="8">
        <v>32</v>
      </c>
      <c r="L387" s="6">
        <v>4</v>
      </c>
      <c r="M387" s="5">
        <v>7</v>
      </c>
      <c r="N387" s="5">
        <v>7</v>
      </c>
      <c r="O387" s="5">
        <v>6</v>
      </c>
      <c r="P387" s="5">
        <v>4</v>
      </c>
      <c r="Q387" s="5">
        <v>13</v>
      </c>
      <c r="R387" s="8">
        <v>3</v>
      </c>
      <c r="S387" s="8">
        <v>1</v>
      </c>
      <c r="T387" s="8">
        <v>2</v>
      </c>
      <c r="U387" s="8">
        <v>2</v>
      </c>
      <c r="V387" s="8">
        <v>5</v>
      </c>
      <c r="W387" t="s">
        <v>473</v>
      </c>
      <c r="X387" t="s">
        <v>473</v>
      </c>
      <c r="Y387" t="s">
        <v>473</v>
      </c>
      <c r="Z387" t="s">
        <v>473</v>
      </c>
      <c r="AA387" t="s">
        <v>473</v>
      </c>
      <c r="AB387" t="s">
        <v>473</v>
      </c>
      <c r="AC387" s="10">
        <v>3</v>
      </c>
      <c r="AD387" s="10">
        <v>11</v>
      </c>
      <c r="AE387" t="s">
        <v>473</v>
      </c>
    </row>
    <row r="388" spans="1:31" x14ac:dyDescent="0.25">
      <c r="A388">
        <v>6720</v>
      </c>
      <c r="B388">
        <v>1968</v>
      </c>
      <c r="C388" t="s">
        <v>36</v>
      </c>
      <c r="D388" t="s">
        <v>31</v>
      </c>
      <c r="E388" t="str">
        <f>IF(OR(Table1[[#This Row],[marital_status]]="Married", Table1[[#This Row],[marital_status]]="Together"), "Partnered", "Single")</f>
        <v>Partnered</v>
      </c>
      <c r="F388" s="7">
        <v>43795</v>
      </c>
      <c r="G388" s="8">
        <v>0</v>
      </c>
      <c r="H388" s="8">
        <v>1</v>
      </c>
      <c r="I388" s="8">
        <f>Table1[[#This Row],[kids]]+Table1[[#This Row],[teens]]</f>
        <v>1</v>
      </c>
      <c r="J388" s="9">
        <v>41563</v>
      </c>
      <c r="K388" s="8">
        <v>11</v>
      </c>
      <c r="L388" s="6">
        <v>314</v>
      </c>
      <c r="M388" s="5">
        <v>11</v>
      </c>
      <c r="N388" s="5">
        <v>53</v>
      </c>
      <c r="O388" s="5">
        <v>4</v>
      </c>
      <c r="P388" s="5">
        <v>3</v>
      </c>
      <c r="Q388" s="5">
        <v>107</v>
      </c>
      <c r="R388" s="8">
        <v>3</v>
      </c>
      <c r="S388" s="8">
        <v>7</v>
      </c>
      <c r="T388" s="8">
        <v>3</v>
      </c>
      <c r="U388" s="8">
        <v>4</v>
      </c>
      <c r="V388" s="8">
        <v>7</v>
      </c>
      <c r="W388" t="s">
        <v>473</v>
      </c>
      <c r="X388" t="s">
        <v>474</v>
      </c>
      <c r="Y388" t="s">
        <v>473</v>
      </c>
      <c r="Z388" t="s">
        <v>473</v>
      </c>
      <c r="AA388" t="s">
        <v>473</v>
      </c>
      <c r="AB388" t="s">
        <v>473</v>
      </c>
      <c r="AC388" s="10">
        <v>3</v>
      </c>
      <c r="AD388" s="10">
        <v>11</v>
      </c>
      <c r="AE388" t="s">
        <v>474</v>
      </c>
    </row>
    <row r="389" spans="1:31" x14ac:dyDescent="0.25">
      <c r="A389">
        <v>6202</v>
      </c>
      <c r="B389">
        <v>1960</v>
      </c>
      <c r="C389" t="s">
        <v>466</v>
      </c>
      <c r="D389" t="s">
        <v>31</v>
      </c>
      <c r="E389" t="str">
        <f>IF(OR(Table1[[#This Row],[marital_status]]="Married", Table1[[#This Row],[marital_status]]="Together"), "Partnered", "Single")</f>
        <v>Partnered</v>
      </c>
      <c r="F389" s="7">
        <v>63381</v>
      </c>
      <c r="G389" s="8">
        <v>0</v>
      </c>
      <c r="H389" s="8">
        <v>1</v>
      </c>
      <c r="I389" s="8">
        <f>Table1[[#This Row],[kids]]+Table1[[#This Row],[teens]]</f>
        <v>1</v>
      </c>
      <c r="J389" s="9">
        <v>41187</v>
      </c>
      <c r="K389" s="8">
        <v>78</v>
      </c>
      <c r="L389" s="6">
        <v>571</v>
      </c>
      <c r="M389" s="5">
        <v>50</v>
      </c>
      <c r="N389" s="5">
        <v>142</v>
      </c>
      <c r="O389" s="5">
        <v>33</v>
      </c>
      <c r="P389" s="5">
        <v>50</v>
      </c>
      <c r="Q389" s="5">
        <v>159</v>
      </c>
      <c r="R389" s="8">
        <v>4</v>
      </c>
      <c r="S389" s="8">
        <v>4</v>
      </c>
      <c r="T389" s="8">
        <v>5</v>
      </c>
      <c r="U389" s="8">
        <v>13</v>
      </c>
      <c r="V389" s="8">
        <v>2</v>
      </c>
      <c r="W389" t="s">
        <v>473</v>
      </c>
      <c r="X389" t="s">
        <v>473</v>
      </c>
      <c r="Y389" t="s">
        <v>473</v>
      </c>
      <c r="Z389" t="s">
        <v>473</v>
      </c>
      <c r="AA389" t="s">
        <v>473</v>
      </c>
      <c r="AB389" t="s">
        <v>473</v>
      </c>
      <c r="AC389" s="10">
        <v>3</v>
      </c>
      <c r="AD389" s="10">
        <v>11</v>
      </c>
      <c r="AE389" t="s">
        <v>473</v>
      </c>
    </row>
    <row r="390" spans="1:31" x14ac:dyDescent="0.25">
      <c r="A390">
        <v>2066</v>
      </c>
      <c r="B390">
        <v>1949</v>
      </c>
      <c r="C390" t="s">
        <v>466</v>
      </c>
      <c r="D390" t="s">
        <v>31</v>
      </c>
      <c r="E390" t="str">
        <f>IF(OR(Table1[[#This Row],[marital_status]]="Married", Table1[[#This Row],[marital_status]]="Together"), "Partnered", "Single")</f>
        <v>Partnered</v>
      </c>
      <c r="F390" s="7">
        <v>38823</v>
      </c>
      <c r="G390" s="8">
        <v>0</v>
      </c>
      <c r="H390" s="8">
        <v>1</v>
      </c>
      <c r="I390" s="8">
        <f>Table1[[#This Row],[kids]]+Table1[[#This Row],[teens]]</f>
        <v>1</v>
      </c>
      <c r="J390" s="9">
        <v>41151</v>
      </c>
      <c r="K390" s="8">
        <v>56</v>
      </c>
      <c r="L390" s="6">
        <v>70</v>
      </c>
      <c r="M390" s="5">
        <v>0</v>
      </c>
      <c r="N390" s="5">
        <v>11</v>
      </c>
      <c r="O390" s="5">
        <v>2</v>
      </c>
      <c r="P390" s="5">
        <v>8</v>
      </c>
      <c r="Q390" s="5">
        <v>23</v>
      </c>
      <c r="R390" s="8">
        <v>1</v>
      </c>
      <c r="S390" s="8">
        <v>2</v>
      </c>
      <c r="T390" s="8">
        <v>1</v>
      </c>
      <c r="U390" s="8">
        <v>3</v>
      </c>
      <c r="V390" s="8">
        <v>6</v>
      </c>
      <c r="W390" t="s">
        <v>473</v>
      </c>
      <c r="X390" t="s">
        <v>473</v>
      </c>
      <c r="Y390" t="s">
        <v>473</v>
      </c>
      <c r="Z390" t="s">
        <v>473</v>
      </c>
      <c r="AA390" t="s">
        <v>473</v>
      </c>
      <c r="AB390" t="s">
        <v>473</v>
      </c>
      <c r="AC390" s="10">
        <v>3</v>
      </c>
      <c r="AD390" s="10">
        <v>11</v>
      </c>
      <c r="AE390" t="s">
        <v>473</v>
      </c>
    </row>
    <row r="391" spans="1:31" x14ac:dyDescent="0.25">
      <c r="A391">
        <v>9799</v>
      </c>
      <c r="B391">
        <v>1968</v>
      </c>
      <c r="C391" t="s">
        <v>33</v>
      </c>
      <c r="D391" t="s">
        <v>37</v>
      </c>
      <c r="E391" t="str">
        <f>IF(OR(Table1[[#This Row],[marital_status]]="Married", Table1[[#This Row],[marital_status]]="Together"), "Partnered", "Single")</f>
        <v>Single</v>
      </c>
      <c r="F391" s="7">
        <v>83664</v>
      </c>
      <c r="G391" s="8">
        <v>1</v>
      </c>
      <c r="H391" s="8">
        <v>1</v>
      </c>
      <c r="I391" s="8">
        <f>Table1[[#This Row],[kids]]+Table1[[#This Row],[teens]]</f>
        <v>2</v>
      </c>
      <c r="J391" s="9">
        <v>41402</v>
      </c>
      <c r="K391" s="8">
        <v>57</v>
      </c>
      <c r="L391" s="6">
        <v>866</v>
      </c>
      <c r="M391" s="5">
        <v>21</v>
      </c>
      <c r="N391" s="5">
        <v>151</v>
      </c>
      <c r="O391" s="5">
        <v>28</v>
      </c>
      <c r="P391" s="5">
        <v>21</v>
      </c>
      <c r="Q391" s="5">
        <v>86</v>
      </c>
      <c r="R391" s="8">
        <v>3</v>
      </c>
      <c r="S391" s="8">
        <v>2</v>
      </c>
      <c r="T391" s="8">
        <v>2</v>
      </c>
      <c r="U391" s="8">
        <v>12</v>
      </c>
      <c r="V391" s="8">
        <v>5</v>
      </c>
      <c r="W391" t="s">
        <v>473</v>
      </c>
      <c r="X391" t="s">
        <v>473</v>
      </c>
      <c r="Y391" t="s">
        <v>473</v>
      </c>
      <c r="Z391" t="s">
        <v>473</v>
      </c>
      <c r="AA391" t="s">
        <v>473</v>
      </c>
      <c r="AB391" t="s">
        <v>473</v>
      </c>
      <c r="AC391" s="10">
        <v>3</v>
      </c>
      <c r="AD391" s="10">
        <v>11</v>
      </c>
      <c r="AE391" t="s">
        <v>473</v>
      </c>
    </row>
    <row r="392" spans="1:31" x14ac:dyDescent="0.25">
      <c r="A392">
        <v>8318</v>
      </c>
      <c r="B392">
        <v>1979</v>
      </c>
      <c r="C392" t="s">
        <v>466</v>
      </c>
      <c r="D392" t="s">
        <v>31</v>
      </c>
      <c r="E392" t="str">
        <f>IF(OR(Table1[[#This Row],[marital_status]]="Married", Table1[[#This Row],[marital_status]]="Together"), "Partnered", "Single")</f>
        <v>Partnered</v>
      </c>
      <c r="F392" s="7">
        <v>90300</v>
      </c>
      <c r="G392" s="8">
        <v>0</v>
      </c>
      <c r="H392" s="8">
        <v>0</v>
      </c>
      <c r="I392" s="8">
        <f>Table1[[#This Row],[kids]]+Table1[[#This Row],[teens]]</f>
        <v>0</v>
      </c>
      <c r="J392" s="9">
        <v>41642</v>
      </c>
      <c r="K392" s="8">
        <v>7</v>
      </c>
      <c r="L392" s="6">
        <v>594</v>
      </c>
      <c r="M392" s="5">
        <v>134</v>
      </c>
      <c r="N392" s="5">
        <v>786</v>
      </c>
      <c r="O392" s="5">
        <v>33</v>
      </c>
      <c r="P392" s="5">
        <v>134</v>
      </c>
      <c r="Q392" s="5">
        <v>57</v>
      </c>
      <c r="R392" s="8">
        <v>0</v>
      </c>
      <c r="S392" s="8">
        <v>5</v>
      </c>
      <c r="T392" s="8">
        <v>6</v>
      </c>
      <c r="U392" s="8">
        <v>8</v>
      </c>
      <c r="V392" s="8">
        <v>1</v>
      </c>
      <c r="W392" t="s">
        <v>473</v>
      </c>
      <c r="X392" t="s">
        <v>473</v>
      </c>
      <c r="Y392" t="s">
        <v>474</v>
      </c>
      <c r="Z392" t="s">
        <v>473</v>
      </c>
      <c r="AA392" t="s">
        <v>473</v>
      </c>
      <c r="AB392" t="s">
        <v>473</v>
      </c>
      <c r="AC392" s="10">
        <v>3</v>
      </c>
      <c r="AD392" s="10">
        <v>11</v>
      </c>
      <c r="AE392" t="s">
        <v>473</v>
      </c>
    </row>
    <row r="393" spans="1:31" x14ac:dyDescent="0.25">
      <c r="A393">
        <v>5642</v>
      </c>
      <c r="B393">
        <v>1979</v>
      </c>
      <c r="C393" t="s">
        <v>36</v>
      </c>
      <c r="D393" t="s">
        <v>31</v>
      </c>
      <c r="E393" t="str">
        <f>IF(OR(Table1[[#This Row],[marital_status]]="Married", Table1[[#This Row],[marital_status]]="Together"), "Partnered", "Single")</f>
        <v>Partnered</v>
      </c>
      <c r="F393" s="7">
        <v>62499</v>
      </c>
      <c r="G393" s="8">
        <v>1</v>
      </c>
      <c r="H393" s="8">
        <v>0</v>
      </c>
      <c r="I393" s="8">
        <f>Table1[[#This Row],[kids]]+Table1[[#This Row],[teens]]</f>
        <v>1</v>
      </c>
      <c r="J393" s="9">
        <v>41617</v>
      </c>
      <c r="K393" s="8">
        <v>0</v>
      </c>
      <c r="L393" s="6">
        <v>140</v>
      </c>
      <c r="M393" s="5">
        <v>4</v>
      </c>
      <c r="N393" s="5">
        <v>61</v>
      </c>
      <c r="O393" s="5">
        <v>0</v>
      </c>
      <c r="P393" s="5">
        <v>13</v>
      </c>
      <c r="Q393" s="5">
        <v>4</v>
      </c>
      <c r="R393" s="8">
        <v>2</v>
      </c>
      <c r="S393" s="8">
        <v>3</v>
      </c>
      <c r="T393" s="8">
        <v>1</v>
      </c>
      <c r="U393" s="8">
        <v>6</v>
      </c>
      <c r="V393" s="8">
        <v>4</v>
      </c>
      <c r="W393" t="s">
        <v>473</v>
      </c>
      <c r="X393" t="s">
        <v>473</v>
      </c>
      <c r="Y393" t="s">
        <v>473</v>
      </c>
      <c r="Z393" t="s">
        <v>473</v>
      </c>
      <c r="AA393" t="s">
        <v>473</v>
      </c>
      <c r="AB393" t="s">
        <v>473</v>
      </c>
      <c r="AC393" s="10">
        <v>3</v>
      </c>
      <c r="AD393" s="10">
        <v>11</v>
      </c>
      <c r="AE393" t="s">
        <v>473</v>
      </c>
    </row>
    <row r="394" spans="1:31" x14ac:dyDescent="0.25">
      <c r="A394">
        <v>2669</v>
      </c>
      <c r="B394">
        <v>1993</v>
      </c>
      <c r="C394" t="s">
        <v>466</v>
      </c>
      <c r="D394" t="s">
        <v>30</v>
      </c>
      <c r="E394" t="str">
        <f>IF(OR(Table1[[#This Row],[marital_status]]="Married", Table1[[#This Row],[marital_status]]="Together"), "Partnered", "Single")</f>
        <v>Single</v>
      </c>
      <c r="F394" s="7">
        <v>74293</v>
      </c>
      <c r="G394" s="8">
        <v>0</v>
      </c>
      <c r="H394" s="8">
        <v>0</v>
      </c>
      <c r="I394" s="8">
        <f>Table1[[#This Row],[kids]]+Table1[[#This Row],[teens]]</f>
        <v>0</v>
      </c>
      <c r="J394" s="9">
        <v>41763</v>
      </c>
      <c r="K394" s="8">
        <v>66</v>
      </c>
      <c r="L394" s="6">
        <v>375</v>
      </c>
      <c r="M394" s="5">
        <v>152</v>
      </c>
      <c r="N394" s="5">
        <v>335</v>
      </c>
      <c r="O394" s="5">
        <v>93</v>
      </c>
      <c r="P394" s="5">
        <v>91</v>
      </c>
      <c r="Q394" s="5">
        <v>81</v>
      </c>
      <c r="R394" s="8">
        <v>1</v>
      </c>
      <c r="S394" s="8">
        <v>5</v>
      </c>
      <c r="T394" s="8">
        <v>4</v>
      </c>
      <c r="U394" s="8">
        <v>6</v>
      </c>
      <c r="V394" s="8">
        <v>2</v>
      </c>
      <c r="W394" t="s">
        <v>473</v>
      </c>
      <c r="X394" t="s">
        <v>473</v>
      </c>
      <c r="Y394" t="s">
        <v>473</v>
      </c>
      <c r="Z394" t="s">
        <v>473</v>
      </c>
      <c r="AA394" t="s">
        <v>473</v>
      </c>
      <c r="AB394" t="s">
        <v>473</v>
      </c>
      <c r="AC394" s="10">
        <v>3</v>
      </c>
      <c r="AD394" s="10">
        <v>11</v>
      </c>
      <c r="AE394" t="s">
        <v>473</v>
      </c>
    </row>
    <row r="395" spans="1:31" x14ac:dyDescent="0.25">
      <c r="A395">
        <v>455</v>
      </c>
      <c r="B395">
        <v>1946</v>
      </c>
      <c r="C395" t="s">
        <v>33</v>
      </c>
      <c r="D395" t="s">
        <v>34</v>
      </c>
      <c r="E395" t="str">
        <f>IF(OR(Table1[[#This Row],[marital_status]]="Married", Table1[[#This Row],[marital_status]]="Together"), "Partnered", "Single")</f>
        <v>Partnered</v>
      </c>
      <c r="F395" s="7">
        <v>51012</v>
      </c>
      <c r="G395" s="8">
        <v>0</v>
      </c>
      <c r="H395" s="8">
        <v>0</v>
      </c>
      <c r="I395" s="8">
        <f>Table1[[#This Row],[kids]]+Table1[[#This Row],[teens]]</f>
        <v>0</v>
      </c>
      <c r="J395" s="9">
        <v>41382</v>
      </c>
      <c r="K395" s="8">
        <v>86</v>
      </c>
      <c r="L395" s="6">
        <v>102</v>
      </c>
      <c r="M395" s="5">
        <v>9</v>
      </c>
      <c r="N395" s="5">
        <v>63</v>
      </c>
      <c r="O395" s="5">
        <v>2</v>
      </c>
      <c r="P395" s="5">
        <v>9</v>
      </c>
      <c r="Q395" s="5">
        <v>24</v>
      </c>
      <c r="R395" s="8">
        <v>1</v>
      </c>
      <c r="S395" s="8">
        <v>4</v>
      </c>
      <c r="T395" s="8">
        <v>1</v>
      </c>
      <c r="U395" s="8">
        <v>4</v>
      </c>
      <c r="V395" s="8">
        <v>6</v>
      </c>
      <c r="W395" t="s">
        <v>473</v>
      </c>
      <c r="X395" t="s">
        <v>473</v>
      </c>
      <c r="Y395" t="s">
        <v>473</v>
      </c>
      <c r="Z395" t="s">
        <v>473</v>
      </c>
      <c r="AA395" t="s">
        <v>473</v>
      </c>
      <c r="AB395" t="s">
        <v>473</v>
      </c>
      <c r="AC395" s="10">
        <v>3</v>
      </c>
      <c r="AD395" s="10">
        <v>11</v>
      </c>
      <c r="AE395" t="s">
        <v>473</v>
      </c>
    </row>
    <row r="396" spans="1:31" x14ac:dyDescent="0.25">
      <c r="A396">
        <v>7683</v>
      </c>
      <c r="B396">
        <v>1968</v>
      </c>
      <c r="C396" t="s">
        <v>36</v>
      </c>
      <c r="D396" t="s">
        <v>34</v>
      </c>
      <c r="E396" t="str">
        <f>IF(OR(Table1[[#This Row],[marital_status]]="Married", Table1[[#This Row],[marital_status]]="Together"), "Partnered", "Single")</f>
        <v>Partnered</v>
      </c>
      <c r="F396" s="7">
        <v>70777</v>
      </c>
      <c r="G396" s="8">
        <v>0</v>
      </c>
      <c r="H396" s="8">
        <v>1</v>
      </c>
      <c r="I396" s="8">
        <f>Table1[[#This Row],[kids]]+Table1[[#This Row],[teens]]</f>
        <v>1</v>
      </c>
      <c r="J396" s="9">
        <v>41695</v>
      </c>
      <c r="K396" s="8">
        <v>80</v>
      </c>
      <c r="L396" s="6">
        <v>554</v>
      </c>
      <c r="M396" s="5">
        <v>35</v>
      </c>
      <c r="N396" s="5">
        <v>113</v>
      </c>
      <c r="O396" s="5">
        <v>0</v>
      </c>
      <c r="P396" s="5">
        <v>7</v>
      </c>
      <c r="Q396" s="5">
        <v>78</v>
      </c>
      <c r="R396" s="8">
        <v>3</v>
      </c>
      <c r="S396" s="8">
        <v>5</v>
      </c>
      <c r="T396" s="8">
        <v>3</v>
      </c>
      <c r="U396" s="8">
        <v>12</v>
      </c>
      <c r="V396" s="8">
        <v>3</v>
      </c>
      <c r="W396" t="s">
        <v>473</v>
      </c>
      <c r="X396" t="s">
        <v>473</v>
      </c>
      <c r="Y396" t="s">
        <v>473</v>
      </c>
      <c r="Z396" t="s">
        <v>473</v>
      </c>
      <c r="AA396" t="s">
        <v>473</v>
      </c>
      <c r="AB396" t="s">
        <v>473</v>
      </c>
      <c r="AC396" s="10">
        <v>3</v>
      </c>
      <c r="AD396" s="10">
        <v>11</v>
      </c>
      <c r="AE396" t="s">
        <v>473</v>
      </c>
    </row>
    <row r="397" spans="1:31" x14ac:dyDescent="0.25">
      <c r="A397">
        <v>3428</v>
      </c>
      <c r="B397">
        <v>1991</v>
      </c>
      <c r="C397" t="s">
        <v>33</v>
      </c>
      <c r="D397" t="s">
        <v>31</v>
      </c>
      <c r="E397" t="str">
        <f>IF(OR(Table1[[#This Row],[marital_status]]="Married", Table1[[#This Row],[marital_status]]="Together"), "Partnered", "Single")</f>
        <v>Partnered</v>
      </c>
      <c r="F397" s="7">
        <v>68682</v>
      </c>
      <c r="G397" s="8">
        <v>0</v>
      </c>
      <c r="H397" s="8">
        <v>0</v>
      </c>
      <c r="I397" s="8">
        <f>Table1[[#This Row],[kids]]+Table1[[#This Row],[teens]]</f>
        <v>0</v>
      </c>
      <c r="J397" s="9">
        <v>41553</v>
      </c>
      <c r="K397" s="8">
        <v>56</v>
      </c>
      <c r="L397" s="6">
        <v>919</v>
      </c>
      <c r="M397" s="5">
        <v>0</v>
      </c>
      <c r="N397" s="5">
        <v>505</v>
      </c>
      <c r="O397" s="5">
        <v>99</v>
      </c>
      <c r="P397" s="5">
        <v>30</v>
      </c>
      <c r="Q397" s="5">
        <v>45</v>
      </c>
      <c r="R397" s="8">
        <v>1</v>
      </c>
      <c r="S397" s="8">
        <v>4</v>
      </c>
      <c r="T397" s="8">
        <v>9</v>
      </c>
      <c r="U397" s="8">
        <v>10</v>
      </c>
      <c r="V397" s="8">
        <v>2</v>
      </c>
      <c r="W397" t="s">
        <v>473</v>
      </c>
      <c r="X397" t="s">
        <v>473</v>
      </c>
      <c r="Y397" t="s">
        <v>473</v>
      </c>
      <c r="Z397" t="s">
        <v>473</v>
      </c>
      <c r="AA397" t="s">
        <v>473</v>
      </c>
      <c r="AB397" t="s">
        <v>473</v>
      </c>
      <c r="AC397" s="10">
        <v>3</v>
      </c>
      <c r="AD397" s="10">
        <v>11</v>
      </c>
      <c r="AE397" t="s">
        <v>473</v>
      </c>
    </row>
    <row r="398" spans="1:31" x14ac:dyDescent="0.25">
      <c r="A398">
        <v>7414</v>
      </c>
      <c r="B398">
        <v>1971</v>
      </c>
      <c r="C398" t="s">
        <v>466</v>
      </c>
      <c r="D398" t="s">
        <v>34</v>
      </c>
      <c r="E398" t="str">
        <f>IF(OR(Table1[[#This Row],[marital_status]]="Married", Table1[[#This Row],[marital_status]]="Together"), "Partnered", "Single")</f>
        <v>Partnered</v>
      </c>
      <c r="F398" s="7">
        <v>43824</v>
      </c>
      <c r="G398" s="8">
        <v>1</v>
      </c>
      <c r="H398" s="8">
        <v>1</v>
      </c>
      <c r="I398" s="8">
        <f>Table1[[#This Row],[kids]]+Table1[[#This Row],[teens]]</f>
        <v>2</v>
      </c>
      <c r="J398" s="9">
        <v>41167</v>
      </c>
      <c r="K398" s="8">
        <v>18</v>
      </c>
      <c r="L398" s="6">
        <v>96</v>
      </c>
      <c r="M398" s="5">
        <v>1</v>
      </c>
      <c r="N398" s="5">
        <v>42</v>
      </c>
      <c r="O398" s="5">
        <v>12</v>
      </c>
      <c r="P398" s="5">
        <v>3</v>
      </c>
      <c r="Q398" s="5">
        <v>32</v>
      </c>
      <c r="R398" s="8">
        <v>4</v>
      </c>
      <c r="S398" s="8">
        <v>3</v>
      </c>
      <c r="T398" s="8">
        <v>1</v>
      </c>
      <c r="U398" s="8">
        <v>4</v>
      </c>
      <c r="V398" s="8">
        <v>8</v>
      </c>
      <c r="W398" t="s">
        <v>473</v>
      </c>
      <c r="X398" t="s">
        <v>473</v>
      </c>
      <c r="Y398" t="s">
        <v>473</v>
      </c>
      <c r="Z398" t="s">
        <v>473</v>
      </c>
      <c r="AA398" t="s">
        <v>473</v>
      </c>
      <c r="AB398" t="s">
        <v>473</v>
      </c>
      <c r="AC398" s="10">
        <v>3</v>
      </c>
      <c r="AD398" s="10">
        <v>11</v>
      </c>
      <c r="AE398" t="s">
        <v>473</v>
      </c>
    </row>
    <row r="399" spans="1:31" x14ac:dyDescent="0.25">
      <c r="A399">
        <v>6354</v>
      </c>
      <c r="B399">
        <v>1984</v>
      </c>
      <c r="C399" t="s">
        <v>466</v>
      </c>
      <c r="D399" t="s">
        <v>31</v>
      </c>
      <c r="E399" t="str">
        <f>IF(OR(Table1[[#This Row],[marital_status]]="Married", Table1[[#This Row],[marital_status]]="Together"), "Partnered", "Single")</f>
        <v>Partnered</v>
      </c>
      <c r="F399" s="7">
        <v>15345</v>
      </c>
      <c r="G399" s="8">
        <v>1</v>
      </c>
      <c r="H399" s="8">
        <v>0</v>
      </c>
      <c r="I399" s="8">
        <f>Table1[[#This Row],[kids]]+Table1[[#This Row],[teens]]</f>
        <v>1</v>
      </c>
      <c r="J399" s="9">
        <v>41152</v>
      </c>
      <c r="K399" s="8">
        <v>51</v>
      </c>
      <c r="L399" s="6">
        <v>5</v>
      </c>
      <c r="M399" s="5">
        <v>2</v>
      </c>
      <c r="N399" s="5">
        <v>16</v>
      </c>
      <c r="O399" s="5">
        <v>3</v>
      </c>
      <c r="P399" s="5">
        <v>2</v>
      </c>
      <c r="Q399" s="5">
        <v>19</v>
      </c>
      <c r="R399" s="8">
        <v>2</v>
      </c>
      <c r="S399" s="8">
        <v>1</v>
      </c>
      <c r="T399" s="8">
        <v>1</v>
      </c>
      <c r="U399" s="8">
        <v>2</v>
      </c>
      <c r="V399" s="8">
        <v>8</v>
      </c>
      <c r="W399" t="s">
        <v>473</v>
      </c>
      <c r="X399" t="s">
        <v>473</v>
      </c>
      <c r="Y399" t="s">
        <v>473</v>
      </c>
      <c r="Z399" t="s">
        <v>473</v>
      </c>
      <c r="AA399" t="s">
        <v>473</v>
      </c>
      <c r="AB399" t="s">
        <v>473</v>
      </c>
      <c r="AC399" s="10">
        <v>3</v>
      </c>
      <c r="AD399" s="10">
        <v>11</v>
      </c>
      <c r="AE399" t="s">
        <v>474</v>
      </c>
    </row>
    <row r="400" spans="1:31" x14ac:dyDescent="0.25">
      <c r="A400">
        <v>798</v>
      </c>
      <c r="B400">
        <v>1987</v>
      </c>
      <c r="C400" t="s">
        <v>466</v>
      </c>
      <c r="D400" t="s">
        <v>30</v>
      </c>
      <c r="E400" t="str">
        <f>IF(OR(Table1[[#This Row],[marital_status]]="Married", Table1[[#This Row],[marital_status]]="Together"), "Partnered", "Single")</f>
        <v>Single</v>
      </c>
      <c r="F400" s="7">
        <v>23442</v>
      </c>
      <c r="G400" s="8">
        <v>1</v>
      </c>
      <c r="H400" s="8">
        <v>0</v>
      </c>
      <c r="I400" s="8">
        <f>Table1[[#This Row],[kids]]+Table1[[#This Row],[teens]]</f>
        <v>1</v>
      </c>
      <c r="J400" s="9">
        <v>41267</v>
      </c>
      <c r="K400" s="8">
        <v>71</v>
      </c>
      <c r="L400" s="6">
        <v>2</v>
      </c>
      <c r="M400" s="5">
        <v>0</v>
      </c>
      <c r="N400" s="5">
        <v>6</v>
      </c>
      <c r="O400" s="5">
        <v>8</v>
      </c>
      <c r="P400" s="5">
        <v>6</v>
      </c>
      <c r="Q400" s="5">
        <v>5</v>
      </c>
      <c r="R400" s="8">
        <v>1</v>
      </c>
      <c r="S400" s="8">
        <v>1</v>
      </c>
      <c r="T400" s="8">
        <v>0</v>
      </c>
      <c r="U400" s="8">
        <v>3</v>
      </c>
      <c r="V400" s="8">
        <v>7</v>
      </c>
      <c r="W400" t="s">
        <v>473</v>
      </c>
      <c r="X400" t="s">
        <v>473</v>
      </c>
      <c r="Y400" t="s">
        <v>473</v>
      </c>
      <c r="Z400" t="s">
        <v>473</v>
      </c>
      <c r="AA400" t="s">
        <v>473</v>
      </c>
      <c r="AB400" t="s">
        <v>473</v>
      </c>
      <c r="AC400" s="10">
        <v>3</v>
      </c>
      <c r="AD400" s="10">
        <v>11</v>
      </c>
      <c r="AE400" t="s">
        <v>473</v>
      </c>
    </row>
    <row r="401" spans="1:31" x14ac:dyDescent="0.25">
      <c r="A401">
        <v>8213</v>
      </c>
      <c r="B401">
        <v>1980</v>
      </c>
      <c r="C401" t="s">
        <v>46</v>
      </c>
      <c r="D401" t="s">
        <v>31</v>
      </c>
      <c r="E401" t="str">
        <f>IF(OR(Table1[[#This Row],[marital_status]]="Married", Table1[[#This Row],[marital_status]]="Together"), "Partnered", "Single")</f>
        <v>Partnered</v>
      </c>
      <c r="F401" s="7">
        <v>14515</v>
      </c>
      <c r="G401" s="8">
        <v>1</v>
      </c>
      <c r="H401" s="8">
        <v>0</v>
      </c>
      <c r="I401" s="8">
        <f>Table1[[#This Row],[kids]]+Table1[[#This Row],[teens]]</f>
        <v>1</v>
      </c>
      <c r="J401" s="9">
        <v>41222</v>
      </c>
      <c r="K401" s="8">
        <v>71</v>
      </c>
      <c r="L401" s="6">
        <v>6</v>
      </c>
      <c r="M401" s="5">
        <v>4</v>
      </c>
      <c r="N401" s="5">
        <v>9</v>
      </c>
      <c r="O401" s="5">
        <v>6</v>
      </c>
      <c r="P401" s="5">
        <v>36</v>
      </c>
      <c r="Q401" s="5">
        <v>35</v>
      </c>
      <c r="R401" s="8">
        <v>4</v>
      </c>
      <c r="S401" s="8">
        <v>2</v>
      </c>
      <c r="T401" s="8">
        <v>2</v>
      </c>
      <c r="U401" s="8">
        <v>3</v>
      </c>
      <c r="V401" s="8">
        <v>7</v>
      </c>
      <c r="W401" t="s">
        <v>473</v>
      </c>
      <c r="X401" t="s">
        <v>473</v>
      </c>
      <c r="Y401" t="s">
        <v>473</v>
      </c>
      <c r="Z401" t="s">
        <v>473</v>
      </c>
      <c r="AA401" t="s">
        <v>473</v>
      </c>
      <c r="AB401" t="s">
        <v>473</v>
      </c>
      <c r="AC401" s="10">
        <v>3</v>
      </c>
      <c r="AD401" s="10">
        <v>11</v>
      </c>
      <c r="AE401" t="s">
        <v>474</v>
      </c>
    </row>
    <row r="402" spans="1:31" x14ac:dyDescent="0.25">
      <c r="A402">
        <v>2488</v>
      </c>
      <c r="B402">
        <v>1956</v>
      </c>
      <c r="C402" t="s">
        <v>46</v>
      </c>
      <c r="D402" t="s">
        <v>37</v>
      </c>
      <c r="E402" t="str">
        <f>IF(OR(Table1[[#This Row],[marital_status]]="Married", Table1[[#This Row],[marital_status]]="Together"), "Partnered", "Single")</f>
        <v>Single</v>
      </c>
      <c r="F402" s="7">
        <v>31395</v>
      </c>
      <c r="G402" s="8">
        <v>1</v>
      </c>
      <c r="H402" s="8">
        <v>1</v>
      </c>
      <c r="I402" s="8">
        <f>Table1[[#This Row],[kids]]+Table1[[#This Row],[teens]]</f>
        <v>2</v>
      </c>
      <c r="J402" s="9">
        <v>41356</v>
      </c>
      <c r="K402" s="8">
        <v>80</v>
      </c>
      <c r="L402" s="6">
        <v>23</v>
      </c>
      <c r="M402" s="5">
        <v>1</v>
      </c>
      <c r="N402" s="5">
        <v>25</v>
      </c>
      <c r="O402" s="5">
        <v>0</v>
      </c>
      <c r="P402" s="5">
        <v>8</v>
      </c>
      <c r="Q402" s="5">
        <v>7</v>
      </c>
      <c r="R402" s="8">
        <v>4</v>
      </c>
      <c r="S402" s="8">
        <v>2</v>
      </c>
      <c r="T402" s="8">
        <v>1</v>
      </c>
      <c r="U402" s="8">
        <v>3</v>
      </c>
      <c r="V402" s="8">
        <v>6</v>
      </c>
      <c r="W402" t="s">
        <v>473</v>
      </c>
      <c r="X402" t="s">
        <v>473</v>
      </c>
      <c r="Y402" t="s">
        <v>473</v>
      </c>
      <c r="Z402" t="s">
        <v>473</v>
      </c>
      <c r="AA402" t="s">
        <v>473</v>
      </c>
      <c r="AB402" t="s">
        <v>473</v>
      </c>
      <c r="AC402" s="10">
        <v>3</v>
      </c>
      <c r="AD402" s="10">
        <v>11</v>
      </c>
      <c r="AE402" t="s">
        <v>473</v>
      </c>
    </row>
    <row r="403" spans="1:31" x14ac:dyDescent="0.25">
      <c r="A403">
        <v>9999</v>
      </c>
      <c r="B403">
        <v>1965</v>
      </c>
      <c r="C403" t="s">
        <v>466</v>
      </c>
      <c r="D403" t="s">
        <v>31</v>
      </c>
      <c r="E403" t="str">
        <f>IF(OR(Table1[[#This Row],[marital_status]]="Married", Table1[[#This Row],[marital_status]]="Together"), "Partnered", "Single")</f>
        <v>Partnered</v>
      </c>
      <c r="F403" s="7">
        <v>75276</v>
      </c>
      <c r="G403" s="8">
        <v>0</v>
      </c>
      <c r="H403" s="8">
        <v>0</v>
      </c>
      <c r="I403" s="8">
        <f>Table1[[#This Row],[kids]]+Table1[[#This Row],[teens]]</f>
        <v>0</v>
      </c>
      <c r="J403" s="9">
        <v>41179</v>
      </c>
      <c r="K403" s="8">
        <v>2</v>
      </c>
      <c r="L403" s="6">
        <v>610</v>
      </c>
      <c r="M403" s="5">
        <v>105</v>
      </c>
      <c r="N403" s="5">
        <v>125</v>
      </c>
      <c r="O403" s="5">
        <v>137</v>
      </c>
      <c r="P403" s="5">
        <v>42</v>
      </c>
      <c r="Q403" s="5">
        <v>21</v>
      </c>
      <c r="R403" s="8">
        <v>1</v>
      </c>
      <c r="S403" s="8">
        <v>9</v>
      </c>
      <c r="T403" s="8">
        <v>4</v>
      </c>
      <c r="U403" s="8">
        <v>9</v>
      </c>
      <c r="V403" s="8">
        <v>5</v>
      </c>
      <c r="W403" t="s">
        <v>473</v>
      </c>
      <c r="X403" t="s">
        <v>473</v>
      </c>
      <c r="Y403" t="s">
        <v>473</v>
      </c>
      <c r="Z403" t="s">
        <v>473</v>
      </c>
      <c r="AA403" t="s">
        <v>473</v>
      </c>
      <c r="AB403" t="s">
        <v>473</v>
      </c>
      <c r="AC403" s="10">
        <v>3</v>
      </c>
      <c r="AD403" s="10">
        <v>11</v>
      </c>
      <c r="AE403" t="s">
        <v>473</v>
      </c>
    </row>
    <row r="404" spans="1:31" x14ac:dyDescent="0.25">
      <c r="A404">
        <v>7617</v>
      </c>
      <c r="B404">
        <v>1974</v>
      </c>
      <c r="C404" t="s">
        <v>466</v>
      </c>
      <c r="D404" t="s">
        <v>30</v>
      </c>
      <c r="E404" t="str">
        <f>IF(OR(Table1[[#This Row],[marital_status]]="Married", Table1[[#This Row],[marital_status]]="Together"), "Partnered", "Single")</f>
        <v>Single</v>
      </c>
      <c r="F404" s="7">
        <v>42373</v>
      </c>
      <c r="G404" s="8">
        <v>1</v>
      </c>
      <c r="H404" s="8">
        <v>1</v>
      </c>
      <c r="I404" s="8">
        <f>Table1[[#This Row],[kids]]+Table1[[#This Row],[teens]]</f>
        <v>2</v>
      </c>
      <c r="J404" s="9">
        <v>41501</v>
      </c>
      <c r="K404" s="8">
        <v>83</v>
      </c>
      <c r="L404" s="6">
        <v>67</v>
      </c>
      <c r="M404" s="5">
        <v>5</v>
      </c>
      <c r="N404" s="5">
        <v>61</v>
      </c>
      <c r="O404" s="5">
        <v>3</v>
      </c>
      <c r="P404" s="5">
        <v>8</v>
      </c>
      <c r="Q404" s="5">
        <v>19</v>
      </c>
      <c r="R404" s="8">
        <v>5</v>
      </c>
      <c r="S404" s="8">
        <v>2</v>
      </c>
      <c r="T404" s="8">
        <v>1</v>
      </c>
      <c r="U404" s="8">
        <v>5</v>
      </c>
      <c r="V404" s="8">
        <v>5</v>
      </c>
      <c r="W404" t="s">
        <v>473</v>
      </c>
      <c r="X404" t="s">
        <v>473</v>
      </c>
      <c r="Y404" t="s">
        <v>473</v>
      </c>
      <c r="Z404" t="s">
        <v>473</v>
      </c>
      <c r="AA404" t="s">
        <v>473</v>
      </c>
      <c r="AB404" t="s">
        <v>473</v>
      </c>
      <c r="AC404" s="10">
        <v>3</v>
      </c>
      <c r="AD404" s="10">
        <v>11</v>
      </c>
      <c r="AE404" t="s">
        <v>473</v>
      </c>
    </row>
    <row r="405" spans="1:31" x14ac:dyDescent="0.25">
      <c r="A405">
        <v>615</v>
      </c>
      <c r="B405">
        <v>1960</v>
      </c>
      <c r="C405" t="s">
        <v>466</v>
      </c>
      <c r="D405" t="s">
        <v>31</v>
      </c>
      <c r="E405" t="str">
        <f>IF(OR(Table1[[#This Row],[marital_status]]="Married", Table1[[#This Row],[marital_status]]="Together"), "Partnered", "Single")</f>
        <v>Partnered</v>
      </c>
      <c r="F405" s="7">
        <v>30507</v>
      </c>
      <c r="G405" s="8">
        <v>0</v>
      </c>
      <c r="H405" s="8">
        <v>0</v>
      </c>
      <c r="I405" s="8">
        <f>Table1[[#This Row],[kids]]+Table1[[#This Row],[teens]]</f>
        <v>0</v>
      </c>
      <c r="J405" s="9">
        <v>41344</v>
      </c>
      <c r="K405" s="8">
        <v>29</v>
      </c>
      <c r="L405" s="6">
        <v>65</v>
      </c>
      <c r="M405" s="5">
        <v>36</v>
      </c>
      <c r="N405" s="5">
        <v>74</v>
      </c>
      <c r="O405" s="5">
        <v>38</v>
      </c>
      <c r="P405" s="5">
        <v>20</v>
      </c>
      <c r="Q405" s="5">
        <v>110</v>
      </c>
      <c r="R405" s="8">
        <v>1</v>
      </c>
      <c r="S405" s="8">
        <v>5</v>
      </c>
      <c r="T405" s="8">
        <v>1</v>
      </c>
      <c r="U405" s="8">
        <v>4</v>
      </c>
      <c r="V405" s="8">
        <v>7</v>
      </c>
      <c r="W405" t="s">
        <v>473</v>
      </c>
      <c r="X405" t="s">
        <v>473</v>
      </c>
      <c r="Y405" t="s">
        <v>473</v>
      </c>
      <c r="Z405" t="s">
        <v>473</v>
      </c>
      <c r="AA405" t="s">
        <v>473</v>
      </c>
      <c r="AB405" t="s">
        <v>473</v>
      </c>
      <c r="AC405" s="10">
        <v>3</v>
      </c>
      <c r="AD405" s="10">
        <v>11</v>
      </c>
      <c r="AE405" t="s">
        <v>473</v>
      </c>
    </row>
    <row r="406" spans="1:31" x14ac:dyDescent="0.25">
      <c r="A406">
        <v>2552</v>
      </c>
      <c r="B406">
        <v>1955</v>
      </c>
      <c r="C406" t="s">
        <v>33</v>
      </c>
      <c r="D406" t="s">
        <v>30</v>
      </c>
      <c r="E406" t="str">
        <f>IF(OR(Table1[[#This Row],[marital_status]]="Married", Table1[[#This Row],[marital_status]]="Together"), "Partnered", "Single")</f>
        <v>Single</v>
      </c>
      <c r="F406" s="7">
        <v>55521</v>
      </c>
      <c r="G406" s="8">
        <v>1</v>
      </c>
      <c r="H406" s="8">
        <v>2</v>
      </c>
      <c r="I406" s="8">
        <f>Table1[[#This Row],[kids]]+Table1[[#This Row],[teens]]</f>
        <v>3</v>
      </c>
      <c r="J406" s="9">
        <v>41569</v>
      </c>
      <c r="K406" s="8">
        <v>11</v>
      </c>
      <c r="L406" s="6">
        <v>416</v>
      </c>
      <c r="M406" s="5">
        <v>0</v>
      </c>
      <c r="N406" s="5">
        <v>26</v>
      </c>
      <c r="O406" s="5">
        <v>0</v>
      </c>
      <c r="P406" s="5">
        <v>0</v>
      </c>
      <c r="Q406" s="5">
        <v>4</v>
      </c>
      <c r="R406" s="8">
        <v>9</v>
      </c>
      <c r="S406" s="8">
        <v>6</v>
      </c>
      <c r="T406" s="8">
        <v>3</v>
      </c>
      <c r="U406" s="8">
        <v>6</v>
      </c>
      <c r="V406" s="8">
        <v>7</v>
      </c>
      <c r="W406" t="s">
        <v>473</v>
      </c>
      <c r="X406" t="s">
        <v>474</v>
      </c>
      <c r="Y406" t="s">
        <v>473</v>
      </c>
      <c r="Z406" t="s">
        <v>473</v>
      </c>
      <c r="AA406" t="s">
        <v>473</v>
      </c>
      <c r="AB406" t="s">
        <v>473</v>
      </c>
      <c r="AC406" s="10">
        <v>3</v>
      </c>
      <c r="AD406" s="10">
        <v>11</v>
      </c>
      <c r="AE406" t="s">
        <v>474</v>
      </c>
    </row>
    <row r="407" spans="1:31" x14ac:dyDescent="0.25">
      <c r="A407">
        <v>194</v>
      </c>
      <c r="B407">
        <v>1965</v>
      </c>
      <c r="C407" t="s">
        <v>466</v>
      </c>
      <c r="D407" t="s">
        <v>34</v>
      </c>
      <c r="E407" t="str">
        <f>IF(OR(Table1[[#This Row],[marital_status]]="Married", Table1[[#This Row],[marital_status]]="Together"), "Partnered", "Single")</f>
        <v>Partnered</v>
      </c>
      <c r="F407" s="7">
        <v>48006</v>
      </c>
      <c r="G407" s="8">
        <v>1</v>
      </c>
      <c r="H407" s="8">
        <v>1</v>
      </c>
      <c r="I407" s="8">
        <f>Table1[[#This Row],[kids]]+Table1[[#This Row],[teens]]</f>
        <v>2</v>
      </c>
      <c r="J407" s="9">
        <v>41799</v>
      </c>
      <c r="K407" s="8">
        <v>55</v>
      </c>
      <c r="L407" s="6">
        <v>23</v>
      </c>
      <c r="M407" s="5">
        <v>0</v>
      </c>
      <c r="N407" s="5">
        <v>11</v>
      </c>
      <c r="O407" s="5">
        <v>3</v>
      </c>
      <c r="P407" s="5">
        <v>2</v>
      </c>
      <c r="Q407" s="5">
        <v>2</v>
      </c>
      <c r="R407" s="8">
        <v>1</v>
      </c>
      <c r="S407" s="8">
        <v>1</v>
      </c>
      <c r="T407" s="8">
        <v>0</v>
      </c>
      <c r="U407" s="8">
        <v>3</v>
      </c>
      <c r="V407" s="8">
        <v>6</v>
      </c>
      <c r="W407" t="s">
        <v>473</v>
      </c>
      <c r="X407" t="s">
        <v>473</v>
      </c>
      <c r="Y407" t="s">
        <v>473</v>
      </c>
      <c r="Z407" t="s">
        <v>473</v>
      </c>
      <c r="AA407" t="s">
        <v>473</v>
      </c>
      <c r="AB407" t="s">
        <v>473</v>
      </c>
      <c r="AC407" s="10">
        <v>3</v>
      </c>
      <c r="AD407" s="10">
        <v>11</v>
      </c>
      <c r="AE407" t="s">
        <v>473</v>
      </c>
    </row>
    <row r="408" spans="1:31" x14ac:dyDescent="0.25">
      <c r="A408">
        <v>3645</v>
      </c>
      <c r="B408">
        <v>1972</v>
      </c>
      <c r="C408" t="s">
        <v>33</v>
      </c>
      <c r="D408" t="s">
        <v>30</v>
      </c>
      <c r="E408" t="str">
        <f>IF(OR(Table1[[#This Row],[marital_status]]="Married", Table1[[#This Row],[marital_status]]="Together"), "Partnered", "Single")</f>
        <v>Single</v>
      </c>
      <c r="F408" s="7">
        <v>27213</v>
      </c>
      <c r="G408" s="8">
        <v>1</v>
      </c>
      <c r="H408" s="8">
        <v>0</v>
      </c>
      <c r="I408" s="8">
        <f>Table1[[#This Row],[kids]]+Table1[[#This Row],[teens]]</f>
        <v>1</v>
      </c>
      <c r="J408" s="9">
        <v>41151</v>
      </c>
      <c r="K408" s="8">
        <v>19</v>
      </c>
      <c r="L408" s="6">
        <v>19</v>
      </c>
      <c r="M408" s="5">
        <v>3</v>
      </c>
      <c r="N408" s="5">
        <v>26</v>
      </c>
      <c r="O408" s="5">
        <v>10</v>
      </c>
      <c r="P408" s="5">
        <v>9</v>
      </c>
      <c r="Q408" s="5">
        <v>3</v>
      </c>
      <c r="R408" s="8">
        <v>3</v>
      </c>
      <c r="S408" s="8">
        <v>2</v>
      </c>
      <c r="T408" s="8">
        <v>0</v>
      </c>
      <c r="U408" s="8">
        <v>4</v>
      </c>
      <c r="V408" s="8">
        <v>8</v>
      </c>
      <c r="W408" t="s">
        <v>473</v>
      </c>
      <c r="X408" t="s">
        <v>473</v>
      </c>
      <c r="Y408" t="s">
        <v>473</v>
      </c>
      <c r="Z408" t="s">
        <v>473</v>
      </c>
      <c r="AA408" t="s">
        <v>473</v>
      </c>
      <c r="AB408" t="s">
        <v>473</v>
      </c>
      <c r="AC408" s="10">
        <v>3</v>
      </c>
      <c r="AD408" s="10">
        <v>11</v>
      </c>
      <c r="AE408" t="s">
        <v>474</v>
      </c>
    </row>
    <row r="409" spans="1:31" x14ac:dyDescent="0.25">
      <c r="A409">
        <v>8890</v>
      </c>
      <c r="B409">
        <v>1971</v>
      </c>
      <c r="C409" t="s">
        <v>33</v>
      </c>
      <c r="D409" t="s">
        <v>37</v>
      </c>
      <c r="E409" t="str">
        <f>IF(OR(Table1[[#This Row],[marital_status]]="Married", Table1[[#This Row],[marital_status]]="Together"), "Partnered", "Single")</f>
        <v>Single</v>
      </c>
      <c r="F409" s="7">
        <v>65808</v>
      </c>
      <c r="G409" s="8">
        <v>1</v>
      </c>
      <c r="H409" s="8">
        <v>1</v>
      </c>
      <c r="I409" s="8">
        <f>Table1[[#This Row],[kids]]+Table1[[#This Row],[teens]]</f>
        <v>2</v>
      </c>
      <c r="J409" s="9">
        <v>41789</v>
      </c>
      <c r="K409" s="8">
        <v>1</v>
      </c>
      <c r="L409" s="6">
        <v>155</v>
      </c>
      <c r="M409" s="5">
        <v>7</v>
      </c>
      <c r="N409" s="5">
        <v>80</v>
      </c>
      <c r="O409" s="5">
        <v>13</v>
      </c>
      <c r="P409" s="5">
        <v>7</v>
      </c>
      <c r="Q409" s="5">
        <v>10</v>
      </c>
      <c r="R409" s="8">
        <v>3</v>
      </c>
      <c r="S409" s="8">
        <v>5</v>
      </c>
      <c r="T409" s="8">
        <v>1</v>
      </c>
      <c r="U409" s="8">
        <v>5</v>
      </c>
      <c r="V409" s="8">
        <v>6</v>
      </c>
      <c r="W409" t="s">
        <v>473</v>
      </c>
      <c r="X409" t="s">
        <v>473</v>
      </c>
      <c r="Y409" t="s">
        <v>473</v>
      </c>
      <c r="Z409" t="s">
        <v>473</v>
      </c>
      <c r="AA409" t="s">
        <v>473</v>
      </c>
      <c r="AB409" t="s">
        <v>473</v>
      </c>
      <c r="AC409" s="10">
        <v>3</v>
      </c>
      <c r="AD409" s="10">
        <v>11</v>
      </c>
      <c r="AE409" t="s">
        <v>473</v>
      </c>
    </row>
    <row r="410" spans="1:31" x14ac:dyDescent="0.25">
      <c r="A410">
        <v>5049</v>
      </c>
      <c r="B410">
        <v>1974</v>
      </c>
      <c r="C410" t="s">
        <v>33</v>
      </c>
      <c r="D410" t="s">
        <v>31</v>
      </c>
      <c r="E410" t="str">
        <f>IF(OR(Table1[[#This Row],[marital_status]]="Married", Table1[[#This Row],[marital_status]]="Together"), "Partnered", "Single")</f>
        <v>Partnered</v>
      </c>
      <c r="F410" s="7">
        <v>30351</v>
      </c>
      <c r="G410" s="8">
        <v>1</v>
      </c>
      <c r="H410" s="8">
        <v>0</v>
      </c>
      <c r="I410" s="8">
        <f>Table1[[#This Row],[kids]]+Table1[[#This Row],[teens]]</f>
        <v>1</v>
      </c>
      <c r="J410" s="9">
        <v>41431</v>
      </c>
      <c r="K410" s="8">
        <v>19</v>
      </c>
      <c r="L410" s="6">
        <v>14</v>
      </c>
      <c r="M410" s="5">
        <v>0</v>
      </c>
      <c r="N410" s="5">
        <v>24</v>
      </c>
      <c r="O410" s="5">
        <v>3</v>
      </c>
      <c r="P410" s="5">
        <v>3</v>
      </c>
      <c r="Q410" s="5">
        <v>2</v>
      </c>
      <c r="R410" s="8">
        <v>1</v>
      </c>
      <c r="S410" s="8">
        <v>3</v>
      </c>
      <c r="T410" s="8">
        <v>0</v>
      </c>
      <c r="U410" s="8">
        <v>2</v>
      </c>
      <c r="V410" s="8">
        <v>9</v>
      </c>
      <c r="W410" t="s">
        <v>473</v>
      </c>
      <c r="X410" t="s">
        <v>473</v>
      </c>
      <c r="Y410" t="s">
        <v>473</v>
      </c>
      <c r="Z410" t="s">
        <v>473</v>
      </c>
      <c r="AA410" t="s">
        <v>473</v>
      </c>
      <c r="AB410" t="s">
        <v>473</v>
      </c>
      <c r="AC410" s="10">
        <v>3</v>
      </c>
      <c r="AD410" s="10">
        <v>11</v>
      </c>
      <c r="AE410" t="s">
        <v>473</v>
      </c>
    </row>
    <row r="411" spans="1:31" x14ac:dyDescent="0.25">
      <c r="A411">
        <v>9973</v>
      </c>
      <c r="B411">
        <v>1963</v>
      </c>
      <c r="C411" t="s">
        <v>466</v>
      </c>
      <c r="D411" t="s">
        <v>34</v>
      </c>
      <c r="E411" t="str">
        <f>IF(OR(Table1[[#This Row],[marital_status]]="Married", Table1[[#This Row],[marital_status]]="Together"), "Partnered", "Single")</f>
        <v>Partnered</v>
      </c>
      <c r="F411" s="7">
        <v>50437</v>
      </c>
      <c r="G411" s="8">
        <v>0</v>
      </c>
      <c r="H411" s="8">
        <v>2</v>
      </c>
      <c r="I411" s="8">
        <f>Table1[[#This Row],[kids]]+Table1[[#This Row],[teens]]</f>
        <v>2</v>
      </c>
      <c r="J411" s="9">
        <v>41199</v>
      </c>
      <c r="K411" s="8">
        <v>28</v>
      </c>
      <c r="L411" s="6">
        <v>370</v>
      </c>
      <c r="M411" s="5">
        <v>9</v>
      </c>
      <c r="N411" s="5">
        <v>92</v>
      </c>
      <c r="O411" s="5">
        <v>6</v>
      </c>
      <c r="P411" s="5">
        <v>9</v>
      </c>
      <c r="Q411" s="5">
        <v>4</v>
      </c>
      <c r="R411" s="8">
        <v>3</v>
      </c>
      <c r="S411" s="8">
        <v>7</v>
      </c>
      <c r="T411" s="8">
        <v>1</v>
      </c>
      <c r="U411" s="8">
        <v>8</v>
      </c>
      <c r="V411" s="8">
        <v>7</v>
      </c>
      <c r="W411" t="s">
        <v>473</v>
      </c>
      <c r="X411" t="s">
        <v>473</v>
      </c>
      <c r="Y411" t="s">
        <v>473</v>
      </c>
      <c r="Z411" t="s">
        <v>473</v>
      </c>
      <c r="AA411" t="s">
        <v>473</v>
      </c>
      <c r="AB411" t="s">
        <v>473</v>
      </c>
      <c r="AC411" s="10">
        <v>3</v>
      </c>
      <c r="AD411" s="10">
        <v>11</v>
      </c>
      <c r="AE411" t="s">
        <v>473</v>
      </c>
    </row>
    <row r="412" spans="1:31" x14ac:dyDescent="0.25">
      <c r="A412">
        <v>7301</v>
      </c>
      <c r="B412">
        <v>1982</v>
      </c>
      <c r="C412" t="s">
        <v>46</v>
      </c>
      <c r="D412" t="s">
        <v>30</v>
      </c>
      <c r="E412" t="str">
        <f>IF(OR(Table1[[#This Row],[marital_status]]="Married", Table1[[#This Row],[marital_status]]="Together"), "Partnered", "Single")</f>
        <v>Single</v>
      </c>
      <c r="F412" s="7">
        <v>23616</v>
      </c>
      <c r="G412" s="8">
        <v>1</v>
      </c>
      <c r="H412" s="8">
        <v>0</v>
      </c>
      <c r="I412" s="8">
        <f>Table1[[#This Row],[kids]]+Table1[[#This Row],[teens]]</f>
        <v>1</v>
      </c>
      <c r="J412" s="9">
        <v>41230</v>
      </c>
      <c r="K412" s="8">
        <v>76</v>
      </c>
      <c r="L412" s="6">
        <v>4</v>
      </c>
      <c r="M412" s="5">
        <v>22</v>
      </c>
      <c r="N412" s="5">
        <v>11</v>
      </c>
      <c r="O412" s="5">
        <v>3</v>
      </c>
      <c r="P412" s="5">
        <v>7</v>
      </c>
      <c r="Q412" s="5">
        <v>32</v>
      </c>
      <c r="R412" s="8">
        <v>2</v>
      </c>
      <c r="S412" s="8">
        <v>3</v>
      </c>
      <c r="T412" s="8">
        <v>0</v>
      </c>
      <c r="U412" s="8">
        <v>3</v>
      </c>
      <c r="V412" s="8">
        <v>8</v>
      </c>
      <c r="W412" t="s">
        <v>473</v>
      </c>
      <c r="X412" t="s">
        <v>473</v>
      </c>
      <c r="Y412" t="s">
        <v>473</v>
      </c>
      <c r="Z412" t="s">
        <v>473</v>
      </c>
      <c r="AA412" t="s">
        <v>473</v>
      </c>
      <c r="AB412" t="s">
        <v>473</v>
      </c>
      <c r="AC412" s="10">
        <v>3</v>
      </c>
      <c r="AD412" s="10">
        <v>11</v>
      </c>
      <c r="AE412" t="s">
        <v>474</v>
      </c>
    </row>
    <row r="413" spans="1:31" x14ac:dyDescent="0.25">
      <c r="A413">
        <v>10882</v>
      </c>
      <c r="B413">
        <v>1976</v>
      </c>
      <c r="C413" t="s">
        <v>466</v>
      </c>
      <c r="D413" t="s">
        <v>34</v>
      </c>
      <c r="E413" t="str">
        <f>IF(OR(Table1[[#This Row],[marital_status]]="Married", Table1[[#This Row],[marital_status]]="Together"), "Partnered", "Single")</f>
        <v>Partnered</v>
      </c>
      <c r="F413" s="7">
        <v>53858</v>
      </c>
      <c r="G413" s="8">
        <v>0</v>
      </c>
      <c r="H413" s="8">
        <v>1</v>
      </c>
      <c r="I413" s="8">
        <f>Table1[[#This Row],[kids]]+Table1[[#This Row],[teens]]</f>
        <v>1</v>
      </c>
      <c r="J413" s="9">
        <v>41222</v>
      </c>
      <c r="K413" s="8">
        <v>50</v>
      </c>
      <c r="L413" s="6">
        <v>407</v>
      </c>
      <c r="M413" s="5">
        <v>53</v>
      </c>
      <c r="N413" s="5">
        <v>221</v>
      </c>
      <c r="O413" s="5">
        <v>58</v>
      </c>
      <c r="P413" s="5">
        <v>150</v>
      </c>
      <c r="Q413" s="5">
        <v>26</v>
      </c>
      <c r="R413" s="8">
        <v>4</v>
      </c>
      <c r="S413" s="8">
        <v>4</v>
      </c>
      <c r="T413" s="8">
        <v>3</v>
      </c>
      <c r="U413" s="8">
        <v>6</v>
      </c>
      <c r="V413" s="8">
        <v>4</v>
      </c>
      <c r="W413" t="s">
        <v>473</v>
      </c>
      <c r="X413" t="s">
        <v>473</v>
      </c>
      <c r="Y413" t="s">
        <v>473</v>
      </c>
      <c r="Z413" t="s">
        <v>473</v>
      </c>
      <c r="AA413" t="s">
        <v>473</v>
      </c>
      <c r="AB413" t="s">
        <v>473</v>
      </c>
      <c r="AC413" s="10">
        <v>3</v>
      </c>
      <c r="AD413" s="10">
        <v>11</v>
      </c>
      <c r="AE413" t="s">
        <v>473</v>
      </c>
    </row>
    <row r="414" spans="1:31" x14ac:dyDescent="0.25">
      <c r="A414">
        <v>7030</v>
      </c>
      <c r="B414">
        <v>1955</v>
      </c>
      <c r="C414" t="s">
        <v>33</v>
      </c>
      <c r="D414" t="s">
        <v>34</v>
      </c>
      <c r="E414" t="str">
        <f>IF(OR(Table1[[#This Row],[marital_status]]="Married", Table1[[#This Row],[marital_status]]="Together"), "Partnered", "Single")</f>
        <v>Partnered</v>
      </c>
      <c r="F414" s="7">
        <v>66465</v>
      </c>
      <c r="G414" s="8">
        <v>0</v>
      </c>
      <c r="H414" s="8">
        <v>1</v>
      </c>
      <c r="I414" s="8">
        <f>Table1[[#This Row],[kids]]+Table1[[#This Row],[teens]]</f>
        <v>1</v>
      </c>
      <c r="J414" s="9">
        <v>41363</v>
      </c>
      <c r="K414" s="8">
        <v>1</v>
      </c>
      <c r="L414" s="6">
        <v>1200</v>
      </c>
      <c r="M414" s="5">
        <v>0</v>
      </c>
      <c r="N414" s="5">
        <v>204</v>
      </c>
      <c r="O414" s="5">
        <v>38</v>
      </c>
      <c r="P414" s="5">
        <v>29</v>
      </c>
      <c r="Q414" s="5">
        <v>14</v>
      </c>
      <c r="R414" s="8">
        <v>3</v>
      </c>
      <c r="S414" s="8">
        <v>11</v>
      </c>
      <c r="T414" s="8">
        <v>9</v>
      </c>
      <c r="U414" s="8">
        <v>12</v>
      </c>
      <c r="V414" s="8">
        <v>6</v>
      </c>
      <c r="W414" t="s">
        <v>473</v>
      </c>
      <c r="X414" t="s">
        <v>473</v>
      </c>
      <c r="Y414" t="s">
        <v>473</v>
      </c>
      <c r="Z414" t="s">
        <v>474</v>
      </c>
      <c r="AA414" t="s">
        <v>473</v>
      </c>
      <c r="AB414" t="s">
        <v>473</v>
      </c>
      <c r="AC414" s="10">
        <v>3</v>
      </c>
      <c r="AD414" s="10">
        <v>11</v>
      </c>
      <c r="AE414" t="s">
        <v>473</v>
      </c>
    </row>
    <row r="415" spans="1:31" x14ac:dyDescent="0.25">
      <c r="A415">
        <v>7422</v>
      </c>
      <c r="B415">
        <v>1987</v>
      </c>
      <c r="C415" t="s">
        <v>466</v>
      </c>
      <c r="D415" t="s">
        <v>30</v>
      </c>
      <c r="E415" t="str">
        <f>IF(OR(Table1[[#This Row],[marital_status]]="Married", Table1[[#This Row],[marital_status]]="Together"), "Partnered", "Single")</f>
        <v>Single</v>
      </c>
      <c r="F415" s="7">
        <v>46923</v>
      </c>
      <c r="G415" s="8">
        <v>1</v>
      </c>
      <c r="H415" s="8">
        <v>0</v>
      </c>
      <c r="I415" s="8">
        <f>Table1[[#This Row],[kids]]+Table1[[#This Row],[teens]]</f>
        <v>1</v>
      </c>
      <c r="J415" s="9">
        <v>41143</v>
      </c>
      <c r="K415" s="8">
        <v>90</v>
      </c>
      <c r="L415" s="6">
        <v>85</v>
      </c>
      <c r="M415" s="5">
        <v>44</v>
      </c>
      <c r="N415" s="5">
        <v>54</v>
      </c>
      <c r="O415" s="5">
        <v>102</v>
      </c>
      <c r="P415" s="5">
        <v>78</v>
      </c>
      <c r="Q415" s="5">
        <v>6</v>
      </c>
      <c r="R415" s="8">
        <v>3</v>
      </c>
      <c r="S415" s="8">
        <v>5</v>
      </c>
      <c r="T415" s="8">
        <v>1</v>
      </c>
      <c r="U415" s="8">
        <v>7</v>
      </c>
      <c r="V415" s="8">
        <v>7</v>
      </c>
      <c r="W415" t="s">
        <v>473</v>
      </c>
      <c r="X415" t="s">
        <v>473</v>
      </c>
      <c r="Y415" t="s">
        <v>473</v>
      </c>
      <c r="Z415" t="s">
        <v>473</v>
      </c>
      <c r="AA415" t="s">
        <v>473</v>
      </c>
      <c r="AB415" t="s">
        <v>473</v>
      </c>
      <c r="AC415" s="10">
        <v>3</v>
      </c>
      <c r="AD415" s="10">
        <v>11</v>
      </c>
      <c r="AE415" t="s">
        <v>473</v>
      </c>
    </row>
    <row r="416" spans="1:31" x14ac:dyDescent="0.25">
      <c r="A416">
        <v>3523</v>
      </c>
      <c r="B416">
        <v>1962</v>
      </c>
      <c r="C416" t="s">
        <v>466</v>
      </c>
      <c r="D416" t="s">
        <v>31</v>
      </c>
      <c r="E416" t="str">
        <f>IF(OR(Table1[[#This Row],[marital_status]]="Married", Table1[[#This Row],[marital_status]]="Together"), "Partnered", "Single")</f>
        <v>Partnered</v>
      </c>
      <c r="F416" s="7">
        <v>75072</v>
      </c>
      <c r="G416" s="8">
        <v>0</v>
      </c>
      <c r="H416" s="8">
        <v>1</v>
      </c>
      <c r="I416" s="8">
        <f>Table1[[#This Row],[kids]]+Table1[[#This Row],[teens]]</f>
        <v>1</v>
      </c>
      <c r="J416" s="9">
        <v>41297</v>
      </c>
      <c r="K416" s="8">
        <v>83</v>
      </c>
      <c r="L416" s="6">
        <v>583</v>
      </c>
      <c r="M416" s="5">
        <v>34</v>
      </c>
      <c r="N416" s="5">
        <v>309</v>
      </c>
      <c r="O416" s="5">
        <v>0</v>
      </c>
      <c r="P416" s="5">
        <v>22</v>
      </c>
      <c r="Q416" s="5">
        <v>125</v>
      </c>
      <c r="R416" s="8">
        <v>2</v>
      </c>
      <c r="S416" s="8">
        <v>5</v>
      </c>
      <c r="T416" s="8">
        <v>4</v>
      </c>
      <c r="U416" s="8">
        <v>8</v>
      </c>
      <c r="V416" s="8">
        <v>3</v>
      </c>
      <c r="W416" t="s">
        <v>473</v>
      </c>
      <c r="X416" t="s">
        <v>473</v>
      </c>
      <c r="Y416" t="s">
        <v>473</v>
      </c>
      <c r="Z416" t="s">
        <v>473</v>
      </c>
      <c r="AA416" t="s">
        <v>473</v>
      </c>
      <c r="AB416" t="s">
        <v>473</v>
      </c>
      <c r="AC416" s="10">
        <v>3</v>
      </c>
      <c r="AD416" s="10">
        <v>11</v>
      </c>
      <c r="AE416" t="s">
        <v>473</v>
      </c>
    </row>
    <row r="417" spans="1:31" x14ac:dyDescent="0.25">
      <c r="A417">
        <v>7106</v>
      </c>
      <c r="B417">
        <v>1943</v>
      </c>
      <c r="C417" t="s">
        <v>33</v>
      </c>
      <c r="D417" t="s">
        <v>34</v>
      </c>
      <c r="E417" t="str">
        <f>IF(OR(Table1[[#This Row],[marital_status]]="Married", Table1[[#This Row],[marital_status]]="Together"), "Partnered", "Single")</f>
        <v>Partnered</v>
      </c>
      <c r="F417" s="7">
        <v>75865</v>
      </c>
      <c r="G417" s="8">
        <v>0</v>
      </c>
      <c r="H417" s="8">
        <v>0</v>
      </c>
      <c r="I417" s="8">
        <f>Table1[[#This Row],[kids]]+Table1[[#This Row],[teens]]</f>
        <v>0</v>
      </c>
      <c r="J417" s="9">
        <v>41729</v>
      </c>
      <c r="K417" s="8">
        <v>73</v>
      </c>
      <c r="L417" s="6">
        <v>483</v>
      </c>
      <c r="M417" s="5">
        <v>0</v>
      </c>
      <c r="N417" s="5">
        <v>591</v>
      </c>
      <c r="O417" s="5">
        <v>156</v>
      </c>
      <c r="P417" s="5">
        <v>0</v>
      </c>
      <c r="Q417" s="5">
        <v>12</v>
      </c>
      <c r="R417" s="8">
        <v>1</v>
      </c>
      <c r="S417" s="8">
        <v>3</v>
      </c>
      <c r="T417" s="8">
        <v>5</v>
      </c>
      <c r="U417" s="8">
        <v>10</v>
      </c>
      <c r="V417" s="8">
        <v>1</v>
      </c>
      <c r="W417" t="s">
        <v>473</v>
      </c>
      <c r="X417" t="s">
        <v>473</v>
      </c>
      <c r="Y417" t="s">
        <v>473</v>
      </c>
      <c r="Z417" t="s">
        <v>473</v>
      </c>
      <c r="AA417" t="s">
        <v>473</v>
      </c>
      <c r="AB417" t="s">
        <v>473</v>
      </c>
      <c r="AC417" s="10">
        <v>3</v>
      </c>
      <c r="AD417" s="10">
        <v>11</v>
      </c>
      <c r="AE417" t="s">
        <v>473</v>
      </c>
    </row>
    <row r="418" spans="1:31" x14ac:dyDescent="0.25">
      <c r="A418">
        <v>6504</v>
      </c>
      <c r="B418">
        <v>1975</v>
      </c>
      <c r="C418" t="s">
        <v>46</v>
      </c>
      <c r="D418" t="s">
        <v>31</v>
      </c>
      <c r="E418" t="str">
        <f>IF(OR(Table1[[#This Row],[marital_status]]="Married", Table1[[#This Row],[marital_status]]="Together"), "Partnered", "Single")</f>
        <v>Partnered</v>
      </c>
      <c r="F418" s="7">
        <v>19789</v>
      </c>
      <c r="G418" s="8">
        <v>1</v>
      </c>
      <c r="H418" s="8">
        <v>0</v>
      </c>
      <c r="I418" s="8">
        <f>Table1[[#This Row],[kids]]+Table1[[#This Row],[teens]]</f>
        <v>1</v>
      </c>
      <c r="J418" s="9">
        <v>41598</v>
      </c>
      <c r="K418" s="8">
        <v>24</v>
      </c>
      <c r="L418" s="6">
        <v>2</v>
      </c>
      <c r="M418" s="5">
        <v>5</v>
      </c>
      <c r="N418" s="5">
        <v>9</v>
      </c>
      <c r="O418" s="5">
        <v>28</v>
      </c>
      <c r="P418" s="5">
        <v>6</v>
      </c>
      <c r="Q418" s="5">
        <v>28</v>
      </c>
      <c r="R418" s="8">
        <v>3</v>
      </c>
      <c r="S418" s="8">
        <v>2</v>
      </c>
      <c r="T418" s="8">
        <v>1</v>
      </c>
      <c r="U418" s="8">
        <v>3</v>
      </c>
      <c r="V418" s="8">
        <v>5</v>
      </c>
      <c r="W418" t="s">
        <v>474</v>
      </c>
      <c r="X418" t="s">
        <v>473</v>
      </c>
      <c r="Y418" t="s">
        <v>473</v>
      </c>
      <c r="Z418" t="s">
        <v>473</v>
      </c>
      <c r="AA418" t="s">
        <v>473</v>
      </c>
      <c r="AB418" t="s">
        <v>473</v>
      </c>
      <c r="AC418" s="10">
        <v>3</v>
      </c>
      <c r="AD418" s="10">
        <v>11</v>
      </c>
      <c r="AE418" t="s">
        <v>473</v>
      </c>
    </row>
    <row r="419" spans="1:31" x14ac:dyDescent="0.25">
      <c r="A419">
        <v>5067</v>
      </c>
      <c r="B419">
        <v>1994</v>
      </c>
      <c r="C419" t="s">
        <v>466</v>
      </c>
      <c r="D419" t="s">
        <v>31</v>
      </c>
      <c r="E419" t="str">
        <f>IF(OR(Table1[[#This Row],[marital_status]]="Married", Table1[[#This Row],[marital_status]]="Together"), "Partnered", "Single")</f>
        <v>Partnered</v>
      </c>
      <c r="F419" s="7">
        <v>80134</v>
      </c>
      <c r="G419" s="8">
        <v>0</v>
      </c>
      <c r="H419" s="8">
        <v>0</v>
      </c>
      <c r="I419" s="8">
        <f>Table1[[#This Row],[kids]]+Table1[[#This Row],[teens]]</f>
        <v>0</v>
      </c>
      <c r="J419" s="9">
        <v>41684</v>
      </c>
      <c r="K419" s="8">
        <v>11</v>
      </c>
      <c r="L419" s="6">
        <v>966</v>
      </c>
      <c r="M419" s="5">
        <v>26</v>
      </c>
      <c r="N419" s="5">
        <v>282</v>
      </c>
      <c r="O419" s="5">
        <v>52</v>
      </c>
      <c r="P419" s="5">
        <v>26</v>
      </c>
      <c r="Q419" s="5">
        <v>26</v>
      </c>
      <c r="R419" s="8">
        <v>1</v>
      </c>
      <c r="S419" s="8">
        <v>2</v>
      </c>
      <c r="T419" s="8">
        <v>7</v>
      </c>
      <c r="U419" s="8">
        <v>11</v>
      </c>
      <c r="V419" s="8">
        <v>5</v>
      </c>
      <c r="W419" t="s">
        <v>473</v>
      </c>
      <c r="X419" t="s">
        <v>474</v>
      </c>
      <c r="Y419" t="s">
        <v>474</v>
      </c>
      <c r="Z419" t="s">
        <v>474</v>
      </c>
      <c r="AA419" t="s">
        <v>474</v>
      </c>
      <c r="AB419" t="s">
        <v>473</v>
      </c>
      <c r="AC419" s="10">
        <v>3</v>
      </c>
      <c r="AD419" s="10">
        <v>11</v>
      </c>
      <c r="AE419" t="s">
        <v>473</v>
      </c>
    </row>
    <row r="420" spans="1:31" x14ac:dyDescent="0.25">
      <c r="A420">
        <v>4216</v>
      </c>
      <c r="B420">
        <v>1981</v>
      </c>
      <c r="C420" t="s">
        <v>466</v>
      </c>
      <c r="D420" t="s">
        <v>30</v>
      </c>
      <c r="E420" t="str">
        <f>IF(OR(Table1[[#This Row],[marital_status]]="Married", Table1[[#This Row],[marital_status]]="Together"), "Partnered", "Single")</f>
        <v>Single</v>
      </c>
      <c r="F420" s="7">
        <v>91065</v>
      </c>
      <c r="G420" s="8">
        <v>0</v>
      </c>
      <c r="H420" s="8">
        <v>0</v>
      </c>
      <c r="I420" s="8">
        <f>Table1[[#This Row],[kids]]+Table1[[#This Row],[teens]]</f>
        <v>0</v>
      </c>
      <c r="J420" s="9">
        <v>41327</v>
      </c>
      <c r="K420" s="8">
        <v>33</v>
      </c>
      <c r="L420" s="6">
        <v>822</v>
      </c>
      <c r="M420" s="5">
        <v>114</v>
      </c>
      <c r="N420" s="5">
        <v>108</v>
      </c>
      <c r="O420" s="5">
        <v>179</v>
      </c>
      <c r="P420" s="5">
        <v>137</v>
      </c>
      <c r="Q420" s="5">
        <v>114</v>
      </c>
      <c r="R420" s="8">
        <v>1</v>
      </c>
      <c r="S420" s="8">
        <v>7</v>
      </c>
      <c r="T420" s="8">
        <v>9</v>
      </c>
      <c r="U420" s="8">
        <v>9</v>
      </c>
      <c r="V420" s="8">
        <v>3</v>
      </c>
      <c r="W420" t="s">
        <v>473</v>
      </c>
      <c r="X420" t="s">
        <v>473</v>
      </c>
      <c r="Y420" t="s">
        <v>474</v>
      </c>
      <c r="Z420" t="s">
        <v>474</v>
      </c>
      <c r="AA420" t="s">
        <v>473</v>
      </c>
      <c r="AB420" t="s">
        <v>473</v>
      </c>
      <c r="AC420" s="10">
        <v>3</v>
      </c>
      <c r="AD420" s="10">
        <v>11</v>
      </c>
      <c r="AE420" t="s">
        <v>474</v>
      </c>
    </row>
    <row r="421" spans="1:31" x14ac:dyDescent="0.25">
      <c r="A421">
        <v>8581</v>
      </c>
      <c r="B421">
        <v>1971</v>
      </c>
      <c r="C421" t="s">
        <v>36</v>
      </c>
      <c r="D421" t="s">
        <v>34</v>
      </c>
      <c r="E421" t="str">
        <f>IF(OR(Table1[[#This Row],[marital_status]]="Married", Table1[[#This Row],[marital_status]]="Together"), "Partnered", "Single")</f>
        <v>Partnered</v>
      </c>
      <c r="F421" s="7">
        <v>49505</v>
      </c>
      <c r="G421" s="8">
        <v>1</v>
      </c>
      <c r="H421" s="8">
        <v>1</v>
      </c>
      <c r="I421" s="8">
        <f>Table1[[#This Row],[kids]]+Table1[[#This Row],[teens]]</f>
        <v>2</v>
      </c>
      <c r="J421" s="9">
        <v>41338</v>
      </c>
      <c r="K421" s="8">
        <v>4</v>
      </c>
      <c r="L421" s="6">
        <v>604</v>
      </c>
      <c r="M421" s="5">
        <v>0</v>
      </c>
      <c r="N421" s="5">
        <v>100</v>
      </c>
      <c r="O421" s="5">
        <v>19</v>
      </c>
      <c r="P421" s="5">
        <v>0</v>
      </c>
      <c r="Q421" s="5">
        <v>28</v>
      </c>
      <c r="R421" s="8">
        <v>9</v>
      </c>
      <c r="S421" s="8">
        <v>10</v>
      </c>
      <c r="T421" s="8">
        <v>2</v>
      </c>
      <c r="U421" s="8">
        <v>8</v>
      </c>
      <c r="V421" s="8">
        <v>8</v>
      </c>
      <c r="W421" t="s">
        <v>473</v>
      </c>
      <c r="X421" t="s">
        <v>473</v>
      </c>
      <c r="Y421" t="s">
        <v>473</v>
      </c>
      <c r="Z421" t="s">
        <v>473</v>
      </c>
      <c r="AA421" t="s">
        <v>473</v>
      </c>
      <c r="AB421" t="s">
        <v>473</v>
      </c>
      <c r="AC421" s="10">
        <v>3</v>
      </c>
      <c r="AD421" s="10">
        <v>11</v>
      </c>
      <c r="AE421" t="s">
        <v>473</v>
      </c>
    </row>
    <row r="422" spans="1:31" x14ac:dyDescent="0.25">
      <c r="A422">
        <v>5929</v>
      </c>
      <c r="B422">
        <v>1973</v>
      </c>
      <c r="C422" t="s">
        <v>33</v>
      </c>
      <c r="D422" t="s">
        <v>34</v>
      </c>
      <c r="E422" t="str">
        <f>IF(OR(Table1[[#This Row],[marital_status]]="Married", Table1[[#This Row],[marital_status]]="Together"), "Partnered", "Single")</f>
        <v>Partnered</v>
      </c>
      <c r="F422" s="7">
        <v>37401</v>
      </c>
      <c r="G422" s="8">
        <v>1</v>
      </c>
      <c r="H422" s="8">
        <v>0</v>
      </c>
      <c r="I422" s="8">
        <f>Table1[[#This Row],[kids]]+Table1[[#This Row],[teens]]</f>
        <v>1</v>
      </c>
      <c r="J422" s="9">
        <v>41765</v>
      </c>
      <c r="K422" s="8">
        <v>14</v>
      </c>
      <c r="L422" s="6">
        <v>19</v>
      </c>
      <c r="M422" s="5">
        <v>3</v>
      </c>
      <c r="N422" s="5">
        <v>19</v>
      </c>
      <c r="O422" s="5">
        <v>3</v>
      </c>
      <c r="P422" s="5">
        <v>1</v>
      </c>
      <c r="Q422" s="5">
        <v>3</v>
      </c>
      <c r="R422" s="8">
        <v>2</v>
      </c>
      <c r="S422" s="8">
        <v>2</v>
      </c>
      <c r="T422" s="8">
        <v>0</v>
      </c>
      <c r="U422" s="8">
        <v>3</v>
      </c>
      <c r="V422" s="8">
        <v>7</v>
      </c>
      <c r="W422" t="s">
        <v>473</v>
      </c>
      <c r="X422" t="s">
        <v>473</v>
      </c>
      <c r="Y422" t="s">
        <v>473</v>
      </c>
      <c r="Z422" t="s">
        <v>473</v>
      </c>
      <c r="AA422" t="s">
        <v>473</v>
      </c>
      <c r="AB422" t="s">
        <v>473</v>
      </c>
      <c r="AC422" s="10">
        <v>3</v>
      </c>
      <c r="AD422" s="10">
        <v>11</v>
      </c>
      <c r="AE422" t="s">
        <v>473</v>
      </c>
    </row>
    <row r="423" spans="1:31" x14ac:dyDescent="0.25">
      <c r="A423">
        <v>3129</v>
      </c>
      <c r="B423">
        <v>1983</v>
      </c>
      <c r="C423" t="s">
        <v>466</v>
      </c>
      <c r="D423" t="s">
        <v>34</v>
      </c>
      <c r="E423" t="str">
        <f>IF(OR(Table1[[#This Row],[marital_status]]="Married", Table1[[#This Row],[marital_status]]="Together"), "Partnered", "Single")</f>
        <v>Partnered</v>
      </c>
      <c r="F423" s="7">
        <v>30096</v>
      </c>
      <c r="G423" s="8">
        <v>1</v>
      </c>
      <c r="H423" s="8">
        <v>0</v>
      </c>
      <c r="I423" s="8">
        <f>Table1[[#This Row],[kids]]+Table1[[#This Row],[teens]]</f>
        <v>1</v>
      </c>
      <c r="J423" s="9">
        <v>41781</v>
      </c>
      <c r="K423" s="8">
        <v>30</v>
      </c>
      <c r="L423" s="6">
        <v>5</v>
      </c>
      <c r="M423" s="5">
        <v>3</v>
      </c>
      <c r="N423" s="5">
        <v>11</v>
      </c>
      <c r="O423" s="5">
        <v>12</v>
      </c>
      <c r="P423" s="5">
        <v>5</v>
      </c>
      <c r="Q423" s="5">
        <v>9</v>
      </c>
      <c r="R423" s="8">
        <v>1</v>
      </c>
      <c r="S423" s="8">
        <v>2</v>
      </c>
      <c r="T423" s="8">
        <v>0</v>
      </c>
      <c r="U423" s="8">
        <v>3</v>
      </c>
      <c r="V423" s="8">
        <v>6</v>
      </c>
      <c r="W423" t="s">
        <v>473</v>
      </c>
      <c r="X423" t="s">
        <v>473</v>
      </c>
      <c r="Y423" t="s">
        <v>473</v>
      </c>
      <c r="Z423" t="s">
        <v>473</v>
      </c>
      <c r="AA423" t="s">
        <v>473</v>
      </c>
      <c r="AB423" t="s">
        <v>473</v>
      </c>
      <c r="AC423" s="10">
        <v>3</v>
      </c>
      <c r="AD423" s="10">
        <v>11</v>
      </c>
      <c r="AE423" t="s">
        <v>473</v>
      </c>
    </row>
    <row r="424" spans="1:31" x14ac:dyDescent="0.25">
      <c r="A424">
        <v>6528</v>
      </c>
      <c r="B424">
        <v>1982</v>
      </c>
      <c r="C424" t="s">
        <v>36</v>
      </c>
      <c r="D424" t="s">
        <v>31</v>
      </c>
      <c r="E424" t="str">
        <f>IF(OR(Table1[[#This Row],[marital_status]]="Married", Table1[[#This Row],[marital_status]]="Together"), "Partnered", "Single")</f>
        <v>Partnered</v>
      </c>
      <c r="F424" s="7">
        <v>18492</v>
      </c>
      <c r="G424" s="8">
        <v>1</v>
      </c>
      <c r="H424" s="8">
        <v>0</v>
      </c>
      <c r="I424" s="8">
        <f>Table1[[#This Row],[kids]]+Table1[[#This Row],[teens]]</f>
        <v>1</v>
      </c>
      <c r="J424" s="9">
        <v>41795</v>
      </c>
      <c r="K424" s="8">
        <v>75</v>
      </c>
      <c r="L424" s="6">
        <v>2</v>
      </c>
      <c r="M424" s="5">
        <v>2</v>
      </c>
      <c r="N424" s="5">
        <v>2</v>
      </c>
      <c r="O424" s="5">
        <v>2</v>
      </c>
      <c r="P424" s="5">
        <v>1</v>
      </c>
      <c r="Q424" s="5">
        <v>1</v>
      </c>
      <c r="R424" s="8">
        <v>1</v>
      </c>
      <c r="S424" s="8">
        <v>1</v>
      </c>
      <c r="T424" s="8">
        <v>0</v>
      </c>
      <c r="U424" s="8">
        <v>2</v>
      </c>
      <c r="V424" s="8">
        <v>8</v>
      </c>
      <c r="W424" t="s">
        <v>473</v>
      </c>
      <c r="X424" t="s">
        <v>473</v>
      </c>
      <c r="Y424" t="s">
        <v>473</v>
      </c>
      <c r="Z424" t="s">
        <v>473</v>
      </c>
      <c r="AA424" t="s">
        <v>473</v>
      </c>
      <c r="AB424" t="s">
        <v>473</v>
      </c>
      <c r="AC424" s="10">
        <v>3</v>
      </c>
      <c r="AD424" s="10">
        <v>11</v>
      </c>
      <c r="AE424" t="s">
        <v>473</v>
      </c>
    </row>
    <row r="425" spans="1:31" x14ac:dyDescent="0.25">
      <c r="A425">
        <v>1361</v>
      </c>
      <c r="B425">
        <v>1974</v>
      </c>
      <c r="C425" t="s">
        <v>36</v>
      </c>
      <c r="D425" t="s">
        <v>34</v>
      </c>
      <c r="E425" t="str">
        <f>IF(OR(Table1[[#This Row],[marital_status]]="Married", Table1[[#This Row],[marital_status]]="Together"), "Partnered", "Single")</f>
        <v>Partnered</v>
      </c>
      <c r="F425" s="7">
        <v>82584</v>
      </c>
      <c r="G425" s="8">
        <v>0</v>
      </c>
      <c r="H425" s="8">
        <v>0</v>
      </c>
      <c r="I425" s="8">
        <f>Table1[[#This Row],[kids]]+Table1[[#This Row],[teens]]</f>
        <v>0</v>
      </c>
      <c r="J425" s="9">
        <v>41429</v>
      </c>
      <c r="K425" s="8">
        <v>26</v>
      </c>
      <c r="L425" s="6">
        <v>1076</v>
      </c>
      <c r="M425" s="5">
        <v>68</v>
      </c>
      <c r="N425" s="5">
        <v>103</v>
      </c>
      <c r="O425" s="5">
        <v>29</v>
      </c>
      <c r="P425" s="5">
        <v>91</v>
      </c>
      <c r="Q425" s="5">
        <v>68</v>
      </c>
      <c r="R425" s="8">
        <v>1</v>
      </c>
      <c r="S425" s="8">
        <v>3</v>
      </c>
      <c r="T425" s="8">
        <v>4</v>
      </c>
      <c r="U425" s="8">
        <v>8</v>
      </c>
      <c r="V425" s="8">
        <v>1</v>
      </c>
      <c r="W425" t="s">
        <v>473</v>
      </c>
      <c r="X425" t="s">
        <v>474</v>
      </c>
      <c r="Y425" t="s">
        <v>474</v>
      </c>
      <c r="Z425" t="s">
        <v>473</v>
      </c>
      <c r="AA425" t="s">
        <v>473</v>
      </c>
      <c r="AB425" t="s">
        <v>473</v>
      </c>
      <c r="AC425" s="10">
        <v>3</v>
      </c>
      <c r="AD425" s="10">
        <v>11</v>
      </c>
      <c r="AE425" t="s">
        <v>474</v>
      </c>
    </row>
    <row r="426" spans="1:31" x14ac:dyDescent="0.25">
      <c r="A426">
        <v>6932</v>
      </c>
      <c r="B426">
        <v>1941</v>
      </c>
      <c r="C426" t="s">
        <v>33</v>
      </c>
      <c r="D426" t="s">
        <v>34</v>
      </c>
      <c r="E426" t="str">
        <f>IF(OR(Table1[[#This Row],[marital_status]]="Married", Table1[[#This Row],[marital_status]]="Together"), "Partnered", "Single")</f>
        <v>Partnered</v>
      </c>
      <c r="F426" s="7">
        <v>93027</v>
      </c>
      <c r="G426" s="8">
        <v>0</v>
      </c>
      <c r="H426" s="8">
        <v>0</v>
      </c>
      <c r="I426" s="8">
        <f>Table1[[#This Row],[kids]]+Table1[[#This Row],[teens]]</f>
        <v>0</v>
      </c>
      <c r="J426" s="9">
        <v>41377</v>
      </c>
      <c r="K426" s="8">
        <v>77</v>
      </c>
      <c r="L426" s="6">
        <v>1285</v>
      </c>
      <c r="M426" s="5">
        <v>42</v>
      </c>
      <c r="N426" s="5">
        <v>716</v>
      </c>
      <c r="O426" s="5">
        <v>55</v>
      </c>
      <c r="P426" s="5">
        <v>0</v>
      </c>
      <c r="Q426" s="5">
        <v>21</v>
      </c>
      <c r="R426" s="8">
        <v>0</v>
      </c>
      <c r="S426" s="8">
        <v>7</v>
      </c>
      <c r="T426" s="8">
        <v>10</v>
      </c>
      <c r="U426" s="8">
        <v>5</v>
      </c>
      <c r="V426" s="8">
        <v>2</v>
      </c>
      <c r="W426" t="s">
        <v>473</v>
      </c>
      <c r="X426" t="s">
        <v>473</v>
      </c>
      <c r="Y426" t="s">
        <v>474</v>
      </c>
      <c r="Z426" t="s">
        <v>473</v>
      </c>
      <c r="AA426" t="s">
        <v>473</v>
      </c>
      <c r="AB426" t="s">
        <v>473</v>
      </c>
      <c r="AC426" s="10">
        <v>3</v>
      </c>
      <c r="AD426" s="10">
        <v>11</v>
      </c>
      <c r="AE426" t="s">
        <v>473</v>
      </c>
    </row>
    <row r="427" spans="1:31" x14ac:dyDescent="0.25">
      <c r="A427">
        <v>7284</v>
      </c>
      <c r="B427">
        <v>1953</v>
      </c>
      <c r="C427" t="s">
        <v>466</v>
      </c>
      <c r="D427" t="s">
        <v>34</v>
      </c>
      <c r="E427" t="str">
        <f>IF(OR(Table1[[#This Row],[marital_status]]="Married", Table1[[#This Row],[marital_status]]="Together"), "Partnered", "Single")</f>
        <v>Partnered</v>
      </c>
      <c r="F427" s="7">
        <v>48686</v>
      </c>
      <c r="G427" s="8">
        <v>1</v>
      </c>
      <c r="H427" s="8">
        <v>2</v>
      </c>
      <c r="I427" s="8">
        <f>Table1[[#This Row],[kids]]+Table1[[#This Row],[teens]]</f>
        <v>3</v>
      </c>
      <c r="J427" s="9">
        <v>41612</v>
      </c>
      <c r="K427" s="8">
        <v>8</v>
      </c>
      <c r="L427" s="6">
        <v>10</v>
      </c>
      <c r="M427" s="5">
        <v>0</v>
      </c>
      <c r="N427" s="5">
        <v>7</v>
      </c>
      <c r="O427" s="5">
        <v>2</v>
      </c>
      <c r="P427" s="5">
        <v>0</v>
      </c>
      <c r="Q427" s="5">
        <v>1</v>
      </c>
      <c r="R427" s="8">
        <v>1</v>
      </c>
      <c r="S427" s="8">
        <v>1</v>
      </c>
      <c r="T427" s="8">
        <v>0</v>
      </c>
      <c r="U427" s="8">
        <v>2</v>
      </c>
      <c r="V427" s="8">
        <v>8</v>
      </c>
      <c r="W427" t="s">
        <v>473</v>
      </c>
      <c r="X427" t="s">
        <v>473</v>
      </c>
      <c r="Y427" t="s">
        <v>473</v>
      </c>
      <c r="Z427" t="s">
        <v>473</v>
      </c>
      <c r="AA427" t="s">
        <v>473</v>
      </c>
      <c r="AB427" t="s">
        <v>473</v>
      </c>
      <c r="AC427" s="10">
        <v>3</v>
      </c>
      <c r="AD427" s="10">
        <v>11</v>
      </c>
      <c r="AE427" t="s">
        <v>473</v>
      </c>
    </row>
    <row r="428" spans="1:31" x14ac:dyDescent="0.25">
      <c r="A428">
        <v>1340</v>
      </c>
      <c r="B428">
        <v>1986</v>
      </c>
      <c r="C428" t="s">
        <v>466</v>
      </c>
      <c r="D428" t="s">
        <v>34</v>
      </c>
      <c r="E428" t="str">
        <f>IF(OR(Table1[[#This Row],[marital_status]]="Married", Table1[[#This Row],[marital_status]]="Together"), "Partnered", "Single")</f>
        <v>Partnered</v>
      </c>
      <c r="F428" s="7">
        <v>92910</v>
      </c>
      <c r="G428" s="8">
        <v>0</v>
      </c>
      <c r="H428" s="8">
        <v>0</v>
      </c>
      <c r="I428" s="8">
        <f>Table1[[#This Row],[kids]]+Table1[[#This Row],[teens]]</f>
        <v>0</v>
      </c>
      <c r="J428" s="9">
        <v>41753</v>
      </c>
      <c r="K428" s="8">
        <v>42</v>
      </c>
      <c r="L428" s="6">
        <v>551</v>
      </c>
      <c r="M428" s="5">
        <v>137</v>
      </c>
      <c r="N428" s="5">
        <v>792</v>
      </c>
      <c r="O428" s="5">
        <v>179</v>
      </c>
      <c r="P428" s="5">
        <v>103</v>
      </c>
      <c r="Q428" s="5">
        <v>33</v>
      </c>
      <c r="R428" s="8">
        <v>1</v>
      </c>
      <c r="S428" s="8">
        <v>6</v>
      </c>
      <c r="T428" s="8">
        <v>7</v>
      </c>
      <c r="U428" s="8">
        <v>13</v>
      </c>
      <c r="V428" s="8">
        <v>1</v>
      </c>
      <c r="W428" t="s">
        <v>473</v>
      </c>
      <c r="X428" t="s">
        <v>474</v>
      </c>
      <c r="Y428" t="s">
        <v>474</v>
      </c>
      <c r="Z428" t="s">
        <v>474</v>
      </c>
      <c r="AA428" t="s">
        <v>473</v>
      </c>
      <c r="AB428" t="s">
        <v>473</v>
      </c>
      <c r="AC428" s="10">
        <v>3</v>
      </c>
      <c r="AD428" s="10">
        <v>11</v>
      </c>
      <c r="AE428" t="s">
        <v>473</v>
      </c>
    </row>
    <row r="429" spans="1:31" x14ac:dyDescent="0.25">
      <c r="A429">
        <v>8746</v>
      </c>
      <c r="B429">
        <v>1989</v>
      </c>
      <c r="C429" t="s">
        <v>466</v>
      </c>
      <c r="D429" t="s">
        <v>34</v>
      </c>
      <c r="E429" t="str">
        <f>IF(OR(Table1[[#This Row],[marital_status]]="Married", Table1[[#This Row],[marital_status]]="Together"), "Partnered", "Single")</f>
        <v>Partnered</v>
      </c>
      <c r="F429" s="7">
        <v>75433</v>
      </c>
      <c r="G429" s="8">
        <v>1</v>
      </c>
      <c r="H429" s="8">
        <v>0</v>
      </c>
      <c r="I429" s="8">
        <f>Table1[[#This Row],[kids]]+Table1[[#This Row],[teens]]</f>
        <v>1</v>
      </c>
      <c r="J429" s="9">
        <v>41734</v>
      </c>
      <c r="K429" s="8">
        <v>28</v>
      </c>
      <c r="L429" s="6">
        <v>800</v>
      </c>
      <c r="M429" s="5">
        <v>0</v>
      </c>
      <c r="N429" s="5">
        <v>297</v>
      </c>
      <c r="O429" s="5">
        <v>0</v>
      </c>
      <c r="P429" s="5">
        <v>34</v>
      </c>
      <c r="Q429" s="5">
        <v>57</v>
      </c>
      <c r="R429" s="8">
        <v>2</v>
      </c>
      <c r="S429" s="8">
        <v>2</v>
      </c>
      <c r="T429" s="8">
        <v>5</v>
      </c>
      <c r="U429" s="8">
        <v>10</v>
      </c>
      <c r="V429" s="8">
        <v>6</v>
      </c>
      <c r="W429" t="s">
        <v>473</v>
      </c>
      <c r="X429" t="s">
        <v>474</v>
      </c>
      <c r="Y429" t="s">
        <v>473</v>
      </c>
      <c r="Z429" t="s">
        <v>474</v>
      </c>
      <c r="AA429" t="s">
        <v>473</v>
      </c>
      <c r="AB429" t="s">
        <v>473</v>
      </c>
      <c r="AC429" s="10">
        <v>3</v>
      </c>
      <c r="AD429" s="10">
        <v>11</v>
      </c>
      <c r="AE429" t="s">
        <v>473</v>
      </c>
    </row>
    <row r="430" spans="1:31" x14ac:dyDescent="0.25">
      <c r="A430">
        <v>5987</v>
      </c>
      <c r="B430">
        <v>1989</v>
      </c>
      <c r="C430" t="s">
        <v>46</v>
      </c>
      <c r="D430" t="s">
        <v>31</v>
      </c>
      <c r="E430" t="str">
        <f>IF(OR(Table1[[#This Row],[marital_status]]="Married", Table1[[#This Row],[marital_status]]="Together"), "Partnered", "Single")</f>
        <v>Partnered</v>
      </c>
      <c r="F430" s="7">
        <v>10404</v>
      </c>
      <c r="G430" s="8">
        <v>1</v>
      </c>
      <c r="H430" s="8">
        <v>0</v>
      </c>
      <c r="I430" s="8">
        <f>Table1[[#This Row],[kids]]+Table1[[#This Row],[teens]]</f>
        <v>1</v>
      </c>
      <c r="J430" s="9">
        <v>41763</v>
      </c>
      <c r="K430" s="8">
        <v>52</v>
      </c>
      <c r="L430" s="6">
        <v>2</v>
      </c>
      <c r="M430" s="5">
        <v>2</v>
      </c>
      <c r="N430" s="5">
        <v>11</v>
      </c>
      <c r="O430" s="5">
        <v>10</v>
      </c>
      <c r="P430" s="5">
        <v>6</v>
      </c>
      <c r="Q430" s="5">
        <v>12</v>
      </c>
      <c r="R430" s="8">
        <v>2</v>
      </c>
      <c r="S430" s="8">
        <v>1</v>
      </c>
      <c r="T430" s="8">
        <v>0</v>
      </c>
      <c r="U430" s="8">
        <v>4</v>
      </c>
      <c r="V430" s="8">
        <v>5</v>
      </c>
      <c r="W430" t="s">
        <v>473</v>
      </c>
      <c r="X430" t="s">
        <v>473</v>
      </c>
      <c r="Y430" t="s">
        <v>473</v>
      </c>
      <c r="Z430" t="s">
        <v>473</v>
      </c>
      <c r="AA430" t="s">
        <v>473</v>
      </c>
      <c r="AB430" t="s">
        <v>473</v>
      </c>
      <c r="AC430" s="10">
        <v>3</v>
      </c>
      <c r="AD430" s="10">
        <v>11</v>
      </c>
      <c r="AE430" t="s">
        <v>473</v>
      </c>
    </row>
    <row r="431" spans="1:31" x14ac:dyDescent="0.25">
      <c r="A431">
        <v>3767</v>
      </c>
      <c r="B431">
        <v>1968</v>
      </c>
      <c r="C431" t="s">
        <v>466</v>
      </c>
      <c r="D431" t="s">
        <v>34</v>
      </c>
      <c r="E431" t="str">
        <f>IF(OR(Table1[[#This Row],[marital_status]]="Married", Table1[[#This Row],[marital_status]]="Together"), "Partnered", "Single")</f>
        <v>Partnered</v>
      </c>
      <c r="F431" s="7">
        <v>61314</v>
      </c>
      <c r="G431" s="8">
        <v>0</v>
      </c>
      <c r="H431" s="8">
        <v>1</v>
      </c>
      <c r="I431" s="8">
        <f>Table1[[#This Row],[kids]]+Table1[[#This Row],[teens]]</f>
        <v>1</v>
      </c>
      <c r="J431" s="9">
        <v>41389</v>
      </c>
      <c r="K431" s="8">
        <v>1</v>
      </c>
      <c r="L431" s="6">
        <v>378</v>
      </c>
      <c r="M431" s="5">
        <v>0</v>
      </c>
      <c r="N431" s="5">
        <v>189</v>
      </c>
      <c r="O431" s="5">
        <v>97</v>
      </c>
      <c r="P431" s="5">
        <v>172</v>
      </c>
      <c r="Q431" s="5">
        <v>172</v>
      </c>
      <c r="R431" s="8">
        <v>2</v>
      </c>
      <c r="S431" s="8">
        <v>5</v>
      </c>
      <c r="T431" s="8">
        <v>5</v>
      </c>
      <c r="U431" s="8">
        <v>12</v>
      </c>
      <c r="V431" s="8">
        <v>3</v>
      </c>
      <c r="W431" t="s">
        <v>473</v>
      </c>
      <c r="X431" t="s">
        <v>473</v>
      </c>
      <c r="Y431" t="s">
        <v>473</v>
      </c>
      <c r="Z431" t="s">
        <v>473</v>
      </c>
      <c r="AA431" t="s">
        <v>473</v>
      </c>
      <c r="AB431" t="s">
        <v>473</v>
      </c>
      <c r="AC431" s="10">
        <v>3</v>
      </c>
      <c r="AD431" s="10">
        <v>11</v>
      </c>
      <c r="AE431" t="s">
        <v>473</v>
      </c>
    </row>
    <row r="432" spans="1:31" x14ac:dyDescent="0.25">
      <c r="A432">
        <v>3725</v>
      </c>
      <c r="B432">
        <v>1961</v>
      </c>
      <c r="C432" t="s">
        <v>33</v>
      </c>
      <c r="D432" t="s">
        <v>30</v>
      </c>
      <c r="E432" t="str">
        <f>IF(OR(Table1[[#This Row],[marital_status]]="Married", Table1[[#This Row],[marital_status]]="Together"), "Partnered", "Single")</f>
        <v>Single</v>
      </c>
      <c r="F432" s="7">
        <v>84865</v>
      </c>
      <c r="G432" s="8">
        <v>0</v>
      </c>
      <c r="H432" s="8">
        <v>0</v>
      </c>
      <c r="I432" s="8">
        <f>Table1[[#This Row],[kids]]+Table1[[#This Row],[teens]]</f>
        <v>0</v>
      </c>
      <c r="J432" s="9">
        <v>41403</v>
      </c>
      <c r="K432" s="8">
        <v>1</v>
      </c>
      <c r="L432" s="6">
        <v>1248</v>
      </c>
      <c r="M432" s="5">
        <v>16</v>
      </c>
      <c r="N432" s="5">
        <v>349</v>
      </c>
      <c r="O432" s="5">
        <v>43</v>
      </c>
      <c r="P432" s="5">
        <v>16</v>
      </c>
      <c r="Q432" s="5">
        <v>16</v>
      </c>
      <c r="R432" s="8">
        <v>1</v>
      </c>
      <c r="S432" s="8">
        <v>2</v>
      </c>
      <c r="T432" s="8">
        <v>4</v>
      </c>
      <c r="U432" s="8">
        <v>9</v>
      </c>
      <c r="V432" s="8">
        <v>4</v>
      </c>
      <c r="W432" t="s">
        <v>473</v>
      </c>
      <c r="X432" t="s">
        <v>474</v>
      </c>
      <c r="Y432" t="s">
        <v>474</v>
      </c>
      <c r="Z432" t="s">
        <v>474</v>
      </c>
      <c r="AA432" t="s">
        <v>474</v>
      </c>
      <c r="AB432" t="s">
        <v>473</v>
      </c>
      <c r="AC432" s="10">
        <v>3</v>
      </c>
      <c r="AD432" s="10">
        <v>11</v>
      </c>
      <c r="AE432" t="s">
        <v>474</v>
      </c>
    </row>
    <row r="433" spans="1:31" x14ac:dyDescent="0.25">
      <c r="A433">
        <v>4324</v>
      </c>
      <c r="B433">
        <v>1989</v>
      </c>
      <c r="C433" t="s">
        <v>466</v>
      </c>
      <c r="D433" t="s">
        <v>34</v>
      </c>
      <c r="E433" t="str">
        <f>IF(OR(Table1[[#This Row],[marital_status]]="Married", Table1[[#This Row],[marital_status]]="Together"), "Partnered", "Single")</f>
        <v>Partnered</v>
      </c>
      <c r="F433" s="7">
        <v>42387</v>
      </c>
      <c r="G433" s="8">
        <v>1</v>
      </c>
      <c r="H433" s="8">
        <v>0</v>
      </c>
      <c r="I433" s="8">
        <f>Table1[[#This Row],[kids]]+Table1[[#This Row],[teens]]</f>
        <v>1</v>
      </c>
      <c r="J433" s="9">
        <v>41211</v>
      </c>
      <c r="K433" s="8">
        <v>42</v>
      </c>
      <c r="L433" s="6">
        <v>235</v>
      </c>
      <c r="M433" s="5">
        <v>0</v>
      </c>
      <c r="N433" s="5">
        <v>235</v>
      </c>
      <c r="O433" s="5">
        <v>19</v>
      </c>
      <c r="P433" s="5">
        <v>4</v>
      </c>
      <c r="Q433" s="5">
        <v>191</v>
      </c>
      <c r="R433" s="8">
        <v>5</v>
      </c>
      <c r="S433" s="8">
        <v>8</v>
      </c>
      <c r="T433" s="8">
        <v>1</v>
      </c>
      <c r="U433" s="8">
        <v>7</v>
      </c>
      <c r="V433" s="8">
        <v>8</v>
      </c>
      <c r="W433" t="s">
        <v>473</v>
      </c>
      <c r="X433" t="s">
        <v>473</v>
      </c>
      <c r="Y433" t="s">
        <v>473</v>
      </c>
      <c r="Z433" t="s">
        <v>473</v>
      </c>
      <c r="AA433" t="s">
        <v>473</v>
      </c>
      <c r="AB433" t="s">
        <v>473</v>
      </c>
      <c r="AC433" s="10">
        <v>3</v>
      </c>
      <c r="AD433" s="10">
        <v>11</v>
      </c>
      <c r="AE433" t="s">
        <v>473</v>
      </c>
    </row>
    <row r="434" spans="1:31" x14ac:dyDescent="0.25">
      <c r="A434">
        <v>238</v>
      </c>
      <c r="B434">
        <v>1967</v>
      </c>
      <c r="C434" t="s">
        <v>46</v>
      </c>
      <c r="D434" t="s">
        <v>31</v>
      </c>
      <c r="E434" t="str">
        <f>IF(OR(Table1[[#This Row],[marital_status]]="Married", Table1[[#This Row],[marital_status]]="Together"), "Partnered", "Single")</f>
        <v>Partnered</v>
      </c>
      <c r="F434" s="7">
        <v>67309</v>
      </c>
      <c r="G434" s="8">
        <v>1</v>
      </c>
      <c r="H434" s="8">
        <v>1</v>
      </c>
      <c r="I434" s="8">
        <f>Table1[[#This Row],[kids]]+Table1[[#This Row],[teens]]</f>
        <v>2</v>
      </c>
      <c r="J434" s="9">
        <v>41297</v>
      </c>
      <c r="K434" s="8">
        <v>76</v>
      </c>
      <c r="L434" s="6">
        <v>515</v>
      </c>
      <c r="M434" s="5">
        <v>47</v>
      </c>
      <c r="N434" s="5">
        <v>181</v>
      </c>
      <c r="O434" s="5">
        <v>149</v>
      </c>
      <c r="P434" s="5">
        <v>95</v>
      </c>
      <c r="Q434" s="5">
        <v>95</v>
      </c>
      <c r="R434" s="8">
        <v>15</v>
      </c>
      <c r="S434" s="8">
        <v>9</v>
      </c>
      <c r="T434" s="8">
        <v>6</v>
      </c>
      <c r="U434" s="8">
        <v>9</v>
      </c>
      <c r="V434" s="8">
        <v>7</v>
      </c>
      <c r="W434" t="s">
        <v>473</v>
      </c>
      <c r="X434" t="s">
        <v>473</v>
      </c>
      <c r="Y434" t="s">
        <v>473</v>
      </c>
      <c r="Z434" t="s">
        <v>473</v>
      </c>
      <c r="AA434" t="s">
        <v>473</v>
      </c>
      <c r="AB434" t="s">
        <v>473</v>
      </c>
      <c r="AC434" s="10">
        <v>3</v>
      </c>
      <c r="AD434" s="10">
        <v>11</v>
      </c>
      <c r="AE434" t="s">
        <v>473</v>
      </c>
    </row>
    <row r="435" spans="1:31" x14ac:dyDescent="0.25">
      <c r="A435">
        <v>6694</v>
      </c>
      <c r="B435">
        <v>1964</v>
      </c>
      <c r="C435" t="s">
        <v>466</v>
      </c>
      <c r="D435" t="s">
        <v>34</v>
      </c>
      <c r="E435" t="str">
        <f>IF(OR(Table1[[#This Row],[marital_status]]="Married", Table1[[#This Row],[marital_status]]="Together"), "Partnered", "Single")</f>
        <v>Partnered</v>
      </c>
      <c r="F435" s="7">
        <v>75236</v>
      </c>
      <c r="G435" s="8">
        <v>0</v>
      </c>
      <c r="H435" s="8">
        <v>1</v>
      </c>
      <c r="I435" s="8">
        <f>Table1[[#This Row],[kids]]+Table1[[#This Row],[teens]]</f>
        <v>1</v>
      </c>
      <c r="J435" s="9">
        <v>41603</v>
      </c>
      <c r="K435" s="8">
        <v>27</v>
      </c>
      <c r="L435" s="6">
        <v>438</v>
      </c>
      <c r="M435" s="5">
        <v>66</v>
      </c>
      <c r="N435" s="5">
        <v>400</v>
      </c>
      <c r="O435" s="5">
        <v>12</v>
      </c>
      <c r="P435" s="5">
        <v>38</v>
      </c>
      <c r="Q435" s="5">
        <v>114</v>
      </c>
      <c r="R435" s="8">
        <v>1</v>
      </c>
      <c r="S435" s="8">
        <v>8</v>
      </c>
      <c r="T435" s="8">
        <v>3</v>
      </c>
      <c r="U435" s="8">
        <v>13</v>
      </c>
      <c r="V435" s="8">
        <v>4</v>
      </c>
      <c r="W435" t="s">
        <v>473</v>
      </c>
      <c r="X435" t="s">
        <v>473</v>
      </c>
      <c r="Y435" t="s">
        <v>473</v>
      </c>
      <c r="Z435" t="s">
        <v>473</v>
      </c>
      <c r="AA435" t="s">
        <v>473</v>
      </c>
      <c r="AB435" t="s">
        <v>473</v>
      </c>
      <c r="AC435" s="10">
        <v>3</v>
      </c>
      <c r="AD435" s="10">
        <v>11</v>
      </c>
      <c r="AE435" t="s">
        <v>473</v>
      </c>
    </row>
    <row r="436" spans="1:31" x14ac:dyDescent="0.25">
      <c r="A436">
        <v>498</v>
      </c>
      <c r="B436">
        <v>1970</v>
      </c>
      <c r="C436" t="s">
        <v>466</v>
      </c>
      <c r="D436" t="s">
        <v>30</v>
      </c>
      <c r="E436" t="str">
        <f>IF(OR(Table1[[#This Row],[marital_status]]="Married", Table1[[#This Row],[marital_status]]="Together"), "Partnered", "Single")</f>
        <v>Single</v>
      </c>
      <c r="F436" s="7">
        <v>30015</v>
      </c>
      <c r="G436" s="8">
        <v>1</v>
      </c>
      <c r="H436" s="8">
        <v>0</v>
      </c>
      <c r="I436" s="8">
        <f>Table1[[#This Row],[kids]]+Table1[[#This Row],[teens]]</f>
        <v>1</v>
      </c>
      <c r="J436" s="9">
        <v>41672</v>
      </c>
      <c r="K436" s="8">
        <v>28</v>
      </c>
      <c r="L436" s="6">
        <v>25</v>
      </c>
      <c r="M436" s="5">
        <v>0</v>
      </c>
      <c r="N436" s="5">
        <v>22</v>
      </c>
      <c r="O436" s="5">
        <v>2</v>
      </c>
      <c r="P436" s="5">
        <v>3</v>
      </c>
      <c r="Q436" s="5">
        <v>5</v>
      </c>
      <c r="R436" s="8">
        <v>2</v>
      </c>
      <c r="S436" s="8">
        <v>1</v>
      </c>
      <c r="T436" s="8">
        <v>0</v>
      </c>
      <c r="U436" s="8">
        <v>4</v>
      </c>
      <c r="V436" s="8">
        <v>5</v>
      </c>
      <c r="W436" t="s">
        <v>473</v>
      </c>
      <c r="X436" t="s">
        <v>473</v>
      </c>
      <c r="Y436" t="s">
        <v>473</v>
      </c>
      <c r="Z436" t="s">
        <v>473</v>
      </c>
      <c r="AA436" t="s">
        <v>473</v>
      </c>
      <c r="AB436" t="s">
        <v>473</v>
      </c>
      <c r="AC436" s="10">
        <v>3</v>
      </c>
      <c r="AD436" s="10">
        <v>11</v>
      </c>
      <c r="AE436" t="s">
        <v>473</v>
      </c>
    </row>
    <row r="437" spans="1:31" x14ac:dyDescent="0.25">
      <c r="A437">
        <v>9347</v>
      </c>
      <c r="B437">
        <v>1956</v>
      </c>
      <c r="C437" t="s">
        <v>36</v>
      </c>
      <c r="D437" t="s">
        <v>31</v>
      </c>
      <c r="E437" t="str">
        <f>IF(OR(Table1[[#This Row],[marital_status]]="Married", Table1[[#This Row],[marital_status]]="Together"), "Partnered", "Single")</f>
        <v>Partnered</v>
      </c>
      <c r="F437" s="7">
        <v>50943</v>
      </c>
      <c r="G437" s="8">
        <v>0</v>
      </c>
      <c r="H437" s="8">
        <v>1</v>
      </c>
      <c r="I437" s="8">
        <f>Table1[[#This Row],[kids]]+Table1[[#This Row],[teens]]</f>
        <v>1</v>
      </c>
      <c r="J437" s="9">
        <v>41446</v>
      </c>
      <c r="K437" s="8">
        <v>49</v>
      </c>
      <c r="L437" s="6">
        <v>31</v>
      </c>
      <c r="M437" s="5">
        <v>0</v>
      </c>
      <c r="N437" s="5">
        <v>7</v>
      </c>
      <c r="O437" s="5">
        <v>2</v>
      </c>
      <c r="P437" s="5">
        <v>0</v>
      </c>
      <c r="Q437" s="5">
        <v>6</v>
      </c>
      <c r="R437" s="8">
        <v>1</v>
      </c>
      <c r="S437" s="8">
        <v>1</v>
      </c>
      <c r="T437" s="8">
        <v>0</v>
      </c>
      <c r="U437" s="8">
        <v>3</v>
      </c>
      <c r="V437" s="8">
        <v>5</v>
      </c>
      <c r="W437" t="s">
        <v>473</v>
      </c>
      <c r="X437" t="s">
        <v>473</v>
      </c>
      <c r="Y437" t="s">
        <v>473</v>
      </c>
      <c r="Z437" t="s">
        <v>473</v>
      </c>
      <c r="AA437" t="s">
        <v>473</v>
      </c>
      <c r="AB437" t="s">
        <v>473</v>
      </c>
      <c r="AC437" s="10">
        <v>3</v>
      </c>
      <c r="AD437" s="10">
        <v>11</v>
      </c>
      <c r="AE437" t="s">
        <v>473</v>
      </c>
    </row>
    <row r="438" spans="1:31" x14ac:dyDescent="0.25">
      <c r="A438">
        <v>9699</v>
      </c>
      <c r="B438">
        <v>1966</v>
      </c>
      <c r="C438" t="s">
        <v>466</v>
      </c>
      <c r="D438" t="s">
        <v>37</v>
      </c>
      <c r="E438" t="str">
        <f>IF(OR(Table1[[#This Row],[marital_status]]="Married", Table1[[#This Row],[marital_status]]="Together"), "Partnered", "Single")</f>
        <v>Single</v>
      </c>
      <c r="F438" s="7">
        <v>67272</v>
      </c>
      <c r="G438" s="8">
        <v>0</v>
      </c>
      <c r="H438" s="8">
        <v>1</v>
      </c>
      <c r="I438" s="8">
        <f>Table1[[#This Row],[kids]]+Table1[[#This Row],[teens]]</f>
        <v>1</v>
      </c>
      <c r="J438" s="9">
        <v>41629</v>
      </c>
      <c r="K438" s="8">
        <v>12</v>
      </c>
      <c r="L438" s="6">
        <v>357</v>
      </c>
      <c r="M438" s="5">
        <v>35</v>
      </c>
      <c r="N438" s="5">
        <v>271</v>
      </c>
      <c r="O438" s="5">
        <v>28</v>
      </c>
      <c r="P438" s="5">
        <v>28</v>
      </c>
      <c r="Q438" s="5">
        <v>14</v>
      </c>
      <c r="R438" s="8">
        <v>3</v>
      </c>
      <c r="S438" s="8">
        <v>6</v>
      </c>
      <c r="T438" s="8">
        <v>2</v>
      </c>
      <c r="U438" s="8">
        <v>12</v>
      </c>
      <c r="V438" s="8">
        <v>5</v>
      </c>
      <c r="W438" t="s">
        <v>473</v>
      </c>
      <c r="X438" t="s">
        <v>473</v>
      </c>
      <c r="Y438" t="s">
        <v>473</v>
      </c>
      <c r="Z438" t="s">
        <v>473</v>
      </c>
      <c r="AA438" t="s">
        <v>473</v>
      </c>
      <c r="AB438" t="s">
        <v>473</v>
      </c>
      <c r="AC438" s="10">
        <v>3</v>
      </c>
      <c r="AD438" s="10">
        <v>11</v>
      </c>
      <c r="AE438" t="s">
        <v>473</v>
      </c>
    </row>
    <row r="439" spans="1:31" x14ac:dyDescent="0.25">
      <c r="A439">
        <v>10664</v>
      </c>
      <c r="B439">
        <v>1949</v>
      </c>
      <c r="C439" t="s">
        <v>36</v>
      </c>
      <c r="D439" t="s">
        <v>57</v>
      </c>
      <c r="E439" t="str">
        <f>IF(OR(Table1[[#This Row],[marital_status]]="Married", Table1[[#This Row],[marital_status]]="Together"), "Partnered", "Single")</f>
        <v>Single</v>
      </c>
      <c r="F439" s="7">
        <v>51529</v>
      </c>
      <c r="G439" s="8">
        <v>0</v>
      </c>
      <c r="H439" s="8">
        <v>1</v>
      </c>
      <c r="I439" s="8">
        <f>Table1[[#This Row],[kids]]+Table1[[#This Row],[teens]]</f>
        <v>1</v>
      </c>
      <c r="J439" s="9">
        <v>41524</v>
      </c>
      <c r="K439" s="8">
        <v>14</v>
      </c>
      <c r="L439" s="6">
        <v>400</v>
      </c>
      <c r="M439" s="5">
        <v>4</v>
      </c>
      <c r="N439" s="5">
        <v>35</v>
      </c>
      <c r="O439" s="5">
        <v>6</v>
      </c>
      <c r="P439" s="5">
        <v>0</v>
      </c>
      <c r="Q439" s="5">
        <v>22</v>
      </c>
      <c r="R439" s="8">
        <v>2</v>
      </c>
      <c r="S439" s="8">
        <v>9</v>
      </c>
      <c r="T439" s="8">
        <v>1</v>
      </c>
      <c r="U439" s="8">
        <v>5</v>
      </c>
      <c r="V439" s="8">
        <v>8</v>
      </c>
      <c r="W439" t="s">
        <v>473</v>
      </c>
      <c r="X439" t="s">
        <v>473</v>
      </c>
      <c r="Y439" t="s">
        <v>473</v>
      </c>
      <c r="Z439" t="s">
        <v>473</v>
      </c>
      <c r="AA439" t="s">
        <v>473</v>
      </c>
      <c r="AB439" t="s">
        <v>473</v>
      </c>
      <c r="AC439" s="10">
        <v>3</v>
      </c>
      <c r="AD439" s="10">
        <v>11</v>
      </c>
      <c r="AE439" t="s">
        <v>473</v>
      </c>
    </row>
    <row r="440" spans="1:31" x14ac:dyDescent="0.25">
      <c r="A440">
        <v>5455</v>
      </c>
      <c r="B440">
        <v>1971</v>
      </c>
      <c r="C440" t="s">
        <v>33</v>
      </c>
      <c r="D440" t="s">
        <v>34</v>
      </c>
      <c r="E440" t="str">
        <f>IF(OR(Table1[[#This Row],[marital_status]]="Married", Table1[[#This Row],[marital_status]]="Together"), "Partnered", "Single")</f>
        <v>Partnered</v>
      </c>
      <c r="F440" s="7">
        <v>32011</v>
      </c>
      <c r="G440" s="8">
        <v>1</v>
      </c>
      <c r="H440" s="8">
        <v>0</v>
      </c>
      <c r="I440" s="8">
        <f>Table1[[#This Row],[kids]]+Table1[[#This Row],[teens]]</f>
        <v>1</v>
      </c>
      <c r="J440" s="9">
        <v>41508</v>
      </c>
      <c r="K440" s="8">
        <v>89</v>
      </c>
      <c r="L440" s="6">
        <v>99</v>
      </c>
      <c r="M440" s="5">
        <v>0</v>
      </c>
      <c r="N440" s="5">
        <v>15</v>
      </c>
      <c r="O440" s="5">
        <v>2</v>
      </c>
      <c r="P440" s="5">
        <v>1</v>
      </c>
      <c r="Q440" s="5">
        <v>5</v>
      </c>
      <c r="R440" s="8">
        <v>3</v>
      </c>
      <c r="S440" s="8">
        <v>2</v>
      </c>
      <c r="T440" s="8">
        <v>1</v>
      </c>
      <c r="U440" s="8">
        <v>4</v>
      </c>
      <c r="V440" s="8">
        <v>7</v>
      </c>
      <c r="W440" t="s">
        <v>473</v>
      </c>
      <c r="X440" t="s">
        <v>473</v>
      </c>
      <c r="Y440" t="s">
        <v>473</v>
      </c>
      <c r="Z440" t="s">
        <v>473</v>
      </c>
      <c r="AA440" t="s">
        <v>473</v>
      </c>
      <c r="AB440" t="s">
        <v>473</v>
      </c>
      <c r="AC440" s="10">
        <v>3</v>
      </c>
      <c r="AD440" s="10">
        <v>11</v>
      </c>
      <c r="AE440" t="s">
        <v>473</v>
      </c>
    </row>
    <row r="441" spans="1:31" x14ac:dyDescent="0.25">
      <c r="A441">
        <v>456</v>
      </c>
      <c r="B441">
        <v>1986</v>
      </c>
      <c r="C441" t="s">
        <v>46</v>
      </c>
      <c r="D441" t="s">
        <v>34</v>
      </c>
      <c r="E441" t="str">
        <f>IF(OR(Table1[[#This Row],[marital_status]]="Married", Table1[[#This Row],[marital_status]]="Together"), "Partnered", "Single")</f>
        <v>Partnered</v>
      </c>
      <c r="F441" s="7">
        <v>7500</v>
      </c>
      <c r="G441" s="8">
        <v>1</v>
      </c>
      <c r="H441" s="8">
        <v>0</v>
      </c>
      <c r="I441" s="8">
        <f>Table1[[#This Row],[kids]]+Table1[[#This Row],[teens]]</f>
        <v>1</v>
      </c>
      <c r="J441" s="9">
        <v>41312</v>
      </c>
      <c r="K441" s="8">
        <v>96</v>
      </c>
      <c r="L441" s="6">
        <v>1</v>
      </c>
      <c r="M441" s="5">
        <v>11</v>
      </c>
      <c r="N441" s="5">
        <v>5</v>
      </c>
      <c r="O441" s="5">
        <v>4</v>
      </c>
      <c r="P441" s="5">
        <v>6</v>
      </c>
      <c r="Q441" s="5">
        <v>9</v>
      </c>
      <c r="R441" s="8">
        <v>2</v>
      </c>
      <c r="S441" s="8">
        <v>2</v>
      </c>
      <c r="T441" s="8">
        <v>0</v>
      </c>
      <c r="U441" s="8">
        <v>3</v>
      </c>
      <c r="V441" s="8">
        <v>8</v>
      </c>
      <c r="W441" t="s">
        <v>473</v>
      </c>
      <c r="X441" t="s">
        <v>473</v>
      </c>
      <c r="Y441" t="s">
        <v>473</v>
      </c>
      <c r="Z441" t="s">
        <v>473</v>
      </c>
      <c r="AA441" t="s">
        <v>473</v>
      </c>
      <c r="AB441" t="s">
        <v>473</v>
      </c>
      <c r="AC441" s="10">
        <v>3</v>
      </c>
      <c r="AD441" s="10">
        <v>11</v>
      </c>
      <c r="AE441" t="s">
        <v>473</v>
      </c>
    </row>
    <row r="442" spans="1:31" x14ac:dyDescent="0.25">
      <c r="A442">
        <v>5012</v>
      </c>
      <c r="B442">
        <v>1989</v>
      </c>
      <c r="C442" t="s">
        <v>466</v>
      </c>
      <c r="D442" t="s">
        <v>34</v>
      </c>
      <c r="E442" t="str">
        <f>IF(OR(Table1[[#This Row],[marital_status]]="Married", Table1[[#This Row],[marital_status]]="Together"), "Partnered", "Single")</f>
        <v>Partnered</v>
      </c>
      <c r="F442" s="7">
        <v>28691</v>
      </c>
      <c r="G442" s="8">
        <v>1</v>
      </c>
      <c r="H442" s="8">
        <v>0</v>
      </c>
      <c r="I442" s="8">
        <f>Table1[[#This Row],[kids]]+Table1[[#This Row],[teens]]</f>
        <v>1</v>
      </c>
      <c r="J442" s="9">
        <v>41459</v>
      </c>
      <c r="K442" s="8">
        <v>56</v>
      </c>
      <c r="L442" s="6">
        <v>5</v>
      </c>
      <c r="M442" s="5">
        <v>4</v>
      </c>
      <c r="N442" s="5">
        <v>13</v>
      </c>
      <c r="O442" s="5">
        <v>8</v>
      </c>
      <c r="P442" s="5">
        <v>0</v>
      </c>
      <c r="Q442" s="5">
        <v>4</v>
      </c>
      <c r="R442" s="8">
        <v>1</v>
      </c>
      <c r="S442" s="8">
        <v>1</v>
      </c>
      <c r="T442" s="8">
        <v>0</v>
      </c>
      <c r="U442" s="8">
        <v>3</v>
      </c>
      <c r="V442" s="8">
        <v>8</v>
      </c>
      <c r="W442" t="s">
        <v>473</v>
      </c>
      <c r="X442" t="s">
        <v>473</v>
      </c>
      <c r="Y442" t="s">
        <v>473</v>
      </c>
      <c r="Z442" t="s">
        <v>473</v>
      </c>
      <c r="AA442" t="s">
        <v>473</v>
      </c>
      <c r="AB442" t="s">
        <v>473</v>
      </c>
      <c r="AC442" s="10">
        <v>3</v>
      </c>
      <c r="AD442" s="10">
        <v>11</v>
      </c>
      <c r="AE442" t="s">
        <v>473</v>
      </c>
    </row>
    <row r="443" spans="1:31" x14ac:dyDescent="0.25">
      <c r="A443">
        <v>7495</v>
      </c>
      <c r="B443">
        <v>1948</v>
      </c>
      <c r="C443" t="s">
        <v>33</v>
      </c>
      <c r="D443" t="s">
        <v>34</v>
      </c>
      <c r="E443" t="str">
        <f>IF(OR(Table1[[#This Row],[marital_status]]="Married", Table1[[#This Row],[marital_status]]="Together"), "Partnered", "Single")</f>
        <v>Partnered</v>
      </c>
      <c r="F443" s="7">
        <v>56223</v>
      </c>
      <c r="G443" s="8">
        <v>0</v>
      </c>
      <c r="H443" s="8">
        <v>1</v>
      </c>
      <c r="I443" s="8">
        <f>Table1[[#This Row],[kids]]+Table1[[#This Row],[teens]]</f>
        <v>1</v>
      </c>
      <c r="J443" s="9">
        <v>41628</v>
      </c>
      <c r="K443" s="8">
        <v>72</v>
      </c>
      <c r="L443" s="6">
        <v>77</v>
      </c>
      <c r="M443" s="5">
        <v>28</v>
      </c>
      <c r="N443" s="5">
        <v>31</v>
      </c>
      <c r="O443" s="5">
        <v>16</v>
      </c>
      <c r="P443" s="5">
        <v>0</v>
      </c>
      <c r="Q443" s="5">
        <v>4</v>
      </c>
      <c r="R443" s="8">
        <v>2</v>
      </c>
      <c r="S443" s="8">
        <v>2</v>
      </c>
      <c r="T443" s="8">
        <v>1</v>
      </c>
      <c r="U443" s="8">
        <v>5</v>
      </c>
      <c r="V443" s="8">
        <v>4</v>
      </c>
      <c r="W443" t="s">
        <v>473</v>
      </c>
      <c r="X443" t="s">
        <v>473</v>
      </c>
      <c r="Y443" t="s">
        <v>473</v>
      </c>
      <c r="Z443" t="s">
        <v>473</v>
      </c>
      <c r="AA443" t="s">
        <v>473</v>
      </c>
      <c r="AB443" t="s">
        <v>473</v>
      </c>
      <c r="AC443" s="10">
        <v>3</v>
      </c>
      <c r="AD443" s="10">
        <v>11</v>
      </c>
      <c r="AE443" t="s">
        <v>473</v>
      </c>
    </row>
    <row r="444" spans="1:31" x14ac:dyDescent="0.25">
      <c r="A444">
        <v>5029</v>
      </c>
      <c r="B444">
        <v>1946</v>
      </c>
      <c r="C444" t="s">
        <v>466</v>
      </c>
      <c r="D444" t="s">
        <v>34</v>
      </c>
      <c r="E444" t="str">
        <f>IF(OR(Table1[[#This Row],[marital_status]]="Married", Table1[[#This Row],[marital_status]]="Together"), "Partnered", "Single")</f>
        <v>Partnered</v>
      </c>
      <c r="F444" s="7">
        <v>18100</v>
      </c>
      <c r="G444" s="8">
        <v>0</v>
      </c>
      <c r="H444" s="8">
        <v>0</v>
      </c>
      <c r="I444" s="8">
        <f>Table1[[#This Row],[kids]]+Table1[[#This Row],[teens]]</f>
        <v>0</v>
      </c>
      <c r="J444" s="9">
        <v>41492</v>
      </c>
      <c r="K444" s="8">
        <v>14</v>
      </c>
      <c r="L444" s="6">
        <v>3</v>
      </c>
      <c r="M444" s="5">
        <v>1</v>
      </c>
      <c r="N444" s="5">
        <v>2</v>
      </c>
      <c r="O444" s="5">
        <v>4</v>
      </c>
      <c r="P444" s="5">
        <v>3</v>
      </c>
      <c r="Q444" s="5">
        <v>1</v>
      </c>
      <c r="R444" s="8">
        <v>1</v>
      </c>
      <c r="S444" s="8">
        <v>0</v>
      </c>
      <c r="T444" s="8">
        <v>0</v>
      </c>
      <c r="U444" s="8">
        <v>3</v>
      </c>
      <c r="V444" s="8">
        <v>5</v>
      </c>
      <c r="W444" t="s">
        <v>473</v>
      </c>
      <c r="X444" t="s">
        <v>473</v>
      </c>
      <c r="Y444" t="s">
        <v>473</v>
      </c>
      <c r="Z444" t="s">
        <v>473</v>
      </c>
      <c r="AA444" t="s">
        <v>473</v>
      </c>
      <c r="AB444" t="s">
        <v>473</v>
      </c>
      <c r="AC444" s="10">
        <v>3</v>
      </c>
      <c r="AD444" s="10">
        <v>11</v>
      </c>
      <c r="AE444" t="s">
        <v>473</v>
      </c>
    </row>
    <row r="445" spans="1:31" x14ac:dyDescent="0.25">
      <c r="A445">
        <v>10642</v>
      </c>
      <c r="B445">
        <v>1989</v>
      </c>
      <c r="C445" t="s">
        <v>466</v>
      </c>
      <c r="D445" t="s">
        <v>30</v>
      </c>
      <c r="E445" t="str">
        <f>IF(OR(Table1[[#This Row],[marital_status]]="Married", Table1[[#This Row],[marital_status]]="Together"), "Partnered", "Single")</f>
        <v>Single</v>
      </c>
      <c r="F445" s="7">
        <v>30279</v>
      </c>
      <c r="G445" s="8">
        <v>1</v>
      </c>
      <c r="H445" s="8">
        <v>0</v>
      </c>
      <c r="I445" s="8">
        <f>Table1[[#This Row],[kids]]+Table1[[#This Row],[teens]]</f>
        <v>1</v>
      </c>
      <c r="J445" s="9">
        <v>41273</v>
      </c>
      <c r="K445" s="8">
        <v>13</v>
      </c>
      <c r="L445" s="6">
        <v>10</v>
      </c>
      <c r="M445" s="5">
        <v>4</v>
      </c>
      <c r="N445" s="5">
        <v>14</v>
      </c>
      <c r="O445" s="5">
        <v>4</v>
      </c>
      <c r="P445" s="5">
        <v>4</v>
      </c>
      <c r="Q445" s="5">
        <v>1</v>
      </c>
      <c r="R445" s="8">
        <v>1</v>
      </c>
      <c r="S445" s="8">
        <v>1</v>
      </c>
      <c r="T445" s="8">
        <v>0</v>
      </c>
      <c r="U445" s="8">
        <v>3</v>
      </c>
      <c r="V445" s="8">
        <v>8</v>
      </c>
      <c r="W445" t="s">
        <v>473</v>
      </c>
      <c r="X445" t="s">
        <v>473</v>
      </c>
      <c r="Y445" t="s">
        <v>473</v>
      </c>
      <c r="Z445" t="s">
        <v>473</v>
      </c>
      <c r="AA445" t="s">
        <v>473</v>
      </c>
      <c r="AB445" t="s">
        <v>473</v>
      </c>
      <c r="AC445" s="10">
        <v>3</v>
      </c>
      <c r="AD445" s="10">
        <v>11</v>
      </c>
      <c r="AE445" t="s">
        <v>473</v>
      </c>
    </row>
    <row r="446" spans="1:31" x14ac:dyDescent="0.25">
      <c r="A446">
        <v>2106</v>
      </c>
      <c r="B446">
        <v>1974</v>
      </c>
      <c r="C446" t="s">
        <v>46</v>
      </c>
      <c r="D446" t="s">
        <v>34</v>
      </c>
      <c r="E446" t="str">
        <f>IF(OR(Table1[[#This Row],[marital_status]]="Married", Table1[[#This Row],[marital_status]]="Together"), "Partnered", "Single")</f>
        <v>Partnered</v>
      </c>
      <c r="F446" s="7">
        <v>20130</v>
      </c>
      <c r="G446" s="8">
        <v>0</v>
      </c>
      <c r="H446" s="8">
        <v>0</v>
      </c>
      <c r="I446" s="8">
        <f>Table1[[#This Row],[kids]]+Table1[[#This Row],[teens]]</f>
        <v>0</v>
      </c>
      <c r="J446" s="9">
        <v>41715</v>
      </c>
      <c r="K446" s="8">
        <v>99</v>
      </c>
      <c r="L446" s="6">
        <v>0</v>
      </c>
      <c r="M446" s="5">
        <v>6</v>
      </c>
      <c r="N446" s="5">
        <v>3</v>
      </c>
      <c r="O446" s="5">
        <v>7</v>
      </c>
      <c r="P446" s="5">
        <v>6</v>
      </c>
      <c r="Q446" s="5">
        <v>12</v>
      </c>
      <c r="R446" s="8">
        <v>1</v>
      </c>
      <c r="S446" s="8">
        <v>1</v>
      </c>
      <c r="T446" s="8">
        <v>0</v>
      </c>
      <c r="U446" s="8">
        <v>3</v>
      </c>
      <c r="V446" s="8">
        <v>8</v>
      </c>
      <c r="W446" t="s">
        <v>473</v>
      </c>
      <c r="X446" t="s">
        <v>473</v>
      </c>
      <c r="Y446" t="s">
        <v>473</v>
      </c>
      <c r="Z446" t="s">
        <v>473</v>
      </c>
      <c r="AA446" t="s">
        <v>473</v>
      </c>
      <c r="AB446" t="s">
        <v>473</v>
      </c>
      <c r="AC446" s="10">
        <v>3</v>
      </c>
      <c r="AD446" s="10">
        <v>11</v>
      </c>
      <c r="AE446" t="s">
        <v>473</v>
      </c>
    </row>
    <row r="447" spans="1:31" x14ac:dyDescent="0.25">
      <c r="A447">
        <v>10364</v>
      </c>
      <c r="B447">
        <v>1959</v>
      </c>
      <c r="C447" t="s">
        <v>466</v>
      </c>
      <c r="D447" t="s">
        <v>37</v>
      </c>
      <c r="E447" t="str">
        <f>IF(OR(Table1[[#This Row],[marital_status]]="Married", Table1[[#This Row],[marital_status]]="Together"), "Partnered", "Single")</f>
        <v>Single</v>
      </c>
      <c r="F447" s="7">
        <v>23295</v>
      </c>
      <c r="G447" s="8">
        <v>0</v>
      </c>
      <c r="H447" s="8">
        <v>0</v>
      </c>
      <c r="I447" s="8">
        <f>Table1[[#This Row],[kids]]+Table1[[#This Row],[teens]]</f>
        <v>0</v>
      </c>
      <c r="J447" s="9">
        <v>41468</v>
      </c>
      <c r="K447" s="8">
        <v>72</v>
      </c>
      <c r="L447" s="6">
        <v>0</v>
      </c>
      <c r="M447" s="5">
        <v>0</v>
      </c>
      <c r="N447" s="5">
        <v>1</v>
      </c>
      <c r="O447" s="5">
        <v>2</v>
      </c>
      <c r="P447" s="5">
        <v>12</v>
      </c>
      <c r="Q447" s="5">
        <v>5</v>
      </c>
      <c r="R447" s="8">
        <v>1</v>
      </c>
      <c r="S447" s="8">
        <v>1</v>
      </c>
      <c r="T447" s="8">
        <v>0</v>
      </c>
      <c r="U447" s="8">
        <v>2</v>
      </c>
      <c r="V447" s="8">
        <v>8</v>
      </c>
      <c r="W447" t="s">
        <v>473</v>
      </c>
      <c r="X447" t="s">
        <v>473</v>
      </c>
      <c r="Y447" t="s">
        <v>473</v>
      </c>
      <c r="Z447" t="s">
        <v>473</v>
      </c>
      <c r="AA447" t="s">
        <v>473</v>
      </c>
      <c r="AB447" t="s">
        <v>473</v>
      </c>
      <c r="AC447" s="10">
        <v>3</v>
      </c>
      <c r="AD447" s="10">
        <v>11</v>
      </c>
      <c r="AE447" t="s">
        <v>473</v>
      </c>
    </row>
    <row r="448" spans="1:31" x14ac:dyDescent="0.25">
      <c r="A448">
        <v>5954</v>
      </c>
      <c r="B448">
        <v>1972</v>
      </c>
      <c r="C448" t="s">
        <v>36</v>
      </c>
      <c r="D448" t="s">
        <v>37</v>
      </c>
      <c r="E448" t="str">
        <f>IF(OR(Table1[[#This Row],[marital_status]]="Married", Table1[[#This Row],[marital_status]]="Together"), "Partnered", "Single")</f>
        <v>Single</v>
      </c>
      <c r="F448" s="7">
        <v>42618</v>
      </c>
      <c r="G448" s="8">
        <v>1</v>
      </c>
      <c r="H448" s="8">
        <v>0</v>
      </c>
      <c r="I448" s="8">
        <f>Table1[[#This Row],[kids]]+Table1[[#This Row],[teens]]</f>
        <v>1</v>
      </c>
      <c r="J448" s="9">
        <v>41556</v>
      </c>
      <c r="K448" s="8">
        <v>92</v>
      </c>
      <c r="L448" s="6">
        <v>76</v>
      </c>
      <c r="M448" s="5">
        <v>14</v>
      </c>
      <c r="N448" s="5">
        <v>74</v>
      </c>
      <c r="O448" s="5">
        <v>13</v>
      </c>
      <c r="P448" s="5">
        <v>5</v>
      </c>
      <c r="Q448" s="5">
        <v>10</v>
      </c>
      <c r="R448" s="8">
        <v>2</v>
      </c>
      <c r="S448" s="8">
        <v>5</v>
      </c>
      <c r="T448" s="8">
        <v>0</v>
      </c>
      <c r="U448" s="8">
        <v>4</v>
      </c>
      <c r="V448" s="8">
        <v>8</v>
      </c>
      <c r="W448" t="s">
        <v>473</v>
      </c>
      <c r="X448" t="s">
        <v>473</v>
      </c>
      <c r="Y448" t="s">
        <v>473</v>
      </c>
      <c r="Z448" t="s">
        <v>473</v>
      </c>
      <c r="AA448" t="s">
        <v>473</v>
      </c>
      <c r="AB448" t="s">
        <v>473</v>
      </c>
      <c r="AC448" s="10">
        <v>3</v>
      </c>
      <c r="AD448" s="10">
        <v>11</v>
      </c>
      <c r="AE448" t="s">
        <v>473</v>
      </c>
    </row>
    <row r="449" spans="1:31" x14ac:dyDescent="0.25">
      <c r="A449">
        <v>1137</v>
      </c>
      <c r="B449">
        <v>1964</v>
      </c>
      <c r="C449" t="s">
        <v>466</v>
      </c>
      <c r="D449" t="s">
        <v>30</v>
      </c>
      <c r="E449" t="str">
        <f>IF(OR(Table1[[#This Row],[marital_status]]="Married", Table1[[#This Row],[marital_status]]="Together"), "Partnered", "Single")</f>
        <v>Single</v>
      </c>
      <c r="F449" s="7">
        <v>81246</v>
      </c>
      <c r="G449" s="8">
        <v>0</v>
      </c>
      <c r="H449" s="8">
        <v>0</v>
      </c>
      <c r="I449" s="8">
        <f>Table1[[#This Row],[kids]]+Table1[[#This Row],[teens]]</f>
        <v>0</v>
      </c>
      <c r="J449" s="9">
        <v>41637</v>
      </c>
      <c r="K449" s="8">
        <v>87</v>
      </c>
      <c r="L449" s="6">
        <v>398</v>
      </c>
      <c r="M449" s="5">
        <v>190</v>
      </c>
      <c r="N449" s="5">
        <v>537</v>
      </c>
      <c r="O449" s="5">
        <v>61</v>
      </c>
      <c r="P449" s="5">
        <v>156</v>
      </c>
      <c r="Q449" s="5">
        <v>37</v>
      </c>
      <c r="R449" s="8">
        <v>1</v>
      </c>
      <c r="S449" s="8">
        <v>4</v>
      </c>
      <c r="T449" s="8">
        <v>5</v>
      </c>
      <c r="U449" s="8">
        <v>7</v>
      </c>
      <c r="V449" s="8">
        <v>1</v>
      </c>
      <c r="W449" t="s">
        <v>474</v>
      </c>
      <c r="X449" t="s">
        <v>473</v>
      </c>
      <c r="Y449" t="s">
        <v>473</v>
      </c>
      <c r="Z449" t="s">
        <v>474</v>
      </c>
      <c r="AA449" t="s">
        <v>473</v>
      </c>
      <c r="AB449" t="s">
        <v>473</v>
      </c>
      <c r="AC449" s="10">
        <v>3</v>
      </c>
      <c r="AD449" s="10">
        <v>11</v>
      </c>
      <c r="AE449" t="s">
        <v>473</v>
      </c>
    </row>
    <row r="450" spans="1:31" x14ac:dyDescent="0.25">
      <c r="A450">
        <v>2541</v>
      </c>
      <c r="B450">
        <v>1976</v>
      </c>
      <c r="C450" t="s">
        <v>466</v>
      </c>
      <c r="D450" t="s">
        <v>34</v>
      </c>
      <c r="E450" t="str">
        <f>IF(OR(Table1[[#This Row],[marital_status]]="Married", Table1[[#This Row],[marital_status]]="Together"), "Partnered", "Single")</f>
        <v>Partnered</v>
      </c>
      <c r="F450" s="7">
        <v>24027</v>
      </c>
      <c r="G450" s="8">
        <v>1</v>
      </c>
      <c r="H450" s="8">
        <v>0</v>
      </c>
      <c r="I450" s="8">
        <f>Table1[[#This Row],[kids]]+Table1[[#This Row],[teens]]</f>
        <v>1</v>
      </c>
      <c r="J450" s="9">
        <v>41434</v>
      </c>
      <c r="K450" s="8">
        <v>7</v>
      </c>
      <c r="L450" s="6">
        <v>14</v>
      </c>
      <c r="M450" s="5">
        <v>7</v>
      </c>
      <c r="N450" s="5">
        <v>11</v>
      </c>
      <c r="O450" s="5">
        <v>11</v>
      </c>
      <c r="P450" s="5">
        <v>0</v>
      </c>
      <c r="Q450" s="5">
        <v>5</v>
      </c>
      <c r="R450" s="8">
        <v>2</v>
      </c>
      <c r="S450" s="8">
        <v>2</v>
      </c>
      <c r="T450" s="8">
        <v>0</v>
      </c>
      <c r="U450" s="8">
        <v>3</v>
      </c>
      <c r="V450" s="8">
        <v>8</v>
      </c>
      <c r="W450" t="s">
        <v>473</v>
      </c>
      <c r="X450" t="s">
        <v>473</v>
      </c>
      <c r="Y450" t="s">
        <v>473</v>
      </c>
      <c r="Z450" t="s">
        <v>473</v>
      </c>
      <c r="AA450" t="s">
        <v>473</v>
      </c>
      <c r="AB450" t="s">
        <v>473</v>
      </c>
      <c r="AC450" s="10">
        <v>3</v>
      </c>
      <c r="AD450" s="10">
        <v>11</v>
      </c>
      <c r="AE450" t="s">
        <v>473</v>
      </c>
    </row>
    <row r="451" spans="1:31" x14ac:dyDescent="0.25">
      <c r="A451">
        <v>1142</v>
      </c>
      <c r="B451">
        <v>1953</v>
      </c>
      <c r="C451" t="s">
        <v>33</v>
      </c>
      <c r="D451" t="s">
        <v>34</v>
      </c>
      <c r="E451" t="str">
        <f>IF(OR(Table1[[#This Row],[marital_status]]="Married", Table1[[#This Row],[marital_status]]="Together"), "Partnered", "Single")</f>
        <v>Partnered</v>
      </c>
      <c r="F451" s="7">
        <v>55707</v>
      </c>
      <c r="G451" s="8">
        <v>0</v>
      </c>
      <c r="H451" s="8">
        <v>1</v>
      </c>
      <c r="I451" s="8">
        <f>Table1[[#This Row],[kids]]+Table1[[#This Row],[teens]]</f>
        <v>1</v>
      </c>
      <c r="J451" s="9">
        <v>41630</v>
      </c>
      <c r="K451" s="8">
        <v>91</v>
      </c>
      <c r="L451" s="6">
        <v>208</v>
      </c>
      <c r="M451" s="5">
        <v>7</v>
      </c>
      <c r="N451" s="5">
        <v>82</v>
      </c>
      <c r="O451" s="5">
        <v>30</v>
      </c>
      <c r="P451" s="5">
        <v>66</v>
      </c>
      <c r="Q451" s="5">
        <v>35</v>
      </c>
      <c r="R451" s="8">
        <v>2</v>
      </c>
      <c r="S451" s="8">
        <v>3</v>
      </c>
      <c r="T451" s="8">
        <v>2</v>
      </c>
      <c r="U451" s="8">
        <v>9</v>
      </c>
      <c r="V451" s="8">
        <v>3</v>
      </c>
      <c r="W451" t="s">
        <v>473</v>
      </c>
      <c r="X451" t="s">
        <v>473</v>
      </c>
      <c r="Y451" t="s">
        <v>473</v>
      </c>
      <c r="Z451" t="s">
        <v>473</v>
      </c>
      <c r="AA451" t="s">
        <v>473</v>
      </c>
      <c r="AB451" t="s">
        <v>473</v>
      </c>
      <c r="AC451" s="10">
        <v>3</v>
      </c>
      <c r="AD451" s="10">
        <v>11</v>
      </c>
      <c r="AE451" t="s">
        <v>473</v>
      </c>
    </row>
    <row r="452" spans="1:31" x14ac:dyDescent="0.25">
      <c r="A452">
        <v>2276</v>
      </c>
      <c r="B452">
        <v>1955</v>
      </c>
      <c r="C452" t="s">
        <v>466</v>
      </c>
      <c r="D452" t="s">
        <v>30</v>
      </c>
      <c r="E452" t="str">
        <f>IF(OR(Table1[[#This Row],[marital_status]]="Married", Table1[[#This Row],[marital_status]]="Together"), "Partnered", "Single")</f>
        <v>Single</v>
      </c>
      <c r="F452" s="7">
        <v>57959</v>
      </c>
      <c r="G452" s="8">
        <v>0</v>
      </c>
      <c r="H452" s="8">
        <v>1</v>
      </c>
      <c r="I452" s="8">
        <f>Table1[[#This Row],[kids]]+Table1[[#This Row],[teens]]</f>
        <v>1</v>
      </c>
      <c r="J452" s="9">
        <v>41396</v>
      </c>
      <c r="K452" s="8">
        <v>71</v>
      </c>
      <c r="L452" s="6">
        <v>430</v>
      </c>
      <c r="M452" s="5">
        <v>16</v>
      </c>
      <c r="N452" s="5">
        <v>322</v>
      </c>
      <c r="O452" s="5">
        <v>43</v>
      </c>
      <c r="P452" s="5">
        <v>24</v>
      </c>
      <c r="Q452" s="5">
        <v>33</v>
      </c>
      <c r="R452" s="8">
        <v>5</v>
      </c>
      <c r="S452" s="8">
        <v>4</v>
      </c>
      <c r="T452" s="8">
        <v>7</v>
      </c>
      <c r="U452" s="8">
        <v>11</v>
      </c>
      <c r="V452" s="8">
        <v>3</v>
      </c>
      <c r="W452" t="s">
        <v>473</v>
      </c>
      <c r="X452" t="s">
        <v>473</v>
      </c>
      <c r="Y452" t="s">
        <v>473</v>
      </c>
      <c r="Z452" t="s">
        <v>473</v>
      </c>
      <c r="AA452" t="s">
        <v>473</v>
      </c>
      <c r="AB452" t="s">
        <v>473</v>
      </c>
      <c r="AC452" s="10">
        <v>3</v>
      </c>
      <c r="AD452" s="10">
        <v>11</v>
      </c>
      <c r="AE452" t="s">
        <v>473</v>
      </c>
    </row>
    <row r="453" spans="1:31" x14ac:dyDescent="0.25">
      <c r="A453">
        <v>2807</v>
      </c>
      <c r="B453">
        <v>1969</v>
      </c>
      <c r="C453" t="s">
        <v>466</v>
      </c>
      <c r="D453" t="s">
        <v>34</v>
      </c>
      <c r="E453" t="str">
        <f>IF(OR(Table1[[#This Row],[marital_status]]="Married", Table1[[#This Row],[marital_status]]="Together"), "Partnered", "Single")</f>
        <v>Partnered</v>
      </c>
      <c r="F453" s="7">
        <v>56796</v>
      </c>
      <c r="G453" s="8">
        <v>0</v>
      </c>
      <c r="H453" s="8">
        <v>1</v>
      </c>
      <c r="I453" s="8">
        <f>Table1[[#This Row],[kids]]+Table1[[#This Row],[teens]]</f>
        <v>1</v>
      </c>
      <c r="J453" s="9">
        <v>41321</v>
      </c>
      <c r="K453" s="8">
        <v>24</v>
      </c>
      <c r="L453" s="6">
        <v>656</v>
      </c>
      <c r="M453" s="5">
        <v>38</v>
      </c>
      <c r="N453" s="5">
        <v>161</v>
      </c>
      <c r="O453" s="5">
        <v>62</v>
      </c>
      <c r="P453" s="5">
        <v>47</v>
      </c>
      <c r="Q453" s="5">
        <v>37</v>
      </c>
      <c r="R453" s="8">
        <v>3</v>
      </c>
      <c r="S453" s="8">
        <v>8</v>
      </c>
      <c r="T453" s="8">
        <v>9</v>
      </c>
      <c r="U453" s="8">
        <v>7</v>
      </c>
      <c r="V453" s="8">
        <v>7</v>
      </c>
      <c r="W453" t="s">
        <v>473</v>
      </c>
      <c r="X453" t="s">
        <v>473</v>
      </c>
      <c r="Y453" t="s">
        <v>473</v>
      </c>
      <c r="Z453" t="s">
        <v>473</v>
      </c>
      <c r="AA453" t="s">
        <v>473</v>
      </c>
      <c r="AB453" t="s">
        <v>473</v>
      </c>
      <c r="AC453" s="10">
        <v>3</v>
      </c>
      <c r="AD453" s="10">
        <v>11</v>
      </c>
      <c r="AE453" t="s">
        <v>473</v>
      </c>
    </row>
    <row r="454" spans="1:31" x14ac:dyDescent="0.25">
      <c r="A454">
        <v>6471</v>
      </c>
      <c r="B454">
        <v>1971</v>
      </c>
      <c r="C454" t="s">
        <v>36</v>
      </c>
      <c r="D454" t="s">
        <v>30</v>
      </c>
      <c r="E454" t="str">
        <f>IF(OR(Table1[[#This Row],[marital_status]]="Married", Table1[[#This Row],[marital_status]]="Together"), "Partnered", "Single")</f>
        <v>Single</v>
      </c>
      <c r="F454" s="7">
        <v>36230</v>
      </c>
      <c r="G454" s="8">
        <v>1</v>
      </c>
      <c r="H454" s="8">
        <v>0</v>
      </c>
      <c r="I454" s="8">
        <f>Table1[[#This Row],[kids]]+Table1[[#This Row],[teens]]</f>
        <v>1</v>
      </c>
      <c r="J454" s="9">
        <v>41564</v>
      </c>
      <c r="K454" s="8">
        <v>17</v>
      </c>
      <c r="L454" s="6">
        <v>14</v>
      </c>
      <c r="M454" s="5">
        <v>2</v>
      </c>
      <c r="N454" s="5">
        <v>30</v>
      </c>
      <c r="O454" s="5">
        <v>8</v>
      </c>
      <c r="P454" s="5">
        <v>2</v>
      </c>
      <c r="Q454" s="5">
        <v>3</v>
      </c>
      <c r="R454" s="8">
        <v>1</v>
      </c>
      <c r="S454" s="8">
        <v>2</v>
      </c>
      <c r="T454" s="8">
        <v>0</v>
      </c>
      <c r="U454" s="8">
        <v>4</v>
      </c>
      <c r="V454" s="8">
        <v>5</v>
      </c>
      <c r="W454" t="s">
        <v>473</v>
      </c>
      <c r="X454" t="s">
        <v>473</v>
      </c>
      <c r="Y454" t="s">
        <v>473</v>
      </c>
      <c r="Z454" t="s">
        <v>473</v>
      </c>
      <c r="AA454" t="s">
        <v>473</v>
      </c>
      <c r="AB454" t="s">
        <v>473</v>
      </c>
      <c r="AC454" s="10">
        <v>3</v>
      </c>
      <c r="AD454" s="10">
        <v>11</v>
      </c>
      <c r="AE454" t="s">
        <v>473</v>
      </c>
    </row>
    <row r="455" spans="1:31" x14ac:dyDescent="0.25">
      <c r="A455">
        <v>6131</v>
      </c>
      <c r="B455">
        <v>1980</v>
      </c>
      <c r="C455" t="s">
        <v>46</v>
      </c>
      <c r="D455" t="s">
        <v>34</v>
      </c>
      <c r="E455" t="str">
        <f>IF(OR(Table1[[#This Row],[marital_status]]="Married", Table1[[#This Row],[marital_status]]="Together"), "Partnered", "Single")</f>
        <v>Partnered</v>
      </c>
      <c r="F455" s="7">
        <v>70829</v>
      </c>
      <c r="G455" s="8">
        <v>1</v>
      </c>
      <c r="H455" s="8">
        <v>1</v>
      </c>
      <c r="I455" s="8">
        <f>Table1[[#This Row],[kids]]+Table1[[#This Row],[teens]]</f>
        <v>2</v>
      </c>
      <c r="J455" s="9">
        <v>41609</v>
      </c>
      <c r="K455" s="8">
        <v>87</v>
      </c>
      <c r="L455" s="6">
        <v>141</v>
      </c>
      <c r="M455" s="5">
        <v>70</v>
      </c>
      <c r="N455" s="5">
        <v>106</v>
      </c>
      <c r="O455" s="5">
        <v>72</v>
      </c>
      <c r="P455" s="5">
        <v>19</v>
      </c>
      <c r="Q455" s="5">
        <v>23</v>
      </c>
      <c r="R455" s="8">
        <v>2</v>
      </c>
      <c r="S455" s="8">
        <v>4</v>
      </c>
      <c r="T455" s="8">
        <v>2</v>
      </c>
      <c r="U455" s="8">
        <v>8</v>
      </c>
      <c r="V455" s="8">
        <v>3</v>
      </c>
      <c r="W455" t="s">
        <v>473</v>
      </c>
      <c r="X455" t="s">
        <v>473</v>
      </c>
      <c r="Y455" t="s">
        <v>473</v>
      </c>
      <c r="Z455" t="s">
        <v>473</v>
      </c>
      <c r="AA455" t="s">
        <v>473</v>
      </c>
      <c r="AB455" t="s">
        <v>473</v>
      </c>
      <c r="AC455" s="10">
        <v>3</v>
      </c>
      <c r="AD455" s="10">
        <v>11</v>
      </c>
      <c r="AE455" t="s">
        <v>473</v>
      </c>
    </row>
    <row r="456" spans="1:31" x14ac:dyDescent="0.25">
      <c r="A456">
        <v>6233</v>
      </c>
      <c r="B456">
        <v>1976</v>
      </c>
      <c r="C456" t="s">
        <v>466</v>
      </c>
      <c r="D456" t="s">
        <v>34</v>
      </c>
      <c r="E456" t="str">
        <f>IF(OR(Table1[[#This Row],[marital_status]]="Married", Table1[[#This Row],[marital_status]]="Together"), "Partnered", "Single")</f>
        <v>Partnered</v>
      </c>
      <c r="F456" s="7">
        <v>65991</v>
      </c>
      <c r="G456" s="8">
        <v>0</v>
      </c>
      <c r="H456" s="8">
        <v>1</v>
      </c>
      <c r="I456" s="8">
        <f>Table1[[#This Row],[kids]]+Table1[[#This Row],[teens]]</f>
        <v>1</v>
      </c>
      <c r="J456" s="9">
        <v>41159</v>
      </c>
      <c r="K456" s="8">
        <v>21</v>
      </c>
      <c r="L456" s="6">
        <v>507</v>
      </c>
      <c r="M456" s="5">
        <v>19</v>
      </c>
      <c r="N456" s="5">
        <v>364</v>
      </c>
      <c r="O456" s="5">
        <v>25</v>
      </c>
      <c r="P456" s="5">
        <v>47</v>
      </c>
      <c r="Q456" s="5">
        <v>9</v>
      </c>
      <c r="R456" s="8">
        <v>3</v>
      </c>
      <c r="S456" s="8">
        <v>9</v>
      </c>
      <c r="T456" s="8">
        <v>5</v>
      </c>
      <c r="U456" s="8">
        <v>10</v>
      </c>
      <c r="V456" s="8">
        <v>7</v>
      </c>
      <c r="W456" t="s">
        <v>473</v>
      </c>
      <c r="X456" t="s">
        <v>473</v>
      </c>
      <c r="Y456" t="s">
        <v>473</v>
      </c>
      <c r="Z456" t="s">
        <v>473</v>
      </c>
      <c r="AA456" t="s">
        <v>473</v>
      </c>
      <c r="AB456" t="s">
        <v>473</v>
      </c>
      <c r="AC456" s="10">
        <v>3</v>
      </c>
      <c r="AD456" s="10">
        <v>11</v>
      </c>
      <c r="AE456" t="s">
        <v>473</v>
      </c>
    </row>
    <row r="457" spans="1:31" x14ac:dyDescent="0.25">
      <c r="A457">
        <v>4148</v>
      </c>
      <c r="B457">
        <v>1972</v>
      </c>
      <c r="C457" t="s">
        <v>466</v>
      </c>
      <c r="D457" t="s">
        <v>34</v>
      </c>
      <c r="E457" t="str">
        <f>IF(OR(Table1[[#This Row],[marital_status]]="Married", Table1[[#This Row],[marital_status]]="Together"), "Partnered", "Single")</f>
        <v>Partnered</v>
      </c>
      <c r="F457" s="7">
        <v>38988</v>
      </c>
      <c r="G457" s="8">
        <v>1</v>
      </c>
      <c r="H457" s="8">
        <v>2</v>
      </c>
      <c r="I457" s="8">
        <f>Table1[[#This Row],[kids]]+Table1[[#This Row],[teens]]</f>
        <v>3</v>
      </c>
      <c r="J457" s="9">
        <v>41141</v>
      </c>
      <c r="K457" s="8">
        <v>90</v>
      </c>
      <c r="L457" s="6">
        <v>164</v>
      </c>
      <c r="M457" s="5">
        <v>24</v>
      </c>
      <c r="N457" s="5">
        <v>103</v>
      </c>
      <c r="O457" s="5">
        <v>12</v>
      </c>
      <c r="P457" s="5">
        <v>3</v>
      </c>
      <c r="Q457" s="5">
        <v>42</v>
      </c>
      <c r="R457" s="8">
        <v>7</v>
      </c>
      <c r="S457" s="8">
        <v>5</v>
      </c>
      <c r="T457" s="8">
        <v>1</v>
      </c>
      <c r="U457" s="8">
        <v>6</v>
      </c>
      <c r="V457" s="8">
        <v>8</v>
      </c>
      <c r="W457" t="s">
        <v>473</v>
      </c>
      <c r="X457" t="s">
        <v>473</v>
      </c>
      <c r="Y457" t="s">
        <v>473</v>
      </c>
      <c r="Z457" t="s">
        <v>473</v>
      </c>
      <c r="AA457" t="s">
        <v>473</v>
      </c>
      <c r="AB457" t="s">
        <v>473</v>
      </c>
      <c r="AC457" s="10">
        <v>3</v>
      </c>
      <c r="AD457" s="10">
        <v>11</v>
      </c>
      <c r="AE457" t="s">
        <v>473</v>
      </c>
    </row>
    <row r="458" spans="1:31" x14ac:dyDescent="0.25">
      <c r="A458">
        <v>4947</v>
      </c>
      <c r="B458">
        <v>1966</v>
      </c>
      <c r="C458" t="s">
        <v>46</v>
      </c>
      <c r="D458" t="s">
        <v>30</v>
      </c>
      <c r="E458" t="str">
        <f>IF(OR(Table1[[#This Row],[marital_status]]="Married", Table1[[#This Row],[marital_status]]="Together"), "Partnered", "Single")</f>
        <v>Single</v>
      </c>
      <c r="F458" s="7">
        <v>89572</v>
      </c>
      <c r="G458" s="8">
        <v>0</v>
      </c>
      <c r="H458" s="8">
        <v>0</v>
      </c>
      <c r="I458" s="8">
        <f>Table1[[#This Row],[kids]]+Table1[[#This Row],[teens]]</f>
        <v>0</v>
      </c>
      <c r="J458" s="9">
        <v>41167</v>
      </c>
      <c r="K458" s="8">
        <v>44</v>
      </c>
      <c r="L458" s="6">
        <v>606</v>
      </c>
      <c r="M458" s="5">
        <v>24</v>
      </c>
      <c r="N458" s="5">
        <v>974</v>
      </c>
      <c r="O458" s="5">
        <v>197</v>
      </c>
      <c r="P458" s="5">
        <v>194</v>
      </c>
      <c r="Q458" s="5">
        <v>64</v>
      </c>
      <c r="R458" s="8">
        <v>1</v>
      </c>
      <c r="S458" s="8">
        <v>7</v>
      </c>
      <c r="T458" s="8">
        <v>7</v>
      </c>
      <c r="U458" s="8">
        <v>9</v>
      </c>
      <c r="V458" s="8">
        <v>4</v>
      </c>
      <c r="W458" t="s">
        <v>473</v>
      </c>
      <c r="X458" t="s">
        <v>474</v>
      </c>
      <c r="Y458" t="s">
        <v>473</v>
      </c>
      <c r="Z458" t="s">
        <v>474</v>
      </c>
      <c r="AA458" t="s">
        <v>473</v>
      </c>
      <c r="AB458" t="s">
        <v>473</v>
      </c>
      <c r="AC458" s="10">
        <v>3</v>
      </c>
      <c r="AD458" s="10">
        <v>11</v>
      </c>
      <c r="AE458" t="s">
        <v>474</v>
      </c>
    </row>
    <row r="459" spans="1:31" x14ac:dyDescent="0.25">
      <c r="A459">
        <v>3225</v>
      </c>
      <c r="B459">
        <v>1984</v>
      </c>
      <c r="C459" t="s">
        <v>36</v>
      </c>
      <c r="D459" t="s">
        <v>34</v>
      </c>
      <c r="E459" t="str">
        <f>IF(OR(Table1[[#This Row],[marital_status]]="Married", Table1[[#This Row],[marital_status]]="Together"), "Partnered", "Single")</f>
        <v>Partnered</v>
      </c>
      <c r="F459" s="7">
        <v>42207</v>
      </c>
      <c r="G459" s="8">
        <v>1</v>
      </c>
      <c r="H459" s="8">
        <v>0</v>
      </c>
      <c r="I459" s="8">
        <f>Table1[[#This Row],[kids]]+Table1[[#This Row],[teens]]</f>
        <v>1</v>
      </c>
      <c r="J459" s="9">
        <v>41365</v>
      </c>
      <c r="K459" s="8">
        <v>71</v>
      </c>
      <c r="L459" s="6">
        <v>116</v>
      </c>
      <c r="M459" s="5">
        <v>11</v>
      </c>
      <c r="N459" s="5">
        <v>72</v>
      </c>
      <c r="O459" s="5">
        <v>3</v>
      </c>
      <c r="P459" s="5">
        <v>17</v>
      </c>
      <c r="Q459" s="5">
        <v>46</v>
      </c>
      <c r="R459" s="8">
        <v>4</v>
      </c>
      <c r="S459" s="8">
        <v>4</v>
      </c>
      <c r="T459" s="8">
        <v>1</v>
      </c>
      <c r="U459" s="8">
        <v>5</v>
      </c>
      <c r="V459" s="8">
        <v>6</v>
      </c>
      <c r="W459" t="s">
        <v>474</v>
      </c>
      <c r="X459" t="s">
        <v>473</v>
      </c>
      <c r="Y459" t="s">
        <v>473</v>
      </c>
      <c r="Z459" t="s">
        <v>473</v>
      </c>
      <c r="AA459" t="s">
        <v>473</v>
      </c>
      <c r="AB459" t="s">
        <v>473</v>
      </c>
      <c r="AC459" s="10">
        <v>3</v>
      </c>
      <c r="AD459" s="10">
        <v>11</v>
      </c>
      <c r="AE459" t="s">
        <v>474</v>
      </c>
    </row>
    <row r="460" spans="1:31" x14ac:dyDescent="0.25">
      <c r="A460">
        <v>7540</v>
      </c>
      <c r="B460">
        <v>1952</v>
      </c>
      <c r="C460" t="s">
        <v>466</v>
      </c>
      <c r="D460" t="s">
        <v>34</v>
      </c>
      <c r="E460" t="str">
        <f>IF(OR(Table1[[#This Row],[marital_status]]="Married", Table1[[#This Row],[marital_status]]="Together"), "Partnered", "Single")</f>
        <v>Partnered</v>
      </c>
      <c r="F460" s="7">
        <v>50300</v>
      </c>
      <c r="G460" s="8">
        <v>0</v>
      </c>
      <c r="H460" s="8">
        <v>1</v>
      </c>
      <c r="I460" s="8">
        <f>Table1[[#This Row],[kids]]+Table1[[#This Row],[teens]]</f>
        <v>1</v>
      </c>
      <c r="J460" s="9">
        <v>41784</v>
      </c>
      <c r="K460" s="8">
        <v>52</v>
      </c>
      <c r="L460" s="6">
        <v>143</v>
      </c>
      <c r="M460" s="5">
        <v>15</v>
      </c>
      <c r="N460" s="5">
        <v>60</v>
      </c>
      <c r="O460" s="5">
        <v>24</v>
      </c>
      <c r="P460" s="5">
        <v>23</v>
      </c>
      <c r="Q460" s="5">
        <v>5</v>
      </c>
      <c r="R460" s="8">
        <v>2</v>
      </c>
      <c r="S460" s="8">
        <v>2</v>
      </c>
      <c r="T460" s="8">
        <v>1</v>
      </c>
      <c r="U460" s="8">
        <v>8</v>
      </c>
      <c r="V460" s="8">
        <v>2</v>
      </c>
      <c r="W460" t="s">
        <v>473</v>
      </c>
      <c r="X460" t="s">
        <v>473</v>
      </c>
      <c r="Y460" t="s">
        <v>473</v>
      </c>
      <c r="Z460" t="s">
        <v>473</v>
      </c>
      <c r="AA460" t="s">
        <v>473</v>
      </c>
      <c r="AB460" t="s">
        <v>473</v>
      </c>
      <c r="AC460" s="10">
        <v>3</v>
      </c>
      <c r="AD460" s="10">
        <v>11</v>
      </c>
      <c r="AE460" t="s">
        <v>473</v>
      </c>
    </row>
    <row r="461" spans="1:31" x14ac:dyDescent="0.25">
      <c r="A461">
        <v>10648</v>
      </c>
      <c r="B461">
        <v>1982</v>
      </c>
      <c r="C461" t="s">
        <v>46</v>
      </c>
      <c r="D461" t="s">
        <v>31</v>
      </c>
      <c r="E461" t="str">
        <f>IF(OR(Table1[[#This Row],[marital_status]]="Married", Table1[[#This Row],[marital_status]]="Together"), "Partnered", "Single")</f>
        <v>Partnered</v>
      </c>
      <c r="F461" s="7">
        <v>66664</v>
      </c>
      <c r="G461" s="8">
        <v>0</v>
      </c>
      <c r="H461" s="8">
        <v>0</v>
      </c>
      <c r="I461" s="8">
        <f>Table1[[#This Row],[kids]]+Table1[[#This Row],[teens]]</f>
        <v>0</v>
      </c>
      <c r="J461" s="9">
        <v>41177</v>
      </c>
      <c r="K461" s="8">
        <v>78</v>
      </c>
      <c r="L461" s="6">
        <v>398</v>
      </c>
      <c r="M461" s="5">
        <v>96</v>
      </c>
      <c r="N461" s="5">
        <v>447</v>
      </c>
      <c r="O461" s="5">
        <v>220</v>
      </c>
      <c r="P461" s="5">
        <v>96</v>
      </c>
      <c r="Q461" s="5">
        <v>32</v>
      </c>
      <c r="R461" s="8">
        <v>1</v>
      </c>
      <c r="S461" s="8">
        <v>5</v>
      </c>
      <c r="T461" s="8">
        <v>7</v>
      </c>
      <c r="U461" s="8">
        <v>6</v>
      </c>
      <c r="V461" s="8">
        <v>3</v>
      </c>
      <c r="W461" t="s">
        <v>473</v>
      </c>
      <c r="X461" t="s">
        <v>473</v>
      </c>
      <c r="Y461" t="s">
        <v>473</v>
      </c>
      <c r="Z461" t="s">
        <v>473</v>
      </c>
      <c r="AA461" t="s">
        <v>473</v>
      </c>
      <c r="AB461" t="s">
        <v>473</v>
      </c>
      <c r="AC461" s="10">
        <v>3</v>
      </c>
      <c r="AD461" s="10">
        <v>11</v>
      </c>
      <c r="AE461" t="s">
        <v>473</v>
      </c>
    </row>
    <row r="462" spans="1:31" x14ac:dyDescent="0.25">
      <c r="A462">
        <v>1992</v>
      </c>
      <c r="B462">
        <v>1964</v>
      </c>
      <c r="C462" t="s">
        <v>466</v>
      </c>
      <c r="D462" t="s">
        <v>34</v>
      </c>
      <c r="E462" t="str">
        <f>IF(OR(Table1[[#This Row],[marital_status]]="Married", Table1[[#This Row],[marital_status]]="Together"), "Partnered", "Single")</f>
        <v>Partnered</v>
      </c>
      <c r="F462" s="7">
        <v>60597</v>
      </c>
      <c r="G462" s="8">
        <v>0</v>
      </c>
      <c r="H462" s="8">
        <v>1</v>
      </c>
      <c r="I462" s="8">
        <f>Table1[[#This Row],[kids]]+Table1[[#This Row],[teens]]</f>
        <v>1</v>
      </c>
      <c r="J462" s="9">
        <v>41640</v>
      </c>
      <c r="K462" s="8">
        <v>2</v>
      </c>
      <c r="L462" s="6">
        <v>522</v>
      </c>
      <c r="M462" s="5">
        <v>0</v>
      </c>
      <c r="N462" s="5">
        <v>257</v>
      </c>
      <c r="O462" s="5">
        <v>32</v>
      </c>
      <c r="P462" s="5">
        <v>16</v>
      </c>
      <c r="Q462" s="5">
        <v>66</v>
      </c>
      <c r="R462" s="8">
        <v>4</v>
      </c>
      <c r="S462" s="8">
        <v>2</v>
      </c>
      <c r="T462" s="8">
        <v>2</v>
      </c>
      <c r="U462" s="8">
        <v>8</v>
      </c>
      <c r="V462" s="8">
        <v>7</v>
      </c>
      <c r="W462" t="s">
        <v>473</v>
      </c>
      <c r="X462" t="s">
        <v>473</v>
      </c>
      <c r="Y462" t="s">
        <v>473</v>
      </c>
      <c r="Z462" t="s">
        <v>474</v>
      </c>
      <c r="AA462" t="s">
        <v>473</v>
      </c>
      <c r="AB462" t="s">
        <v>473</v>
      </c>
      <c r="AC462" s="10">
        <v>3</v>
      </c>
      <c r="AD462" s="10">
        <v>11</v>
      </c>
      <c r="AE462" t="s">
        <v>474</v>
      </c>
    </row>
    <row r="463" spans="1:31" x14ac:dyDescent="0.25">
      <c r="A463">
        <v>7851</v>
      </c>
      <c r="B463">
        <v>1949</v>
      </c>
      <c r="C463" t="s">
        <v>466</v>
      </c>
      <c r="D463" t="s">
        <v>57</v>
      </c>
      <c r="E463" t="str">
        <f>IF(OR(Table1[[#This Row],[marital_status]]="Married", Table1[[#This Row],[marital_status]]="Together"), "Partnered", "Single")</f>
        <v>Single</v>
      </c>
      <c r="F463" s="7">
        <v>70165</v>
      </c>
      <c r="G463" s="8">
        <v>0</v>
      </c>
      <c r="H463" s="8">
        <v>0</v>
      </c>
      <c r="I463" s="8">
        <f>Table1[[#This Row],[kids]]+Table1[[#This Row],[teens]]</f>
        <v>0</v>
      </c>
      <c r="J463" s="9">
        <v>41539</v>
      </c>
      <c r="K463" s="8">
        <v>60</v>
      </c>
      <c r="L463" s="6">
        <v>161</v>
      </c>
      <c r="M463" s="5">
        <v>0</v>
      </c>
      <c r="N463" s="5">
        <v>253</v>
      </c>
      <c r="O463" s="5">
        <v>199</v>
      </c>
      <c r="P463" s="5">
        <v>191</v>
      </c>
      <c r="Q463" s="5">
        <v>122</v>
      </c>
      <c r="R463" s="8">
        <v>1</v>
      </c>
      <c r="S463" s="8">
        <v>3</v>
      </c>
      <c r="T463" s="8">
        <v>7</v>
      </c>
      <c r="U463" s="8">
        <v>11</v>
      </c>
      <c r="V463" s="8">
        <v>1</v>
      </c>
      <c r="W463" t="s">
        <v>473</v>
      </c>
      <c r="X463" t="s">
        <v>473</v>
      </c>
      <c r="Y463" t="s">
        <v>473</v>
      </c>
      <c r="Z463" t="s">
        <v>473</v>
      </c>
      <c r="AA463" t="s">
        <v>473</v>
      </c>
      <c r="AB463" t="s">
        <v>473</v>
      </c>
      <c r="AC463" s="10">
        <v>3</v>
      </c>
      <c r="AD463" s="10">
        <v>11</v>
      </c>
      <c r="AE463" t="s">
        <v>473</v>
      </c>
    </row>
    <row r="464" spans="1:31" x14ac:dyDescent="0.25">
      <c r="A464">
        <v>8594</v>
      </c>
      <c r="B464">
        <v>1958</v>
      </c>
      <c r="C464" t="s">
        <v>33</v>
      </c>
      <c r="D464" t="s">
        <v>57</v>
      </c>
      <c r="E464" t="str">
        <f>IF(OR(Table1[[#This Row],[marital_status]]="Married", Table1[[#This Row],[marital_status]]="Together"), "Partnered", "Single")</f>
        <v>Single</v>
      </c>
      <c r="F464" s="7">
        <v>50520</v>
      </c>
      <c r="G464" s="8">
        <v>0</v>
      </c>
      <c r="H464" s="8">
        <v>1</v>
      </c>
      <c r="I464" s="8">
        <f>Table1[[#This Row],[kids]]+Table1[[#This Row],[teens]]</f>
        <v>1</v>
      </c>
      <c r="J464" s="9">
        <v>41667</v>
      </c>
      <c r="K464" s="8">
        <v>25</v>
      </c>
      <c r="L464" s="6">
        <v>112</v>
      </c>
      <c r="M464" s="5">
        <v>0</v>
      </c>
      <c r="N464" s="5">
        <v>6</v>
      </c>
      <c r="O464" s="5">
        <v>2</v>
      </c>
      <c r="P464" s="5">
        <v>1</v>
      </c>
      <c r="Q464" s="5">
        <v>14</v>
      </c>
      <c r="R464" s="8">
        <v>2</v>
      </c>
      <c r="S464" s="8">
        <v>3</v>
      </c>
      <c r="T464" s="8">
        <v>1</v>
      </c>
      <c r="U464" s="8">
        <v>3</v>
      </c>
      <c r="V464" s="8">
        <v>6</v>
      </c>
      <c r="W464" t="s">
        <v>473</v>
      </c>
      <c r="X464" t="s">
        <v>473</v>
      </c>
      <c r="Y464" t="s">
        <v>473</v>
      </c>
      <c r="Z464" t="s">
        <v>473</v>
      </c>
      <c r="AA464" t="s">
        <v>473</v>
      </c>
      <c r="AB464" t="s">
        <v>473</v>
      </c>
      <c r="AC464" s="10">
        <v>3</v>
      </c>
      <c r="AD464" s="10">
        <v>11</v>
      </c>
      <c r="AE464" t="s">
        <v>473</v>
      </c>
    </row>
    <row r="465" spans="1:31" x14ac:dyDescent="0.25">
      <c r="A465">
        <v>7059</v>
      </c>
      <c r="B465">
        <v>1963</v>
      </c>
      <c r="C465" t="s">
        <v>466</v>
      </c>
      <c r="D465" t="s">
        <v>34</v>
      </c>
      <c r="E465" t="str">
        <f>IF(OR(Table1[[#This Row],[marital_status]]="Married", Table1[[#This Row],[marital_status]]="Together"), "Partnered", "Single")</f>
        <v>Partnered</v>
      </c>
      <c r="F465" s="7">
        <v>80124</v>
      </c>
      <c r="G465" s="8">
        <v>0</v>
      </c>
      <c r="H465" s="8">
        <v>0</v>
      </c>
      <c r="I465" s="8">
        <f>Table1[[#This Row],[kids]]+Table1[[#This Row],[teens]]</f>
        <v>0</v>
      </c>
      <c r="J465" s="9">
        <v>41816</v>
      </c>
      <c r="K465" s="8">
        <v>47</v>
      </c>
      <c r="L465" s="6">
        <v>483</v>
      </c>
      <c r="M465" s="5">
        <v>84</v>
      </c>
      <c r="N465" s="5">
        <v>398</v>
      </c>
      <c r="O465" s="5">
        <v>205</v>
      </c>
      <c r="P465" s="5">
        <v>84</v>
      </c>
      <c r="Q465" s="5">
        <v>241</v>
      </c>
      <c r="R465" s="8">
        <v>1</v>
      </c>
      <c r="S465" s="8">
        <v>3</v>
      </c>
      <c r="T465" s="8">
        <v>7</v>
      </c>
      <c r="U465" s="8">
        <v>8</v>
      </c>
      <c r="V465" s="8">
        <v>1</v>
      </c>
      <c r="W465" t="s">
        <v>474</v>
      </c>
      <c r="X465" t="s">
        <v>473</v>
      </c>
      <c r="Y465" t="s">
        <v>473</v>
      </c>
      <c r="Z465" t="s">
        <v>473</v>
      </c>
      <c r="AA465" t="s">
        <v>473</v>
      </c>
      <c r="AB465" t="s">
        <v>473</v>
      </c>
      <c r="AC465" s="10">
        <v>3</v>
      </c>
      <c r="AD465" s="10">
        <v>11</v>
      </c>
      <c r="AE465" t="s">
        <v>473</v>
      </c>
    </row>
    <row r="466" spans="1:31" x14ac:dyDescent="0.25">
      <c r="A466">
        <v>2815</v>
      </c>
      <c r="B466">
        <v>1975</v>
      </c>
      <c r="C466" t="s">
        <v>466</v>
      </c>
      <c r="D466" t="s">
        <v>34</v>
      </c>
      <c r="E466" t="str">
        <f>IF(OR(Table1[[#This Row],[marital_status]]="Married", Table1[[#This Row],[marital_status]]="Together"), "Partnered", "Single")</f>
        <v>Partnered</v>
      </c>
      <c r="F466" s="7">
        <v>33183</v>
      </c>
      <c r="G466" s="8">
        <v>1</v>
      </c>
      <c r="H466" s="8">
        <v>0</v>
      </c>
      <c r="I466" s="8">
        <f>Table1[[#This Row],[kids]]+Table1[[#This Row],[teens]]</f>
        <v>1</v>
      </c>
      <c r="J466" s="9">
        <v>41694</v>
      </c>
      <c r="K466" s="8">
        <v>46</v>
      </c>
      <c r="L466" s="6">
        <v>7</v>
      </c>
      <c r="M466" s="5">
        <v>5</v>
      </c>
      <c r="N466" s="5">
        <v>39</v>
      </c>
      <c r="O466" s="5">
        <v>17</v>
      </c>
      <c r="P466" s="5">
        <v>15</v>
      </c>
      <c r="Q466" s="5">
        <v>37</v>
      </c>
      <c r="R466" s="8">
        <v>2</v>
      </c>
      <c r="S466" s="8">
        <v>4</v>
      </c>
      <c r="T466" s="8">
        <v>0</v>
      </c>
      <c r="U466" s="8">
        <v>3</v>
      </c>
      <c r="V466" s="8">
        <v>7</v>
      </c>
      <c r="W466" t="s">
        <v>473</v>
      </c>
      <c r="X466" t="s">
        <v>473</v>
      </c>
      <c r="Y466" t="s">
        <v>473</v>
      </c>
      <c r="Z466" t="s">
        <v>473</v>
      </c>
      <c r="AA466" t="s">
        <v>473</v>
      </c>
      <c r="AB466" t="s">
        <v>473</v>
      </c>
      <c r="AC466" s="10">
        <v>3</v>
      </c>
      <c r="AD466" s="10">
        <v>11</v>
      </c>
      <c r="AE466" t="s">
        <v>473</v>
      </c>
    </row>
    <row r="467" spans="1:31" x14ac:dyDescent="0.25">
      <c r="A467">
        <v>2416</v>
      </c>
      <c r="B467">
        <v>1969</v>
      </c>
      <c r="C467" t="s">
        <v>33</v>
      </c>
      <c r="D467" t="s">
        <v>30</v>
      </c>
      <c r="E467" t="str">
        <f>IF(OR(Table1[[#This Row],[marital_status]]="Married", Table1[[#This Row],[marital_status]]="Together"), "Partnered", "Single")</f>
        <v>Single</v>
      </c>
      <c r="F467" s="7">
        <v>66582</v>
      </c>
      <c r="G467" s="8">
        <v>0</v>
      </c>
      <c r="H467" s="8">
        <v>0</v>
      </c>
      <c r="I467" s="8">
        <f>Table1[[#This Row],[kids]]+Table1[[#This Row],[teens]]</f>
        <v>0</v>
      </c>
      <c r="J467" s="9">
        <v>41701</v>
      </c>
      <c r="K467" s="8">
        <v>83</v>
      </c>
      <c r="L467" s="6">
        <v>789</v>
      </c>
      <c r="M467" s="5">
        <v>25</v>
      </c>
      <c r="N467" s="5">
        <v>420</v>
      </c>
      <c r="O467" s="5">
        <v>16</v>
      </c>
      <c r="P467" s="5">
        <v>38</v>
      </c>
      <c r="Q467" s="5">
        <v>0</v>
      </c>
      <c r="R467" s="8">
        <v>1</v>
      </c>
      <c r="S467" s="8">
        <v>2</v>
      </c>
      <c r="T467" s="8">
        <v>8</v>
      </c>
      <c r="U467" s="8">
        <v>9</v>
      </c>
      <c r="V467" s="8">
        <v>1</v>
      </c>
      <c r="W467" t="s">
        <v>473</v>
      </c>
      <c r="X467" t="s">
        <v>473</v>
      </c>
      <c r="Y467" t="s">
        <v>473</v>
      </c>
      <c r="Z467" t="s">
        <v>473</v>
      </c>
      <c r="AA467" t="s">
        <v>473</v>
      </c>
      <c r="AB467" t="s">
        <v>473</v>
      </c>
      <c r="AC467" s="10">
        <v>3</v>
      </c>
      <c r="AD467" s="10">
        <v>11</v>
      </c>
      <c r="AE467" t="s">
        <v>473</v>
      </c>
    </row>
    <row r="468" spans="1:31" x14ac:dyDescent="0.25">
      <c r="A468">
        <v>7999</v>
      </c>
      <c r="B468">
        <v>1955</v>
      </c>
      <c r="C468" t="s">
        <v>33</v>
      </c>
      <c r="D468" t="s">
        <v>31</v>
      </c>
      <c r="E468" t="str">
        <f>IF(OR(Table1[[#This Row],[marital_status]]="Married", Table1[[#This Row],[marital_status]]="Together"), "Partnered", "Single")</f>
        <v>Partnered</v>
      </c>
      <c r="F468" s="7">
        <v>75261</v>
      </c>
      <c r="G468" s="8">
        <v>0</v>
      </c>
      <c r="H468" s="8">
        <v>0</v>
      </c>
      <c r="I468" s="8">
        <f>Table1[[#This Row],[kids]]+Table1[[#This Row],[teens]]</f>
        <v>0</v>
      </c>
      <c r="J468" s="9">
        <v>41387</v>
      </c>
      <c r="K468" s="8">
        <v>17</v>
      </c>
      <c r="L468" s="6">
        <v>1239</v>
      </c>
      <c r="M468" s="5">
        <v>17</v>
      </c>
      <c r="N468" s="5">
        <v>413</v>
      </c>
      <c r="O468" s="5">
        <v>23</v>
      </c>
      <c r="P468" s="5">
        <v>34</v>
      </c>
      <c r="Q468" s="5">
        <v>17</v>
      </c>
      <c r="R468" s="8">
        <v>1</v>
      </c>
      <c r="S468" s="8">
        <v>5</v>
      </c>
      <c r="T468" s="8">
        <v>6</v>
      </c>
      <c r="U468" s="8">
        <v>5</v>
      </c>
      <c r="V468" s="8">
        <v>2</v>
      </c>
      <c r="W468" t="s">
        <v>473</v>
      </c>
      <c r="X468" t="s">
        <v>474</v>
      </c>
      <c r="Y468" t="s">
        <v>474</v>
      </c>
      <c r="Z468" t="s">
        <v>473</v>
      </c>
      <c r="AA468" t="s">
        <v>473</v>
      </c>
      <c r="AB468" t="s">
        <v>473</v>
      </c>
      <c r="AC468" s="10">
        <v>3</v>
      </c>
      <c r="AD468" s="10">
        <v>11</v>
      </c>
      <c r="AE468" t="s">
        <v>474</v>
      </c>
    </row>
    <row r="469" spans="1:31" x14ac:dyDescent="0.25">
      <c r="A469">
        <v>9213</v>
      </c>
      <c r="B469">
        <v>1970</v>
      </c>
      <c r="C469" t="s">
        <v>466</v>
      </c>
      <c r="D469" t="s">
        <v>57</v>
      </c>
      <c r="E469" t="str">
        <f>IF(OR(Table1[[#This Row],[marital_status]]="Married", Table1[[#This Row],[marital_status]]="Together"), "Partnered", "Single")</f>
        <v>Single</v>
      </c>
      <c r="F469" s="7">
        <v>31880</v>
      </c>
      <c r="G469" s="8">
        <v>1</v>
      </c>
      <c r="H469" s="8">
        <v>0</v>
      </c>
      <c r="I469" s="8">
        <f>Table1[[#This Row],[kids]]+Table1[[#This Row],[teens]]</f>
        <v>1</v>
      </c>
      <c r="J469" s="9">
        <v>41213</v>
      </c>
      <c r="K469" s="8">
        <v>13</v>
      </c>
      <c r="L469" s="6">
        <v>4</v>
      </c>
      <c r="M469" s="5">
        <v>1</v>
      </c>
      <c r="N469" s="5">
        <v>5</v>
      </c>
      <c r="O469" s="5">
        <v>2</v>
      </c>
      <c r="P469" s="5">
        <v>0</v>
      </c>
      <c r="Q469" s="5">
        <v>3</v>
      </c>
      <c r="R469" s="8">
        <v>1</v>
      </c>
      <c r="S469" s="8">
        <v>1</v>
      </c>
      <c r="T469" s="8">
        <v>0</v>
      </c>
      <c r="U469" s="8">
        <v>2</v>
      </c>
      <c r="V469" s="8">
        <v>8</v>
      </c>
      <c r="W469" t="s">
        <v>473</v>
      </c>
      <c r="X469" t="s">
        <v>473</v>
      </c>
      <c r="Y469" t="s">
        <v>473</v>
      </c>
      <c r="Z469" t="s">
        <v>473</v>
      </c>
      <c r="AA469" t="s">
        <v>473</v>
      </c>
      <c r="AB469" t="s">
        <v>473</v>
      </c>
      <c r="AC469" s="10">
        <v>3</v>
      </c>
      <c r="AD469" s="10">
        <v>11</v>
      </c>
      <c r="AE469" t="s">
        <v>473</v>
      </c>
    </row>
    <row r="470" spans="1:31" x14ac:dyDescent="0.25">
      <c r="A470">
        <v>9697</v>
      </c>
      <c r="B470">
        <v>1951</v>
      </c>
      <c r="C470" t="s">
        <v>466</v>
      </c>
      <c r="D470" t="s">
        <v>34</v>
      </c>
      <c r="E470" t="str">
        <f>IF(OR(Table1[[#This Row],[marital_status]]="Married", Table1[[#This Row],[marital_status]]="Together"), "Partnered", "Single")</f>
        <v>Partnered</v>
      </c>
      <c r="F470" s="7">
        <v>53790</v>
      </c>
      <c r="G470" s="8">
        <v>0</v>
      </c>
      <c r="H470" s="8">
        <v>2</v>
      </c>
      <c r="I470" s="8">
        <f>Table1[[#This Row],[kids]]+Table1[[#This Row],[teens]]</f>
        <v>2</v>
      </c>
      <c r="J470" s="9">
        <v>41704</v>
      </c>
      <c r="K470" s="8">
        <v>86</v>
      </c>
      <c r="L470" s="6">
        <v>335</v>
      </c>
      <c r="M470" s="5">
        <v>42</v>
      </c>
      <c r="N470" s="5">
        <v>127</v>
      </c>
      <c r="O470" s="5">
        <v>28</v>
      </c>
      <c r="P470" s="5">
        <v>5</v>
      </c>
      <c r="Q470" s="5">
        <v>5</v>
      </c>
      <c r="R470" s="8">
        <v>3</v>
      </c>
      <c r="S470" s="8">
        <v>7</v>
      </c>
      <c r="T470" s="8">
        <v>2</v>
      </c>
      <c r="U470" s="8">
        <v>8</v>
      </c>
      <c r="V470" s="8">
        <v>6</v>
      </c>
      <c r="W470" t="s">
        <v>473</v>
      </c>
      <c r="X470" t="s">
        <v>473</v>
      </c>
      <c r="Y470" t="s">
        <v>473</v>
      </c>
      <c r="Z470" t="s">
        <v>473</v>
      </c>
      <c r="AA470" t="s">
        <v>473</v>
      </c>
      <c r="AB470" t="s">
        <v>473</v>
      </c>
      <c r="AC470" s="10">
        <v>3</v>
      </c>
      <c r="AD470" s="10">
        <v>11</v>
      </c>
      <c r="AE470" t="s">
        <v>473</v>
      </c>
    </row>
    <row r="471" spans="1:31" x14ac:dyDescent="0.25">
      <c r="A471">
        <v>3916</v>
      </c>
      <c r="B471">
        <v>1971</v>
      </c>
      <c r="C471" t="s">
        <v>33</v>
      </c>
      <c r="D471" t="s">
        <v>31</v>
      </c>
      <c r="E471" t="str">
        <f>IF(OR(Table1[[#This Row],[marital_status]]="Married", Table1[[#This Row],[marital_status]]="Together"), "Partnered", "Single")</f>
        <v>Partnered</v>
      </c>
      <c r="F471" s="7">
        <v>49269</v>
      </c>
      <c r="G471" s="8">
        <v>1</v>
      </c>
      <c r="H471" s="8">
        <v>0</v>
      </c>
      <c r="I471" s="8">
        <f>Table1[[#This Row],[kids]]+Table1[[#This Row],[teens]]</f>
        <v>1</v>
      </c>
      <c r="J471" s="9">
        <v>41136</v>
      </c>
      <c r="K471" s="8">
        <v>92</v>
      </c>
      <c r="L471" s="6">
        <v>639</v>
      </c>
      <c r="M471" s="5">
        <v>8</v>
      </c>
      <c r="N471" s="5">
        <v>166</v>
      </c>
      <c r="O471" s="5">
        <v>11</v>
      </c>
      <c r="P471" s="5">
        <v>8</v>
      </c>
      <c r="Q471" s="5">
        <v>58</v>
      </c>
      <c r="R471" s="8">
        <v>3</v>
      </c>
      <c r="S471" s="8">
        <v>7</v>
      </c>
      <c r="T471" s="8">
        <v>3</v>
      </c>
      <c r="U471" s="8">
        <v>12</v>
      </c>
      <c r="V471" s="8">
        <v>7</v>
      </c>
      <c r="W471" t="s">
        <v>473</v>
      </c>
      <c r="X471" t="s">
        <v>473</v>
      </c>
      <c r="Y471" t="s">
        <v>473</v>
      </c>
      <c r="Z471" t="s">
        <v>473</v>
      </c>
      <c r="AA471" t="s">
        <v>473</v>
      </c>
      <c r="AB471" t="s">
        <v>473</v>
      </c>
      <c r="AC471" s="10">
        <v>3</v>
      </c>
      <c r="AD471" s="10">
        <v>11</v>
      </c>
      <c r="AE471" t="s">
        <v>473</v>
      </c>
    </row>
    <row r="472" spans="1:31" x14ac:dyDescent="0.25">
      <c r="A472">
        <v>2021</v>
      </c>
      <c r="B472">
        <v>1975</v>
      </c>
      <c r="C472" t="s">
        <v>466</v>
      </c>
      <c r="D472" t="s">
        <v>34</v>
      </c>
      <c r="E472" t="str">
        <f>IF(OR(Table1[[#This Row],[marital_status]]="Married", Table1[[#This Row],[marital_status]]="Together"), "Partnered", "Single")</f>
        <v>Partnered</v>
      </c>
      <c r="F472" s="7">
        <v>61456</v>
      </c>
      <c r="G472" s="8">
        <v>0</v>
      </c>
      <c r="H472" s="8">
        <v>1</v>
      </c>
      <c r="I472" s="8">
        <f>Table1[[#This Row],[kids]]+Table1[[#This Row],[teens]]</f>
        <v>1</v>
      </c>
      <c r="J472" s="9">
        <v>41360</v>
      </c>
      <c r="K472" s="8">
        <v>47</v>
      </c>
      <c r="L472" s="6">
        <v>563</v>
      </c>
      <c r="M472" s="5">
        <v>76</v>
      </c>
      <c r="N472" s="5">
        <v>384</v>
      </c>
      <c r="O472" s="5">
        <v>84</v>
      </c>
      <c r="P472" s="5">
        <v>192</v>
      </c>
      <c r="Q472" s="5">
        <v>89</v>
      </c>
      <c r="R472" s="8">
        <v>4</v>
      </c>
      <c r="S472" s="8">
        <v>6</v>
      </c>
      <c r="T472" s="8">
        <v>10</v>
      </c>
      <c r="U472" s="8">
        <v>13</v>
      </c>
      <c r="V472" s="8">
        <v>4</v>
      </c>
      <c r="W472" t="s">
        <v>473</v>
      </c>
      <c r="X472" t="s">
        <v>473</v>
      </c>
      <c r="Y472" t="s">
        <v>473</v>
      </c>
      <c r="Z472" t="s">
        <v>473</v>
      </c>
      <c r="AA472" t="s">
        <v>473</v>
      </c>
      <c r="AB472" t="s">
        <v>473</v>
      </c>
      <c r="AC472" s="10">
        <v>3</v>
      </c>
      <c r="AD472" s="10">
        <v>11</v>
      </c>
      <c r="AE472" t="s">
        <v>473</v>
      </c>
    </row>
    <row r="473" spans="1:31" x14ac:dyDescent="0.25">
      <c r="A473">
        <v>1581</v>
      </c>
      <c r="B473">
        <v>1980</v>
      </c>
      <c r="C473" t="s">
        <v>466</v>
      </c>
      <c r="D473" t="s">
        <v>34</v>
      </c>
      <c r="E473" t="str">
        <f>IF(OR(Table1[[#This Row],[marital_status]]="Married", Table1[[#This Row],[marital_status]]="Together"), "Partnered", "Single")</f>
        <v>Partnered</v>
      </c>
      <c r="F473" s="7">
        <v>37406</v>
      </c>
      <c r="G473" s="8">
        <v>1</v>
      </c>
      <c r="H473" s="8">
        <v>0</v>
      </c>
      <c r="I473" s="8">
        <f>Table1[[#This Row],[kids]]+Table1[[#This Row],[teens]]</f>
        <v>1</v>
      </c>
      <c r="J473" s="9">
        <v>41557</v>
      </c>
      <c r="K473" s="8">
        <v>18</v>
      </c>
      <c r="L473" s="6">
        <v>2</v>
      </c>
      <c r="M473" s="5">
        <v>0</v>
      </c>
      <c r="N473" s="5">
        <v>8</v>
      </c>
      <c r="O473" s="5">
        <v>2</v>
      </c>
      <c r="P473" s="5">
        <v>2</v>
      </c>
      <c r="Q473" s="5">
        <v>3</v>
      </c>
      <c r="R473" s="8">
        <v>1</v>
      </c>
      <c r="S473" s="8">
        <v>1</v>
      </c>
      <c r="T473" s="8">
        <v>0</v>
      </c>
      <c r="U473" s="8">
        <v>2</v>
      </c>
      <c r="V473" s="8">
        <v>8</v>
      </c>
      <c r="W473" t="s">
        <v>473</v>
      </c>
      <c r="X473" t="s">
        <v>473</v>
      </c>
      <c r="Y473" t="s">
        <v>473</v>
      </c>
      <c r="Z473" t="s">
        <v>473</v>
      </c>
      <c r="AA473" t="s">
        <v>473</v>
      </c>
      <c r="AB473" t="s">
        <v>473</v>
      </c>
      <c r="AC473" s="10">
        <v>3</v>
      </c>
      <c r="AD473" s="10">
        <v>11</v>
      </c>
      <c r="AE473" t="s">
        <v>474</v>
      </c>
    </row>
    <row r="474" spans="1:31" x14ac:dyDescent="0.25">
      <c r="A474">
        <v>564</v>
      </c>
      <c r="B474">
        <v>1981</v>
      </c>
      <c r="C474" t="s">
        <v>33</v>
      </c>
      <c r="D474" t="s">
        <v>31</v>
      </c>
      <c r="E474" t="str">
        <f>IF(OR(Table1[[#This Row],[marital_status]]="Married", Table1[[#This Row],[marital_status]]="Together"), "Partnered", "Single")</f>
        <v>Partnered</v>
      </c>
      <c r="F474" s="7">
        <v>56937</v>
      </c>
      <c r="G474" s="8">
        <v>1</v>
      </c>
      <c r="H474" s="8">
        <v>0</v>
      </c>
      <c r="I474" s="8">
        <f>Table1[[#This Row],[kids]]+Table1[[#This Row],[teens]]</f>
        <v>1</v>
      </c>
      <c r="J474" s="9">
        <v>41125</v>
      </c>
      <c r="K474" s="8">
        <v>81</v>
      </c>
      <c r="L474" s="6">
        <v>746</v>
      </c>
      <c r="M474" s="5">
        <v>8</v>
      </c>
      <c r="N474" s="5">
        <v>125</v>
      </c>
      <c r="O474" s="5">
        <v>11</v>
      </c>
      <c r="P474" s="5">
        <v>8</v>
      </c>
      <c r="Q474" s="5">
        <v>8</v>
      </c>
      <c r="R474" s="8">
        <v>7</v>
      </c>
      <c r="S474" s="8">
        <v>8</v>
      </c>
      <c r="T474" s="8">
        <v>6</v>
      </c>
      <c r="U474" s="8">
        <v>9</v>
      </c>
      <c r="V474" s="8">
        <v>6</v>
      </c>
      <c r="W474" t="s">
        <v>473</v>
      </c>
      <c r="X474" t="s">
        <v>474</v>
      </c>
      <c r="Y474" t="s">
        <v>473</v>
      </c>
      <c r="Z474" t="s">
        <v>473</v>
      </c>
      <c r="AA474" t="s">
        <v>473</v>
      </c>
      <c r="AB474" t="s">
        <v>473</v>
      </c>
      <c r="AC474" s="10">
        <v>3</v>
      </c>
      <c r="AD474" s="10">
        <v>11</v>
      </c>
      <c r="AE474" t="s">
        <v>474</v>
      </c>
    </row>
    <row r="475" spans="1:31" x14ac:dyDescent="0.25">
      <c r="A475">
        <v>6619</v>
      </c>
      <c r="B475">
        <v>1978</v>
      </c>
      <c r="C475" t="s">
        <v>466</v>
      </c>
      <c r="D475" t="s">
        <v>34</v>
      </c>
      <c r="E475" t="str">
        <f>IF(OR(Table1[[#This Row],[marital_status]]="Married", Table1[[#This Row],[marital_status]]="Together"), "Partnered", "Single")</f>
        <v>Partnered</v>
      </c>
      <c r="F475" s="7">
        <v>38415</v>
      </c>
      <c r="G475" s="8">
        <v>1</v>
      </c>
      <c r="H475" s="8">
        <v>1</v>
      </c>
      <c r="I475" s="8">
        <f>Table1[[#This Row],[kids]]+Table1[[#This Row],[teens]]</f>
        <v>2</v>
      </c>
      <c r="J475" s="9">
        <v>41276</v>
      </c>
      <c r="K475" s="8">
        <v>91</v>
      </c>
      <c r="L475" s="6">
        <v>22</v>
      </c>
      <c r="M475" s="5">
        <v>1</v>
      </c>
      <c r="N475" s="5">
        <v>13</v>
      </c>
      <c r="O475" s="5">
        <v>4</v>
      </c>
      <c r="P475" s="5">
        <v>0</v>
      </c>
      <c r="Q475" s="5">
        <v>4</v>
      </c>
      <c r="R475" s="8">
        <v>2</v>
      </c>
      <c r="S475" s="8">
        <v>1</v>
      </c>
      <c r="T475" s="8">
        <v>0</v>
      </c>
      <c r="U475" s="8">
        <v>3</v>
      </c>
      <c r="V475" s="8">
        <v>7</v>
      </c>
      <c r="W475" t="s">
        <v>473</v>
      </c>
      <c r="X475" t="s">
        <v>473</v>
      </c>
      <c r="Y475" t="s">
        <v>473</v>
      </c>
      <c r="Z475" t="s">
        <v>473</v>
      </c>
      <c r="AA475" t="s">
        <v>473</v>
      </c>
      <c r="AB475" t="s">
        <v>473</v>
      </c>
      <c r="AC475" s="10">
        <v>3</v>
      </c>
      <c r="AD475" s="10">
        <v>11</v>
      </c>
      <c r="AE475" t="s">
        <v>473</v>
      </c>
    </row>
    <row r="476" spans="1:31" x14ac:dyDescent="0.25">
      <c r="A476">
        <v>9081</v>
      </c>
      <c r="B476">
        <v>1988</v>
      </c>
      <c r="C476" t="s">
        <v>466</v>
      </c>
      <c r="D476" t="s">
        <v>30</v>
      </c>
      <c r="E476" t="str">
        <f>IF(OR(Table1[[#This Row],[marital_status]]="Married", Table1[[#This Row],[marital_status]]="Together"), "Partnered", "Single")</f>
        <v>Single</v>
      </c>
      <c r="F476" s="7">
        <v>20518</v>
      </c>
      <c r="G476" s="8">
        <v>1</v>
      </c>
      <c r="H476" s="8">
        <v>0</v>
      </c>
      <c r="I476" s="8">
        <f>Table1[[#This Row],[kids]]+Table1[[#This Row],[teens]]</f>
        <v>1</v>
      </c>
      <c r="J476" s="9">
        <v>41777</v>
      </c>
      <c r="K476" s="8">
        <v>58</v>
      </c>
      <c r="L476" s="6">
        <v>4</v>
      </c>
      <c r="M476" s="5">
        <v>1</v>
      </c>
      <c r="N476" s="5">
        <v>6</v>
      </c>
      <c r="O476" s="5">
        <v>4</v>
      </c>
      <c r="P476" s="5">
        <v>1</v>
      </c>
      <c r="Q476" s="5">
        <v>9</v>
      </c>
      <c r="R476" s="8">
        <v>1</v>
      </c>
      <c r="S476" s="8">
        <v>1</v>
      </c>
      <c r="T476" s="8">
        <v>1</v>
      </c>
      <c r="U476" s="8">
        <v>2</v>
      </c>
      <c r="V476" s="8">
        <v>5</v>
      </c>
      <c r="W476" t="s">
        <v>473</v>
      </c>
      <c r="X476" t="s">
        <v>473</v>
      </c>
      <c r="Y476" t="s">
        <v>473</v>
      </c>
      <c r="Z476" t="s">
        <v>473</v>
      </c>
      <c r="AA476" t="s">
        <v>473</v>
      </c>
      <c r="AB476" t="s">
        <v>473</v>
      </c>
      <c r="AC476" s="10">
        <v>3</v>
      </c>
      <c r="AD476" s="10">
        <v>11</v>
      </c>
      <c r="AE476" t="s">
        <v>473</v>
      </c>
    </row>
    <row r="477" spans="1:31" x14ac:dyDescent="0.25">
      <c r="A477">
        <v>178</v>
      </c>
      <c r="B477">
        <v>1956</v>
      </c>
      <c r="C477" t="s">
        <v>466</v>
      </c>
      <c r="D477" t="s">
        <v>34</v>
      </c>
      <c r="E477" t="str">
        <f>IF(OR(Table1[[#This Row],[marital_status]]="Married", Table1[[#This Row],[marital_status]]="Together"), "Partnered", "Single")</f>
        <v>Partnered</v>
      </c>
      <c r="F477" s="7">
        <v>62503</v>
      </c>
      <c r="G477" s="8">
        <v>0</v>
      </c>
      <c r="H477" s="8">
        <v>1</v>
      </c>
      <c r="I477" s="8">
        <f>Table1[[#This Row],[kids]]+Table1[[#This Row],[teens]]</f>
        <v>1</v>
      </c>
      <c r="J477" s="9">
        <v>41323</v>
      </c>
      <c r="K477" s="8">
        <v>40</v>
      </c>
      <c r="L477" s="6">
        <v>478</v>
      </c>
      <c r="M477" s="5">
        <v>0</v>
      </c>
      <c r="N477" s="5">
        <v>193</v>
      </c>
      <c r="O477" s="5">
        <v>110</v>
      </c>
      <c r="P477" s="5">
        <v>75</v>
      </c>
      <c r="Q477" s="5">
        <v>117</v>
      </c>
      <c r="R477" s="8">
        <v>4</v>
      </c>
      <c r="S477" s="8">
        <v>8</v>
      </c>
      <c r="T477" s="8">
        <v>3</v>
      </c>
      <c r="U477" s="8">
        <v>11</v>
      </c>
      <c r="V477" s="8">
        <v>5</v>
      </c>
      <c r="W477" t="s">
        <v>473</v>
      </c>
      <c r="X477" t="s">
        <v>473</v>
      </c>
      <c r="Y477" t="s">
        <v>473</v>
      </c>
      <c r="Z477" t="s">
        <v>473</v>
      </c>
      <c r="AA477" t="s">
        <v>473</v>
      </c>
      <c r="AB477" t="s">
        <v>473</v>
      </c>
      <c r="AC477" s="10">
        <v>3</v>
      </c>
      <c r="AD477" s="10">
        <v>11</v>
      </c>
      <c r="AE477" t="s">
        <v>473</v>
      </c>
    </row>
    <row r="478" spans="1:31" x14ac:dyDescent="0.25">
      <c r="A478">
        <v>916</v>
      </c>
      <c r="B478">
        <v>1972</v>
      </c>
      <c r="C478" t="s">
        <v>33</v>
      </c>
      <c r="D478" t="s">
        <v>30</v>
      </c>
      <c r="E478" t="str">
        <f>IF(OR(Table1[[#This Row],[marital_status]]="Married", Table1[[#This Row],[marital_status]]="Together"), "Partnered", "Single")</f>
        <v>Single</v>
      </c>
      <c r="F478" s="7">
        <v>41644</v>
      </c>
      <c r="G478" s="8">
        <v>1</v>
      </c>
      <c r="H478" s="8">
        <v>1</v>
      </c>
      <c r="I478" s="8">
        <f>Table1[[#This Row],[kids]]+Table1[[#This Row],[teens]]</f>
        <v>2</v>
      </c>
      <c r="J478" s="9">
        <v>41768</v>
      </c>
      <c r="K478" s="8">
        <v>67</v>
      </c>
      <c r="L478" s="6">
        <v>20</v>
      </c>
      <c r="M478" s="5">
        <v>3</v>
      </c>
      <c r="N478" s="5">
        <v>4</v>
      </c>
      <c r="O478" s="5">
        <v>2</v>
      </c>
      <c r="P478" s="5">
        <v>0</v>
      </c>
      <c r="Q478" s="5">
        <v>2</v>
      </c>
      <c r="R478" s="8">
        <v>2</v>
      </c>
      <c r="S478" s="8">
        <v>1</v>
      </c>
      <c r="T478" s="8">
        <v>0</v>
      </c>
      <c r="U478" s="8">
        <v>3</v>
      </c>
      <c r="V478" s="8">
        <v>3</v>
      </c>
      <c r="W478" t="s">
        <v>473</v>
      </c>
      <c r="X478" t="s">
        <v>473</v>
      </c>
      <c r="Y478" t="s">
        <v>473</v>
      </c>
      <c r="Z478" t="s">
        <v>473</v>
      </c>
      <c r="AA478" t="s">
        <v>473</v>
      </c>
      <c r="AB478" t="s">
        <v>473</v>
      </c>
      <c r="AC478" s="10">
        <v>3</v>
      </c>
      <c r="AD478" s="10">
        <v>11</v>
      </c>
      <c r="AE478" t="s">
        <v>473</v>
      </c>
    </row>
    <row r="479" spans="1:31" x14ac:dyDescent="0.25">
      <c r="A479">
        <v>5512</v>
      </c>
      <c r="B479">
        <v>1977</v>
      </c>
      <c r="C479" t="s">
        <v>36</v>
      </c>
      <c r="D479" t="s">
        <v>34</v>
      </c>
      <c r="E479" t="str">
        <f>IF(OR(Table1[[#This Row],[marital_status]]="Married", Table1[[#This Row],[marital_status]]="Together"), "Partnered", "Single")</f>
        <v>Partnered</v>
      </c>
      <c r="F479" s="7">
        <v>55842</v>
      </c>
      <c r="G479" s="8">
        <v>0</v>
      </c>
      <c r="H479" s="8">
        <v>1</v>
      </c>
      <c r="I479" s="8">
        <f>Table1[[#This Row],[kids]]+Table1[[#This Row],[teens]]</f>
        <v>1</v>
      </c>
      <c r="J479" s="9">
        <v>41782</v>
      </c>
      <c r="K479" s="8">
        <v>19</v>
      </c>
      <c r="L479" s="6">
        <v>451</v>
      </c>
      <c r="M479" s="5">
        <v>0</v>
      </c>
      <c r="N479" s="5">
        <v>39</v>
      </c>
      <c r="O479" s="5">
        <v>0</v>
      </c>
      <c r="P479" s="5">
        <v>4</v>
      </c>
      <c r="Q479" s="5">
        <v>24</v>
      </c>
      <c r="R479" s="8">
        <v>1</v>
      </c>
      <c r="S479" s="8">
        <v>7</v>
      </c>
      <c r="T479" s="8">
        <v>1</v>
      </c>
      <c r="U479" s="8">
        <v>8</v>
      </c>
      <c r="V479" s="8">
        <v>5</v>
      </c>
      <c r="W479" t="s">
        <v>473</v>
      </c>
      <c r="X479" t="s">
        <v>473</v>
      </c>
      <c r="Y479" t="s">
        <v>473</v>
      </c>
      <c r="Z479" t="s">
        <v>473</v>
      </c>
      <c r="AA479" t="s">
        <v>473</v>
      </c>
      <c r="AB479" t="s">
        <v>473</v>
      </c>
      <c r="AC479" s="10">
        <v>3</v>
      </c>
      <c r="AD479" s="10">
        <v>11</v>
      </c>
      <c r="AE479" t="s">
        <v>473</v>
      </c>
    </row>
    <row r="480" spans="1:31" x14ac:dyDescent="0.25">
      <c r="A480">
        <v>8970</v>
      </c>
      <c r="B480">
        <v>1972</v>
      </c>
      <c r="C480" t="s">
        <v>33</v>
      </c>
      <c r="D480" t="s">
        <v>34</v>
      </c>
      <c r="E480" t="str">
        <f>IF(OR(Table1[[#This Row],[marital_status]]="Married", Table1[[#This Row],[marital_status]]="Together"), "Partnered", "Single")</f>
        <v>Partnered</v>
      </c>
      <c r="F480" s="7">
        <v>62010</v>
      </c>
      <c r="G480" s="8">
        <v>0</v>
      </c>
      <c r="H480" s="8">
        <v>1</v>
      </c>
      <c r="I480" s="8">
        <f>Table1[[#This Row],[kids]]+Table1[[#This Row],[teens]]</f>
        <v>1</v>
      </c>
      <c r="J480" s="9">
        <v>41205</v>
      </c>
      <c r="K480" s="8">
        <v>93</v>
      </c>
      <c r="L480" s="6">
        <v>371</v>
      </c>
      <c r="M480" s="5">
        <v>22</v>
      </c>
      <c r="N480" s="5">
        <v>39</v>
      </c>
      <c r="O480" s="5">
        <v>6</v>
      </c>
      <c r="P480" s="5">
        <v>0</v>
      </c>
      <c r="Q480" s="5">
        <v>92</v>
      </c>
      <c r="R480" s="8">
        <v>4</v>
      </c>
      <c r="S480" s="8">
        <v>6</v>
      </c>
      <c r="T480" s="8">
        <v>2</v>
      </c>
      <c r="U480" s="8">
        <v>7</v>
      </c>
      <c r="V480" s="8">
        <v>5</v>
      </c>
      <c r="W480" t="s">
        <v>473</v>
      </c>
      <c r="X480" t="s">
        <v>473</v>
      </c>
      <c r="Y480" t="s">
        <v>473</v>
      </c>
      <c r="Z480" t="s">
        <v>473</v>
      </c>
      <c r="AA480" t="s">
        <v>473</v>
      </c>
      <c r="AB480" t="s">
        <v>473</v>
      </c>
      <c r="AC480" s="10">
        <v>3</v>
      </c>
      <c r="AD480" s="10">
        <v>11</v>
      </c>
      <c r="AE480" t="s">
        <v>473</v>
      </c>
    </row>
    <row r="481" spans="1:31" x14ac:dyDescent="0.25">
      <c r="A481">
        <v>10581</v>
      </c>
      <c r="B481">
        <v>1977</v>
      </c>
      <c r="C481" t="s">
        <v>466</v>
      </c>
      <c r="D481" t="s">
        <v>34</v>
      </c>
      <c r="E481" t="str">
        <f>IF(OR(Table1[[#This Row],[marital_status]]="Married", Table1[[#This Row],[marital_status]]="Together"), "Partnered", "Single")</f>
        <v>Partnered</v>
      </c>
      <c r="F481" s="7">
        <v>41124</v>
      </c>
      <c r="G481" s="8">
        <v>1</v>
      </c>
      <c r="H481" s="8">
        <v>0</v>
      </c>
      <c r="I481" s="8">
        <f>Table1[[#This Row],[kids]]+Table1[[#This Row],[teens]]</f>
        <v>1</v>
      </c>
      <c r="J481" s="9">
        <v>41213</v>
      </c>
      <c r="K481" s="8">
        <v>41</v>
      </c>
      <c r="L481" s="6">
        <v>281</v>
      </c>
      <c r="M481" s="5">
        <v>7</v>
      </c>
      <c r="N481" s="5">
        <v>84</v>
      </c>
      <c r="O481" s="5">
        <v>15</v>
      </c>
      <c r="P481" s="5">
        <v>0</v>
      </c>
      <c r="Q481" s="5">
        <v>119</v>
      </c>
      <c r="R481" s="8">
        <v>7</v>
      </c>
      <c r="S481" s="8">
        <v>7</v>
      </c>
      <c r="T481" s="8">
        <v>3</v>
      </c>
      <c r="U481" s="8">
        <v>4</v>
      </c>
      <c r="V481" s="8">
        <v>8</v>
      </c>
      <c r="W481" t="s">
        <v>473</v>
      </c>
      <c r="X481" t="s">
        <v>473</v>
      </c>
      <c r="Y481" t="s">
        <v>473</v>
      </c>
      <c r="Z481" t="s">
        <v>473</v>
      </c>
      <c r="AA481" t="s">
        <v>473</v>
      </c>
      <c r="AB481" t="s">
        <v>473</v>
      </c>
      <c r="AC481" s="10">
        <v>3</v>
      </c>
      <c r="AD481" s="10">
        <v>11</v>
      </c>
      <c r="AE481" t="s">
        <v>473</v>
      </c>
    </row>
    <row r="482" spans="1:31" x14ac:dyDescent="0.25">
      <c r="A482">
        <v>5300</v>
      </c>
      <c r="B482">
        <v>1973</v>
      </c>
      <c r="C482" t="s">
        <v>36</v>
      </c>
      <c r="D482" t="s">
        <v>34</v>
      </c>
      <c r="E482" t="str">
        <f>IF(OR(Table1[[#This Row],[marital_status]]="Married", Table1[[#This Row],[marital_status]]="Together"), "Partnered", "Single")</f>
        <v>Partnered</v>
      </c>
      <c r="F482" s="7">
        <v>38961</v>
      </c>
      <c r="G482" s="8">
        <v>1</v>
      </c>
      <c r="H482" s="8">
        <v>0</v>
      </c>
      <c r="I482" s="8">
        <f>Table1[[#This Row],[kids]]+Table1[[#This Row],[teens]]</f>
        <v>1</v>
      </c>
      <c r="J482" s="9">
        <v>41638</v>
      </c>
      <c r="K482" s="8">
        <v>60</v>
      </c>
      <c r="L482" s="6">
        <v>19</v>
      </c>
      <c r="M482" s="5">
        <v>7</v>
      </c>
      <c r="N482" s="5">
        <v>19</v>
      </c>
      <c r="O482" s="5">
        <v>0</v>
      </c>
      <c r="P482" s="5">
        <v>1</v>
      </c>
      <c r="Q482" s="5">
        <v>24</v>
      </c>
      <c r="R482" s="8">
        <v>1</v>
      </c>
      <c r="S482" s="8">
        <v>2</v>
      </c>
      <c r="T482" s="8">
        <v>1</v>
      </c>
      <c r="U482" s="8">
        <v>2</v>
      </c>
      <c r="V482" s="8">
        <v>7</v>
      </c>
      <c r="W482" t="s">
        <v>473</v>
      </c>
      <c r="X482" t="s">
        <v>473</v>
      </c>
      <c r="Y482" t="s">
        <v>473</v>
      </c>
      <c r="Z482" t="s">
        <v>473</v>
      </c>
      <c r="AA482" t="s">
        <v>473</v>
      </c>
      <c r="AB482" t="s">
        <v>473</v>
      </c>
      <c r="AC482" s="10">
        <v>3</v>
      </c>
      <c r="AD482" s="10">
        <v>11</v>
      </c>
      <c r="AE482" t="s">
        <v>473</v>
      </c>
    </row>
    <row r="483" spans="1:31" x14ac:dyDescent="0.25">
      <c r="A483">
        <v>5154</v>
      </c>
      <c r="B483">
        <v>1972</v>
      </c>
      <c r="C483" t="s">
        <v>36</v>
      </c>
      <c r="D483" t="s">
        <v>37</v>
      </c>
      <c r="E483" t="str">
        <f>IF(OR(Table1[[#This Row],[marital_status]]="Married", Table1[[#This Row],[marital_status]]="Together"), "Partnered", "Single")</f>
        <v>Single</v>
      </c>
      <c r="F483" s="7">
        <v>37760</v>
      </c>
      <c r="G483" s="8">
        <v>1</v>
      </c>
      <c r="H483" s="8">
        <v>0</v>
      </c>
      <c r="I483" s="8">
        <f>Table1[[#This Row],[kids]]+Table1[[#This Row],[teens]]</f>
        <v>1</v>
      </c>
      <c r="J483" s="9">
        <v>41497</v>
      </c>
      <c r="K483" s="8">
        <v>54</v>
      </c>
      <c r="L483" s="6">
        <v>26</v>
      </c>
      <c r="M483" s="5">
        <v>3</v>
      </c>
      <c r="N483" s="5">
        <v>13</v>
      </c>
      <c r="O483" s="5">
        <v>2</v>
      </c>
      <c r="P483" s="5">
        <v>10</v>
      </c>
      <c r="Q483" s="5">
        <v>0</v>
      </c>
      <c r="R483" s="8">
        <v>1</v>
      </c>
      <c r="S483" s="8">
        <v>2</v>
      </c>
      <c r="T483" s="8">
        <v>0</v>
      </c>
      <c r="U483" s="8">
        <v>3</v>
      </c>
      <c r="V483" s="8">
        <v>6</v>
      </c>
      <c r="W483" t="s">
        <v>473</v>
      </c>
      <c r="X483" t="s">
        <v>473</v>
      </c>
      <c r="Y483" t="s">
        <v>473</v>
      </c>
      <c r="Z483" t="s">
        <v>473</v>
      </c>
      <c r="AA483" t="s">
        <v>473</v>
      </c>
      <c r="AB483" t="s">
        <v>473</v>
      </c>
      <c r="AC483" s="10">
        <v>3</v>
      </c>
      <c r="AD483" s="10">
        <v>11</v>
      </c>
      <c r="AE483" t="s">
        <v>473</v>
      </c>
    </row>
    <row r="484" spans="1:31" x14ac:dyDescent="0.25">
      <c r="A484">
        <v>8346</v>
      </c>
      <c r="B484">
        <v>1974</v>
      </c>
      <c r="C484" t="s">
        <v>466</v>
      </c>
      <c r="D484" t="s">
        <v>30</v>
      </c>
      <c r="E484" t="str">
        <f>IF(OR(Table1[[#This Row],[marital_status]]="Married", Table1[[#This Row],[marital_status]]="Together"), "Partnered", "Single")</f>
        <v>Single</v>
      </c>
      <c r="F484" s="7">
        <v>32233</v>
      </c>
      <c r="G484" s="8">
        <v>1</v>
      </c>
      <c r="H484" s="8">
        <v>0</v>
      </c>
      <c r="I484" s="8">
        <f>Table1[[#This Row],[kids]]+Table1[[#This Row],[teens]]</f>
        <v>1</v>
      </c>
      <c r="J484" s="9">
        <v>41140</v>
      </c>
      <c r="K484" s="8">
        <v>26</v>
      </c>
      <c r="L484" s="6">
        <v>138</v>
      </c>
      <c r="M484" s="5">
        <v>15</v>
      </c>
      <c r="N484" s="5">
        <v>35</v>
      </c>
      <c r="O484" s="5">
        <v>25</v>
      </c>
      <c r="P484" s="5">
        <v>11</v>
      </c>
      <c r="Q484" s="5">
        <v>72</v>
      </c>
      <c r="R484" s="8">
        <v>2</v>
      </c>
      <c r="S484" s="8">
        <v>6</v>
      </c>
      <c r="T484" s="8">
        <v>2</v>
      </c>
      <c r="U484" s="8">
        <v>2</v>
      </c>
      <c r="V484" s="8">
        <v>9</v>
      </c>
      <c r="W484" t="s">
        <v>474</v>
      </c>
      <c r="X484" t="s">
        <v>473</v>
      </c>
      <c r="Y484" t="s">
        <v>473</v>
      </c>
      <c r="Z484" t="s">
        <v>473</v>
      </c>
      <c r="AA484" t="s">
        <v>473</v>
      </c>
      <c r="AB484" t="s">
        <v>473</v>
      </c>
      <c r="AC484" s="10">
        <v>3</v>
      </c>
      <c r="AD484" s="10">
        <v>11</v>
      </c>
      <c r="AE484" t="s">
        <v>474</v>
      </c>
    </row>
    <row r="485" spans="1:31" x14ac:dyDescent="0.25">
      <c r="A485">
        <v>1676</v>
      </c>
      <c r="B485">
        <v>1975</v>
      </c>
      <c r="C485" t="s">
        <v>466</v>
      </c>
      <c r="D485" t="s">
        <v>34</v>
      </c>
      <c r="E485" t="str">
        <f>IF(OR(Table1[[#This Row],[marital_status]]="Married", Table1[[#This Row],[marital_status]]="Together"), "Partnered", "Single")</f>
        <v>Partnered</v>
      </c>
      <c r="F485" s="7">
        <v>43057</v>
      </c>
      <c r="G485" s="8">
        <v>0</v>
      </c>
      <c r="H485" s="8">
        <v>1</v>
      </c>
      <c r="I485" s="8">
        <f>Table1[[#This Row],[kids]]+Table1[[#This Row],[teens]]</f>
        <v>1</v>
      </c>
      <c r="J485" s="9">
        <v>41577</v>
      </c>
      <c r="K485" s="8">
        <v>30</v>
      </c>
      <c r="L485" s="6">
        <v>213</v>
      </c>
      <c r="M485" s="5">
        <v>2</v>
      </c>
      <c r="N485" s="5">
        <v>44</v>
      </c>
      <c r="O485" s="5">
        <v>0</v>
      </c>
      <c r="P485" s="5">
        <v>2</v>
      </c>
      <c r="Q485" s="5">
        <v>5</v>
      </c>
      <c r="R485" s="8">
        <v>4</v>
      </c>
      <c r="S485" s="8">
        <v>4</v>
      </c>
      <c r="T485" s="8">
        <v>2</v>
      </c>
      <c r="U485" s="8">
        <v>5</v>
      </c>
      <c r="V485" s="8">
        <v>5</v>
      </c>
      <c r="W485" t="s">
        <v>473</v>
      </c>
      <c r="X485" t="s">
        <v>473</v>
      </c>
      <c r="Y485" t="s">
        <v>473</v>
      </c>
      <c r="Z485" t="s">
        <v>473</v>
      </c>
      <c r="AA485" t="s">
        <v>473</v>
      </c>
      <c r="AB485" t="s">
        <v>473</v>
      </c>
      <c r="AC485" s="10">
        <v>3</v>
      </c>
      <c r="AD485" s="10">
        <v>11</v>
      </c>
      <c r="AE485" t="s">
        <v>473</v>
      </c>
    </row>
    <row r="486" spans="1:31" x14ac:dyDescent="0.25">
      <c r="A486">
        <v>9286</v>
      </c>
      <c r="B486">
        <v>1960</v>
      </c>
      <c r="C486" t="s">
        <v>36</v>
      </c>
      <c r="D486" t="s">
        <v>31</v>
      </c>
      <c r="E486" t="str">
        <f>IF(OR(Table1[[#This Row],[marital_status]]="Married", Table1[[#This Row],[marital_status]]="Together"), "Partnered", "Single")</f>
        <v>Partnered</v>
      </c>
      <c r="F486" s="7">
        <v>83151</v>
      </c>
      <c r="G486" s="8">
        <v>0</v>
      </c>
      <c r="H486" s="8">
        <v>0</v>
      </c>
      <c r="I486" s="8">
        <f>Table1[[#This Row],[kids]]+Table1[[#This Row],[teens]]</f>
        <v>0</v>
      </c>
      <c r="J486" s="9">
        <v>41192</v>
      </c>
      <c r="K486" s="8">
        <v>93</v>
      </c>
      <c r="L486" s="6">
        <v>407</v>
      </c>
      <c r="M486" s="5">
        <v>28</v>
      </c>
      <c r="N486" s="5">
        <v>100</v>
      </c>
      <c r="O486" s="5">
        <v>120</v>
      </c>
      <c r="P486" s="5">
        <v>74</v>
      </c>
      <c r="Q486" s="5">
        <v>18</v>
      </c>
      <c r="R486" s="8">
        <v>1</v>
      </c>
      <c r="S486" s="8">
        <v>5</v>
      </c>
      <c r="T486" s="8">
        <v>9</v>
      </c>
      <c r="U486" s="8">
        <v>4</v>
      </c>
      <c r="V486" s="8">
        <v>3</v>
      </c>
      <c r="W486" t="s">
        <v>473</v>
      </c>
      <c r="X486" t="s">
        <v>473</v>
      </c>
      <c r="Y486" t="s">
        <v>473</v>
      </c>
      <c r="Z486" t="s">
        <v>473</v>
      </c>
      <c r="AA486" t="s">
        <v>473</v>
      </c>
      <c r="AB486" t="s">
        <v>473</v>
      </c>
      <c r="AC486" s="10">
        <v>3</v>
      </c>
      <c r="AD486" s="10">
        <v>11</v>
      </c>
      <c r="AE486" t="s">
        <v>473</v>
      </c>
    </row>
    <row r="487" spans="1:31" x14ac:dyDescent="0.25">
      <c r="A487">
        <v>2426</v>
      </c>
      <c r="B487">
        <v>1964</v>
      </c>
      <c r="C487" t="s">
        <v>33</v>
      </c>
      <c r="D487" t="s">
        <v>37</v>
      </c>
      <c r="E487" t="str">
        <f>IF(OR(Table1[[#This Row],[marital_status]]="Married", Table1[[#This Row],[marital_status]]="Together"), "Partnered", "Single")</f>
        <v>Single</v>
      </c>
      <c r="F487" s="7">
        <v>78825</v>
      </c>
      <c r="G487" s="8">
        <v>0</v>
      </c>
      <c r="H487" s="8">
        <v>0</v>
      </c>
      <c r="I487" s="8">
        <f>Table1[[#This Row],[kids]]+Table1[[#This Row],[teens]]</f>
        <v>0</v>
      </c>
      <c r="J487" s="9">
        <v>41166</v>
      </c>
      <c r="K487" s="8">
        <v>35</v>
      </c>
      <c r="L487" s="6">
        <v>483</v>
      </c>
      <c r="M487" s="5">
        <v>74</v>
      </c>
      <c r="N487" s="5">
        <v>114</v>
      </c>
      <c r="O487" s="5">
        <v>169</v>
      </c>
      <c r="P487" s="5">
        <v>37</v>
      </c>
      <c r="Q487" s="5">
        <v>18</v>
      </c>
      <c r="R487" s="8">
        <v>1</v>
      </c>
      <c r="S487" s="8">
        <v>5</v>
      </c>
      <c r="T487" s="8">
        <v>10</v>
      </c>
      <c r="U487" s="8">
        <v>13</v>
      </c>
      <c r="V487" s="8">
        <v>3</v>
      </c>
      <c r="W487" t="s">
        <v>473</v>
      </c>
      <c r="X487" t="s">
        <v>473</v>
      </c>
      <c r="Y487" t="s">
        <v>473</v>
      </c>
      <c r="Z487" t="s">
        <v>473</v>
      </c>
      <c r="AA487" t="s">
        <v>473</v>
      </c>
      <c r="AB487" t="s">
        <v>473</v>
      </c>
      <c r="AC487" s="10">
        <v>3</v>
      </c>
      <c r="AD487" s="10">
        <v>11</v>
      </c>
      <c r="AE487" t="s">
        <v>474</v>
      </c>
    </row>
    <row r="488" spans="1:31" x14ac:dyDescent="0.25">
      <c r="A488">
        <v>5172</v>
      </c>
      <c r="B488">
        <v>1976</v>
      </c>
      <c r="C488" t="s">
        <v>36</v>
      </c>
      <c r="D488" t="s">
        <v>31</v>
      </c>
      <c r="E488" t="str">
        <f>IF(OR(Table1[[#This Row],[marital_status]]="Married", Table1[[#This Row],[marital_status]]="Together"), "Partnered", "Single")</f>
        <v>Partnered</v>
      </c>
      <c r="F488" s="7">
        <v>65104</v>
      </c>
      <c r="G488" s="8">
        <v>0</v>
      </c>
      <c r="H488" s="8">
        <v>1</v>
      </c>
      <c r="I488" s="8">
        <f>Table1[[#This Row],[kids]]+Table1[[#This Row],[teens]]</f>
        <v>1</v>
      </c>
      <c r="J488" s="9">
        <v>41592</v>
      </c>
      <c r="K488" s="8">
        <v>4</v>
      </c>
      <c r="L488" s="6">
        <v>738</v>
      </c>
      <c r="M488" s="5">
        <v>0</v>
      </c>
      <c r="N488" s="5">
        <v>232</v>
      </c>
      <c r="O488" s="5">
        <v>13</v>
      </c>
      <c r="P488" s="5">
        <v>20</v>
      </c>
      <c r="Q488" s="5">
        <v>50</v>
      </c>
      <c r="R488" s="8">
        <v>2</v>
      </c>
      <c r="S488" s="8">
        <v>3</v>
      </c>
      <c r="T488" s="8">
        <v>5</v>
      </c>
      <c r="U488" s="8">
        <v>7</v>
      </c>
      <c r="V488" s="8">
        <v>7</v>
      </c>
      <c r="W488" t="s">
        <v>473</v>
      </c>
      <c r="X488" t="s">
        <v>473</v>
      </c>
      <c r="Y488" t="s">
        <v>473</v>
      </c>
      <c r="Z488" t="s">
        <v>473</v>
      </c>
      <c r="AA488" t="s">
        <v>473</v>
      </c>
      <c r="AB488" t="s">
        <v>473</v>
      </c>
      <c r="AC488" s="10">
        <v>3</v>
      </c>
      <c r="AD488" s="10">
        <v>11</v>
      </c>
      <c r="AE488" t="s">
        <v>473</v>
      </c>
    </row>
    <row r="489" spans="1:31" x14ac:dyDescent="0.25">
      <c r="A489">
        <v>5562</v>
      </c>
      <c r="B489">
        <v>1974</v>
      </c>
      <c r="C489" t="s">
        <v>466</v>
      </c>
      <c r="D489" t="s">
        <v>34</v>
      </c>
      <c r="E489" t="str">
        <f>IF(OR(Table1[[#This Row],[marital_status]]="Married", Table1[[#This Row],[marital_status]]="Together"), "Partnered", "Single")</f>
        <v>Partnered</v>
      </c>
      <c r="F489" s="7">
        <v>60093</v>
      </c>
      <c r="G489" s="8">
        <v>0</v>
      </c>
      <c r="H489" s="8">
        <v>1</v>
      </c>
      <c r="I489" s="8">
        <f>Table1[[#This Row],[kids]]+Table1[[#This Row],[teens]]</f>
        <v>1</v>
      </c>
      <c r="J489" s="9">
        <v>41451</v>
      </c>
      <c r="K489" s="8">
        <v>92</v>
      </c>
      <c r="L489" s="6">
        <v>502</v>
      </c>
      <c r="M489" s="5">
        <v>12</v>
      </c>
      <c r="N489" s="5">
        <v>109</v>
      </c>
      <c r="O489" s="5">
        <v>16</v>
      </c>
      <c r="P489" s="5">
        <v>6</v>
      </c>
      <c r="Q489" s="5">
        <v>90</v>
      </c>
      <c r="R489" s="8">
        <v>2</v>
      </c>
      <c r="S489" s="8">
        <v>7</v>
      </c>
      <c r="T489" s="8">
        <v>2</v>
      </c>
      <c r="U489" s="8">
        <v>10</v>
      </c>
      <c r="V489" s="8">
        <v>6</v>
      </c>
      <c r="W489" t="s">
        <v>473</v>
      </c>
      <c r="X489" t="s">
        <v>473</v>
      </c>
      <c r="Y489" t="s">
        <v>473</v>
      </c>
      <c r="Z489" t="s">
        <v>473</v>
      </c>
      <c r="AA489" t="s">
        <v>473</v>
      </c>
      <c r="AB489" t="s">
        <v>473</v>
      </c>
      <c r="AC489" s="10">
        <v>3</v>
      </c>
      <c r="AD489" s="10">
        <v>11</v>
      </c>
      <c r="AE489" t="s">
        <v>473</v>
      </c>
    </row>
    <row r="490" spans="1:31" x14ac:dyDescent="0.25">
      <c r="A490">
        <v>3436</v>
      </c>
      <c r="B490">
        <v>1969</v>
      </c>
      <c r="C490" t="s">
        <v>466</v>
      </c>
      <c r="D490" t="s">
        <v>34</v>
      </c>
      <c r="E490" t="str">
        <f>IF(OR(Table1[[#This Row],[marital_status]]="Married", Table1[[#This Row],[marital_status]]="Together"), "Partnered", "Single")</f>
        <v>Partnered</v>
      </c>
      <c r="F490" s="7">
        <v>14045</v>
      </c>
      <c r="G490" s="8">
        <v>1</v>
      </c>
      <c r="H490" s="8">
        <v>0</v>
      </c>
      <c r="I490" s="8">
        <f>Table1[[#This Row],[kids]]+Table1[[#This Row],[teens]]</f>
        <v>1</v>
      </c>
      <c r="J490" s="9">
        <v>41665</v>
      </c>
      <c r="K490" s="8">
        <v>24</v>
      </c>
      <c r="L490" s="6">
        <v>11</v>
      </c>
      <c r="M490" s="5">
        <v>0</v>
      </c>
      <c r="N490" s="5">
        <v>5</v>
      </c>
      <c r="O490" s="5">
        <v>2</v>
      </c>
      <c r="P490" s="5">
        <v>1</v>
      </c>
      <c r="Q490" s="5">
        <v>1</v>
      </c>
      <c r="R490" s="8">
        <v>1</v>
      </c>
      <c r="S490" s="8">
        <v>1</v>
      </c>
      <c r="T490" s="8">
        <v>0</v>
      </c>
      <c r="U490" s="8">
        <v>3</v>
      </c>
      <c r="V490" s="8">
        <v>7</v>
      </c>
      <c r="W490" t="s">
        <v>473</v>
      </c>
      <c r="X490" t="s">
        <v>473</v>
      </c>
      <c r="Y490" t="s">
        <v>473</v>
      </c>
      <c r="Z490" t="s">
        <v>473</v>
      </c>
      <c r="AA490" t="s">
        <v>473</v>
      </c>
      <c r="AB490" t="s">
        <v>473</v>
      </c>
      <c r="AC490" s="10">
        <v>3</v>
      </c>
      <c r="AD490" s="10">
        <v>11</v>
      </c>
      <c r="AE490" t="s">
        <v>473</v>
      </c>
    </row>
    <row r="491" spans="1:31" x14ac:dyDescent="0.25">
      <c r="A491">
        <v>3921</v>
      </c>
      <c r="B491">
        <v>1952</v>
      </c>
      <c r="C491" t="s">
        <v>46</v>
      </c>
      <c r="D491" t="s">
        <v>57</v>
      </c>
      <c r="E491" t="str">
        <f>IF(OR(Table1[[#This Row],[marital_status]]="Married", Table1[[#This Row],[marital_status]]="Together"), "Partnered", "Single")</f>
        <v>Single</v>
      </c>
      <c r="F491" s="7">
        <v>28457</v>
      </c>
      <c r="G491" s="8">
        <v>0</v>
      </c>
      <c r="H491" s="8">
        <v>0</v>
      </c>
      <c r="I491" s="8">
        <f>Table1[[#This Row],[kids]]+Table1[[#This Row],[teens]]</f>
        <v>0</v>
      </c>
      <c r="J491" s="9">
        <v>41210</v>
      </c>
      <c r="K491" s="8">
        <v>96</v>
      </c>
      <c r="L491" s="6">
        <v>24</v>
      </c>
      <c r="M491" s="5">
        <v>1</v>
      </c>
      <c r="N491" s="5">
        <v>108</v>
      </c>
      <c r="O491" s="5">
        <v>29</v>
      </c>
      <c r="P491" s="5">
        <v>29</v>
      </c>
      <c r="Q491" s="5">
        <v>14</v>
      </c>
      <c r="R491" s="8">
        <v>1</v>
      </c>
      <c r="S491" s="8">
        <v>4</v>
      </c>
      <c r="T491" s="8">
        <v>1</v>
      </c>
      <c r="U491" s="8">
        <v>4</v>
      </c>
      <c r="V491" s="8">
        <v>8</v>
      </c>
      <c r="W491" t="s">
        <v>473</v>
      </c>
      <c r="X491" t="s">
        <v>473</v>
      </c>
      <c r="Y491" t="s">
        <v>473</v>
      </c>
      <c r="Z491" t="s">
        <v>473</v>
      </c>
      <c r="AA491" t="s">
        <v>473</v>
      </c>
      <c r="AB491" t="s">
        <v>473</v>
      </c>
      <c r="AC491" s="10">
        <v>3</v>
      </c>
      <c r="AD491" s="10">
        <v>11</v>
      </c>
      <c r="AE491" t="s">
        <v>473</v>
      </c>
    </row>
    <row r="492" spans="1:31" x14ac:dyDescent="0.25">
      <c r="A492">
        <v>3403</v>
      </c>
      <c r="B492">
        <v>1958</v>
      </c>
      <c r="C492" t="s">
        <v>33</v>
      </c>
      <c r="D492" t="s">
        <v>31</v>
      </c>
      <c r="E492" t="str">
        <f>IF(OR(Table1[[#This Row],[marital_status]]="Married", Table1[[#This Row],[marital_status]]="Together"), "Partnered", "Single")</f>
        <v>Partnered</v>
      </c>
      <c r="F492" s="7">
        <v>78952</v>
      </c>
      <c r="G492" s="8">
        <v>0</v>
      </c>
      <c r="H492" s="8">
        <v>1</v>
      </c>
      <c r="I492" s="8">
        <f>Table1[[#This Row],[kids]]+Table1[[#This Row],[teens]]</f>
        <v>1</v>
      </c>
      <c r="J492" s="9">
        <v>41176</v>
      </c>
      <c r="K492" s="8">
        <v>11</v>
      </c>
      <c r="L492" s="6">
        <v>1170</v>
      </c>
      <c r="M492" s="5">
        <v>19</v>
      </c>
      <c r="N492" s="5">
        <v>594</v>
      </c>
      <c r="O492" s="5">
        <v>99</v>
      </c>
      <c r="P492" s="5">
        <v>76</v>
      </c>
      <c r="Q492" s="5">
        <v>134</v>
      </c>
      <c r="R492" s="8">
        <v>2</v>
      </c>
      <c r="S492" s="8">
        <v>2</v>
      </c>
      <c r="T492" s="8">
        <v>5</v>
      </c>
      <c r="U492" s="8">
        <v>12</v>
      </c>
      <c r="V492" s="8">
        <v>6</v>
      </c>
      <c r="W492" t="s">
        <v>473</v>
      </c>
      <c r="X492" t="s">
        <v>473</v>
      </c>
      <c r="Y492" t="s">
        <v>473</v>
      </c>
      <c r="Z492" t="s">
        <v>473</v>
      </c>
      <c r="AA492" t="s">
        <v>473</v>
      </c>
      <c r="AB492" t="s">
        <v>473</v>
      </c>
      <c r="AC492" s="10">
        <v>3</v>
      </c>
      <c r="AD492" s="10">
        <v>11</v>
      </c>
      <c r="AE492" t="s">
        <v>473</v>
      </c>
    </row>
    <row r="493" spans="1:31" x14ac:dyDescent="0.25">
      <c r="A493">
        <v>22</v>
      </c>
      <c r="B493">
        <v>1976</v>
      </c>
      <c r="C493" t="s">
        <v>466</v>
      </c>
      <c r="D493" t="s">
        <v>37</v>
      </c>
      <c r="E493" t="str">
        <f>IF(OR(Table1[[#This Row],[marital_status]]="Married", Table1[[#This Row],[marital_status]]="Together"), "Partnered", "Single")</f>
        <v>Single</v>
      </c>
      <c r="F493" s="7">
        <v>46310</v>
      </c>
      <c r="G493" s="8">
        <v>1</v>
      </c>
      <c r="H493" s="8">
        <v>0</v>
      </c>
      <c r="I493" s="8">
        <f>Table1[[#This Row],[kids]]+Table1[[#This Row],[teens]]</f>
        <v>1</v>
      </c>
      <c r="J493" s="9">
        <v>41246</v>
      </c>
      <c r="K493" s="8">
        <v>99</v>
      </c>
      <c r="L493" s="6">
        <v>185</v>
      </c>
      <c r="M493" s="5">
        <v>2</v>
      </c>
      <c r="N493" s="5">
        <v>88</v>
      </c>
      <c r="O493" s="5">
        <v>15</v>
      </c>
      <c r="P493" s="5">
        <v>5</v>
      </c>
      <c r="Q493" s="5">
        <v>14</v>
      </c>
      <c r="R493" s="8">
        <v>2</v>
      </c>
      <c r="S493" s="8">
        <v>6</v>
      </c>
      <c r="T493" s="8">
        <v>1</v>
      </c>
      <c r="U493" s="8">
        <v>5</v>
      </c>
      <c r="V493" s="8">
        <v>8</v>
      </c>
      <c r="W493" t="s">
        <v>473</v>
      </c>
      <c r="X493" t="s">
        <v>473</v>
      </c>
      <c r="Y493" t="s">
        <v>473</v>
      </c>
      <c r="Z493" t="s">
        <v>473</v>
      </c>
      <c r="AA493" t="s">
        <v>473</v>
      </c>
      <c r="AB493" t="s">
        <v>473</v>
      </c>
      <c r="AC493" s="10">
        <v>3</v>
      </c>
      <c r="AD493" s="10">
        <v>11</v>
      </c>
      <c r="AE493" t="s">
        <v>473</v>
      </c>
    </row>
    <row r="494" spans="1:31" x14ac:dyDescent="0.25">
      <c r="A494">
        <v>10965</v>
      </c>
      <c r="B494">
        <v>1955</v>
      </c>
      <c r="C494" t="s">
        <v>466</v>
      </c>
      <c r="D494" t="s">
        <v>31</v>
      </c>
      <c r="E494" t="str">
        <f>IF(OR(Table1[[#This Row],[marital_status]]="Married", Table1[[#This Row],[marital_status]]="Together"), "Partnered", "Single")</f>
        <v>Partnered</v>
      </c>
      <c r="F494" s="7">
        <v>76005</v>
      </c>
      <c r="G494" s="8">
        <v>0</v>
      </c>
      <c r="H494" s="8">
        <v>0</v>
      </c>
      <c r="I494" s="8">
        <f>Table1[[#This Row],[kids]]+Table1[[#This Row],[teens]]</f>
        <v>0</v>
      </c>
      <c r="J494" s="9">
        <v>41327</v>
      </c>
      <c r="K494" s="8">
        <v>72</v>
      </c>
      <c r="L494" s="6">
        <v>983</v>
      </c>
      <c r="M494" s="5">
        <v>20</v>
      </c>
      <c r="N494" s="5">
        <v>389</v>
      </c>
      <c r="O494" s="5">
        <v>240</v>
      </c>
      <c r="P494" s="5">
        <v>50</v>
      </c>
      <c r="Q494" s="5">
        <v>40</v>
      </c>
      <c r="R494" s="8">
        <v>1</v>
      </c>
      <c r="S494" s="8">
        <v>3</v>
      </c>
      <c r="T494" s="8">
        <v>5</v>
      </c>
      <c r="U494" s="8">
        <v>13</v>
      </c>
      <c r="V494" s="8">
        <v>6</v>
      </c>
      <c r="W494" t="s">
        <v>473</v>
      </c>
      <c r="X494" t="s">
        <v>473</v>
      </c>
      <c r="Y494" t="s">
        <v>473</v>
      </c>
      <c r="Z494" t="s">
        <v>474</v>
      </c>
      <c r="AA494" t="s">
        <v>473</v>
      </c>
      <c r="AB494" t="s">
        <v>473</v>
      </c>
      <c r="AC494" s="10">
        <v>3</v>
      </c>
      <c r="AD494" s="10">
        <v>11</v>
      </c>
      <c r="AE494" t="s">
        <v>473</v>
      </c>
    </row>
    <row r="495" spans="1:31" x14ac:dyDescent="0.25">
      <c r="A495">
        <v>9426</v>
      </c>
      <c r="B495">
        <v>1964</v>
      </c>
      <c r="C495" t="s">
        <v>36</v>
      </c>
      <c r="D495" t="s">
        <v>30</v>
      </c>
      <c r="E495" t="str">
        <f>IF(OR(Table1[[#This Row],[marital_status]]="Married", Table1[[#This Row],[marital_status]]="Together"), "Partnered", "Single")</f>
        <v>Single</v>
      </c>
      <c r="F495" s="7">
        <v>58308</v>
      </c>
      <c r="G495" s="8">
        <v>0</v>
      </c>
      <c r="H495" s="8">
        <v>1</v>
      </c>
      <c r="I495" s="8">
        <f>Table1[[#This Row],[kids]]+Table1[[#This Row],[teens]]</f>
        <v>1</v>
      </c>
      <c r="J495" s="9">
        <v>41286</v>
      </c>
      <c r="K495" s="8">
        <v>77</v>
      </c>
      <c r="L495" s="6">
        <v>691</v>
      </c>
      <c r="M495" s="5">
        <v>0</v>
      </c>
      <c r="N495" s="5">
        <v>69</v>
      </c>
      <c r="O495" s="5">
        <v>10</v>
      </c>
      <c r="P495" s="5">
        <v>0</v>
      </c>
      <c r="Q495" s="5">
        <v>130</v>
      </c>
      <c r="R495" s="8">
        <v>4</v>
      </c>
      <c r="S495" s="8">
        <v>2</v>
      </c>
      <c r="T495" s="8">
        <v>6</v>
      </c>
      <c r="U495" s="8">
        <v>3</v>
      </c>
      <c r="V495" s="8">
        <v>8</v>
      </c>
      <c r="W495" t="s">
        <v>473</v>
      </c>
      <c r="X495" t="s">
        <v>473</v>
      </c>
      <c r="Y495" t="s">
        <v>473</v>
      </c>
      <c r="Z495" t="s">
        <v>473</v>
      </c>
      <c r="AA495" t="s">
        <v>473</v>
      </c>
      <c r="AB495" t="s">
        <v>473</v>
      </c>
      <c r="AC495" s="10">
        <v>3</v>
      </c>
      <c r="AD495" s="10">
        <v>11</v>
      </c>
      <c r="AE495" t="s">
        <v>473</v>
      </c>
    </row>
    <row r="496" spans="1:31" x14ac:dyDescent="0.25">
      <c r="A496">
        <v>6605</v>
      </c>
      <c r="B496">
        <v>1944</v>
      </c>
      <c r="C496" t="s">
        <v>33</v>
      </c>
      <c r="D496" t="s">
        <v>37</v>
      </c>
      <c r="E496" t="str">
        <f>IF(OR(Table1[[#This Row],[marital_status]]="Married", Table1[[#This Row],[marital_status]]="Together"), "Partnered", "Single")</f>
        <v>Single</v>
      </c>
      <c r="F496" s="7">
        <v>55614</v>
      </c>
      <c r="G496" s="8">
        <v>0</v>
      </c>
      <c r="H496" s="8">
        <v>0</v>
      </c>
      <c r="I496" s="8">
        <f>Table1[[#This Row],[kids]]+Table1[[#This Row],[teens]]</f>
        <v>0</v>
      </c>
      <c r="J496" s="9">
        <v>41605</v>
      </c>
      <c r="K496" s="8">
        <v>85</v>
      </c>
      <c r="L496" s="6">
        <v>504</v>
      </c>
      <c r="M496" s="5">
        <v>13</v>
      </c>
      <c r="N496" s="5">
        <v>131</v>
      </c>
      <c r="O496" s="5">
        <v>8</v>
      </c>
      <c r="P496" s="5">
        <v>0</v>
      </c>
      <c r="Q496" s="5">
        <v>26</v>
      </c>
      <c r="R496" s="8">
        <v>1</v>
      </c>
      <c r="S496" s="8">
        <v>9</v>
      </c>
      <c r="T496" s="8">
        <v>4</v>
      </c>
      <c r="U496" s="8">
        <v>6</v>
      </c>
      <c r="V496" s="8">
        <v>7</v>
      </c>
      <c r="W496" t="s">
        <v>473</v>
      </c>
      <c r="X496" t="s">
        <v>474</v>
      </c>
      <c r="Y496" t="s">
        <v>473</v>
      </c>
      <c r="Z496" t="s">
        <v>473</v>
      </c>
      <c r="AA496" t="s">
        <v>473</v>
      </c>
      <c r="AB496" t="s">
        <v>473</v>
      </c>
      <c r="AC496" s="10">
        <v>3</v>
      </c>
      <c r="AD496" s="10">
        <v>11</v>
      </c>
      <c r="AE496" t="s">
        <v>473</v>
      </c>
    </row>
    <row r="497" spans="1:31" x14ac:dyDescent="0.25">
      <c r="A497">
        <v>3136</v>
      </c>
      <c r="B497">
        <v>1962</v>
      </c>
      <c r="C497" t="s">
        <v>36</v>
      </c>
      <c r="D497" t="s">
        <v>37</v>
      </c>
      <c r="E497" t="str">
        <f>IF(OR(Table1[[#This Row],[marital_status]]="Married", Table1[[#This Row],[marital_status]]="Together"), "Partnered", "Single")</f>
        <v>Single</v>
      </c>
      <c r="F497" s="7">
        <v>59432</v>
      </c>
      <c r="G497" s="8">
        <v>0</v>
      </c>
      <c r="H497" s="8">
        <v>1</v>
      </c>
      <c r="I497" s="8">
        <f>Table1[[#This Row],[kids]]+Table1[[#This Row],[teens]]</f>
        <v>1</v>
      </c>
      <c r="J497" s="9">
        <v>41377</v>
      </c>
      <c r="K497" s="8">
        <v>88</v>
      </c>
      <c r="L497" s="6">
        <v>317</v>
      </c>
      <c r="M497" s="5">
        <v>25</v>
      </c>
      <c r="N497" s="5">
        <v>265</v>
      </c>
      <c r="O497" s="5">
        <v>25</v>
      </c>
      <c r="P497" s="5">
        <v>19</v>
      </c>
      <c r="Q497" s="5">
        <v>12</v>
      </c>
      <c r="R497" s="8">
        <v>3</v>
      </c>
      <c r="S497" s="8">
        <v>5</v>
      </c>
      <c r="T497" s="8">
        <v>3</v>
      </c>
      <c r="U497" s="8">
        <v>11</v>
      </c>
      <c r="V497" s="8">
        <v>5</v>
      </c>
      <c r="W497" t="s">
        <v>473</v>
      </c>
      <c r="X497" t="s">
        <v>473</v>
      </c>
      <c r="Y497" t="s">
        <v>473</v>
      </c>
      <c r="Z497" t="s">
        <v>473</v>
      </c>
      <c r="AA497" t="s">
        <v>473</v>
      </c>
      <c r="AB497" t="s">
        <v>473</v>
      </c>
      <c r="AC497" s="10">
        <v>3</v>
      </c>
      <c r="AD497" s="10">
        <v>11</v>
      </c>
      <c r="AE497" t="s">
        <v>473</v>
      </c>
    </row>
    <row r="498" spans="1:31" x14ac:dyDescent="0.25">
      <c r="A498">
        <v>8737</v>
      </c>
      <c r="B498">
        <v>1978</v>
      </c>
      <c r="C498" t="s">
        <v>466</v>
      </c>
      <c r="D498" t="s">
        <v>37</v>
      </c>
      <c r="E498" t="str">
        <f>IF(OR(Table1[[#This Row],[marital_status]]="Married", Table1[[#This Row],[marital_status]]="Together"), "Partnered", "Single")</f>
        <v>Single</v>
      </c>
      <c r="F498" s="7">
        <v>55563</v>
      </c>
      <c r="G498" s="8">
        <v>0</v>
      </c>
      <c r="H498" s="8">
        <v>1</v>
      </c>
      <c r="I498" s="8">
        <f>Table1[[#This Row],[kids]]+Table1[[#This Row],[teens]]</f>
        <v>1</v>
      </c>
      <c r="J498" s="9">
        <v>41734</v>
      </c>
      <c r="K498" s="8">
        <v>22</v>
      </c>
      <c r="L498" s="6">
        <v>29</v>
      </c>
      <c r="M498" s="5">
        <v>1</v>
      </c>
      <c r="N498" s="5">
        <v>9</v>
      </c>
      <c r="O498" s="5">
        <v>2</v>
      </c>
      <c r="P498" s="5">
        <v>0</v>
      </c>
      <c r="Q498" s="5">
        <v>2</v>
      </c>
      <c r="R498" s="8">
        <v>1</v>
      </c>
      <c r="S498" s="8">
        <v>2</v>
      </c>
      <c r="T498" s="8">
        <v>0</v>
      </c>
      <c r="U498" s="8">
        <v>3</v>
      </c>
      <c r="V498" s="8">
        <v>3</v>
      </c>
      <c r="W498" t="s">
        <v>473</v>
      </c>
      <c r="X498" t="s">
        <v>473</v>
      </c>
      <c r="Y498" t="s">
        <v>473</v>
      </c>
      <c r="Z498" t="s">
        <v>473</v>
      </c>
      <c r="AA498" t="s">
        <v>473</v>
      </c>
      <c r="AB498" t="s">
        <v>473</v>
      </c>
      <c r="AC498" s="10">
        <v>3</v>
      </c>
      <c r="AD498" s="10">
        <v>11</v>
      </c>
      <c r="AE498" t="s">
        <v>473</v>
      </c>
    </row>
    <row r="499" spans="1:31" x14ac:dyDescent="0.25">
      <c r="A499">
        <v>11088</v>
      </c>
      <c r="B499">
        <v>1971</v>
      </c>
      <c r="C499" t="s">
        <v>33</v>
      </c>
      <c r="D499" t="s">
        <v>31</v>
      </c>
      <c r="E499" t="str">
        <f>IF(OR(Table1[[#This Row],[marital_status]]="Married", Table1[[#This Row],[marital_status]]="Together"), "Partnered", "Single")</f>
        <v>Partnered</v>
      </c>
      <c r="F499" s="7">
        <v>78642</v>
      </c>
      <c r="G499" s="8">
        <v>0</v>
      </c>
      <c r="H499" s="8">
        <v>1</v>
      </c>
      <c r="I499" s="8">
        <f>Table1[[#This Row],[kids]]+Table1[[#This Row],[teens]]</f>
        <v>1</v>
      </c>
      <c r="J499" s="9">
        <v>41385</v>
      </c>
      <c r="K499" s="8">
        <v>83</v>
      </c>
      <c r="L499" s="6">
        <v>1396</v>
      </c>
      <c r="M499" s="5">
        <v>0</v>
      </c>
      <c r="N499" s="5">
        <v>322</v>
      </c>
      <c r="O499" s="5">
        <v>46</v>
      </c>
      <c r="P499" s="5">
        <v>35</v>
      </c>
      <c r="Q499" s="5">
        <v>17</v>
      </c>
      <c r="R499" s="8">
        <v>1</v>
      </c>
      <c r="S499" s="8">
        <v>4</v>
      </c>
      <c r="T499" s="8">
        <v>9</v>
      </c>
      <c r="U499" s="8">
        <v>4</v>
      </c>
      <c r="V499" s="8">
        <v>6</v>
      </c>
      <c r="W499" t="s">
        <v>473</v>
      </c>
      <c r="X499" t="s">
        <v>473</v>
      </c>
      <c r="Y499" t="s">
        <v>473</v>
      </c>
      <c r="Z499" t="s">
        <v>473</v>
      </c>
      <c r="AA499" t="s">
        <v>473</v>
      </c>
      <c r="AB499" t="s">
        <v>473</v>
      </c>
      <c r="AC499" s="10">
        <v>3</v>
      </c>
      <c r="AD499" s="10">
        <v>11</v>
      </c>
      <c r="AE499" t="s">
        <v>473</v>
      </c>
    </row>
    <row r="500" spans="1:31" x14ac:dyDescent="0.25">
      <c r="A500">
        <v>716</v>
      </c>
      <c r="B500">
        <v>1949</v>
      </c>
      <c r="C500" t="s">
        <v>33</v>
      </c>
      <c r="D500" t="s">
        <v>31</v>
      </c>
      <c r="E500" t="str">
        <f>IF(OR(Table1[[#This Row],[marital_status]]="Married", Table1[[#This Row],[marital_status]]="Together"), "Partnered", "Single")</f>
        <v>Partnered</v>
      </c>
      <c r="F500" s="7">
        <v>67911</v>
      </c>
      <c r="G500" s="8">
        <v>0</v>
      </c>
      <c r="H500" s="8">
        <v>1</v>
      </c>
      <c r="I500" s="8">
        <f>Table1[[#This Row],[kids]]+Table1[[#This Row],[teens]]</f>
        <v>1</v>
      </c>
      <c r="J500" s="9">
        <v>41781</v>
      </c>
      <c r="K500" s="8">
        <v>63</v>
      </c>
      <c r="L500" s="6">
        <v>529</v>
      </c>
      <c r="M500" s="5">
        <v>0</v>
      </c>
      <c r="N500" s="5">
        <v>356</v>
      </c>
      <c r="O500" s="5">
        <v>63</v>
      </c>
      <c r="P500" s="5">
        <v>28</v>
      </c>
      <c r="Q500" s="5">
        <v>0</v>
      </c>
      <c r="R500" s="8">
        <v>3</v>
      </c>
      <c r="S500" s="8">
        <v>6</v>
      </c>
      <c r="T500" s="8">
        <v>7</v>
      </c>
      <c r="U500" s="8">
        <v>11</v>
      </c>
      <c r="V500" s="8">
        <v>3</v>
      </c>
      <c r="W500" t="s">
        <v>473</v>
      </c>
      <c r="X500" t="s">
        <v>473</v>
      </c>
      <c r="Y500" t="s">
        <v>473</v>
      </c>
      <c r="Z500" t="s">
        <v>473</v>
      </c>
      <c r="AA500" t="s">
        <v>473</v>
      </c>
      <c r="AB500" t="s">
        <v>473</v>
      </c>
      <c r="AC500" s="10">
        <v>3</v>
      </c>
      <c r="AD500" s="10">
        <v>11</v>
      </c>
      <c r="AE500" t="s">
        <v>473</v>
      </c>
    </row>
    <row r="501" spans="1:31" x14ac:dyDescent="0.25">
      <c r="A501">
        <v>466</v>
      </c>
      <c r="B501">
        <v>1944</v>
      </c>
      <c r="C501" t="s">
        <v>466</v>
      </c>
      <c r="D501" t="s">
        <v>34</v>
      </c>
      <c r="E501" t="str">
        <f>IF(OR(Table1[[#This Row],[marital_status]]="Married", Table1[[#This Row],[marital_status]]="Together"), "Partnered", "Single")</f>
        <v>Partnered</v>
      </c>
      <c r="F501" s="7">
        <v>65275</v>
      </c>
      <c r="G501" s="8">
        <v>0</v>
      </c>
      <c r="H501" s="8">
        <v>0</v>
      </c>
      <c r="I501" s="8">
        <f>Table1[[#This Row],[kids]]+Table1[[#This Row],[teens]]</f>
        <v>0</v>
      </c>
      <c r="J501" s="9">
        <v>41367</v>
      </c>
      <c r="K501" s="8">
        <v>9</v>
      </c>
      <c r="L501" s="6">
        <v>388</v>
      </c>
      <c r="M501" s="5">
        <v>14</v>
      </c>
      <c r="N501" s="5">
        <v>218</v>
      </c>
      <c r="O501" s="5">
        <v>91</v>
      </c>
      <c r="P501" s="5">
        <v>14</v>
      </c>
      <c r="Q501" s="5">
        <v>21</v>
      </c>
      <c r="R501" s="8">
        <v>1</v>
      </c>
      <c r="S501" s="8">
        <v>4</v>
      </c>
      <c r="T501" s="8">
        <v>3</v>
      </c>
      <c r="U501" s="8">
        <v>13</v>
      </c>
      <c r="V501" s="8">
        <v>2</v>
      </c>
      <c r="W501" t="s">
        <v>473</v>
      </c>
      <c r="X501" t="s">
        <v>473</v>
      </c>
      <c r="Y501" t="s">
        <v>473</v>
      </c>
      <c r="Z501" t="s">
        <v>473</v>
      </c>
      <c r="AA501" t="s">
        <v>473</v>
      </c>
      <c r="AB501" t="s">
        <v>473</v>
      </c>
      <c r="AC501" s="10">
        <v>3</v>
      </c>
      <c r="AD501" s="10">
        <v>11</v>
      </c>
      <c r="AE501" t="s">
        <v>473</v>
      </c>
    </row>
    <row r="502" spans="1:31" x14ac:dyDescent="0.25">
      <c r="A502">
        <v>9135</v>
      </c>
      <c r="B502">
        <v>1950</v>
      </c>
      <c r="C502" t="s">
        <v>466</v>
      </c>
      <c r="D502" t="s">
        <v>31</v>
      </c>
      <c r="E502" t="str">
        <f>IF(OR(Table1[[#This Row],[marital_status]]="Married", Table1[[#This Row],[marital_status]]="Together"), "Partnered", "Single")</f>
        <v>Partnered</v>
      </c>
      <c r="F502" s="7">
        <v>27203</v>
      </c>
      <c r="G502" s="8">
        <v>1</v>
      </c>
      <c r="H502" s="8">
        <v>1</v>
      </c>
      <c r="I502" s="8">
        <f>Table1[[#This Row],[kids]]+Table1[[#This Row],[teens]]</f>
        <v>2</v>
      </c>
      <c r="J502" s="9">
        <v>41127</v>
      </c>
      <c r="K502" s="8">
        <v>92</v>
      </c>
      <c r="L502" s="6">
        <v>13</v>
      </c>
      <c r="M502" s="5">
        <v>2</v>
      </c>
      <c r="N502" s="5">
        <v>21</v>
      </c>
      <c r="O502" s="5">
        <v>4</v>
      </c>
      <c r="P502" s="5">
        <v>0</v>
      </c>
      <c r="Q502" s="5">
        <v>24</v>
      </c>
      <c r="R502" s="8">
        <v>2</v>
      </c>
      <c r="S502" s="8">
        <v>1</v>
      </c>
      <c r="T502" s="8">
        <v>1</v>
      </c>
      <c r="U502" s="8">
        <v>2</v>
      </c>
      <c r="V502" s="8">
        <v>8</v>
      </c>
      <c r="W502" t="s">
        <v>473</v>
      </c>
      <c r="X502" t="s">
        <v>473</v>
      </c>
      <c r="Y502" t="s">
        <v>473</v>
      </c>
      <c r="Z502" t="s">
        <v>473</v>
      </c>
      <c r="AA502" t="s">
        <v>473</v>
      </c>
      <c r="AB502" t="s">
        <v>473</v>
      </c>
      <c r="AC502" s="10">
        <v>3</v>
      </c>
      <c r="AD502" s="10">
        <v>11</v>
      </c>
      <c r="AE502" t="s">
        <v>473</v>
      </c>
    </row>
    <row r="503" spans="1:31" x14ac:dyDescent="0.25">
      <c r="A503">
        <v>10623</v>
      </c>
      <c r="B503">
        <v>1961</v>
      </c>
      <c r="C503" t="s">
        <v>36</v>
      </c>
      <c r="D503" t="s">
        <v>31</v>
      </c>
      <c r="E503" t="str">
        <f>IF(OR(Table1[[#This Row],[marital_status]]="Married", Table1[[#This Row],[marital_status]]="Together"), "Partnered", "Single")</f>
        <v>Partnered</v>
      </c>
      <c r="F503" s="7">
        <v>48330</v>
      </c>
      <c r="G503" s="8">
        <v>0</v>
      </c>
      <c r="H503" s="8">
        <v>1</v>
      </c>
      <c r="I503" s="8">
        <f>Table1[[#This Row],[kids]]+Table1[[#This Row],[teens]]</f>
        <v>1</v>
      </c>
      <c r="J503" s="9">
        <v>41593</v>
      </c>
      <c r="K503" s="8">
        <v>2</v>
      </c>
      <c r="L503" s="6">
        <v>28</v>
      </c>
      <c r="M503" s="5">
        <v>0</v>
      </c>
      <c r="N503" s="5">
        <v>4</v>
      </c>
      <c r="O503" s="5">
        <v>0</v>
      </c>
      <c r="P503" s="5">
        <v>0</v>
      </c>
      <c r="Q503" s="5">
        <v>0</v>
      </c>
      <c r="R503" s="8">
        <v>1</v>
      </c>
      <c r="S503" s="8">
        <v>1</v>
      </c>
      <c r="T503" s="8">
        <v>0</v>
      </c>
      <c r="U503" s="8">
        <v>3</v>
      </c>
      <c r="V503" s="8">
        <v>5</v>
      </c>
      <c r="W503" t="s">
        <v>473</v>
      </c>
      <c r="X503" t="s">
        <v>473</v>
      </c>
      <c r="Y503" t="s">
        <v>473</v>
      </c>
      <c r="Z503" t="s">
        <v>473</v>
      </c>
      <c r="AA503" t="s">
        <v>473</v>
      </c>
      <c r="AB503" t="s">
        <v>473</v>
      </c>
      <c r="AC503" s="10">
        <v>3</v>
      </c>
      <c r="AD503" s="10">
        <v>11</v>
      </c>
      <c r="AE503" t="s">
        <v>473</v>
      </c>
    </row>
    <row r="504" spans="1:31" x14ac:dyDescent="0.25">
      <c r="A504">
        <v>8151</v>
      </c>
      <c r="B504">
        <v>1990</v>
      </c>
      <c r="C504" t="s">
        <v>41</v>
      </c>
      <c r="D504" t="s">
        <v>34</v>
      </c>
      <c r="E504" t="str">
        <f>IF(OR(Table1[[#This Row],[marital_status]]="Married", Table1[[#This Row],[marital_status]]="Together"), "Partnered", "Single")</f>
        <v>Partnered</v>
      </c>
      <c r="F504" s="7">
        <v>24279</v>
      </c>
      <c r="G504" s="8">
        <v>0</v>
      </c>
      <c r="H504" s="8">
        <v>0</v>
      </c>
      <c r="I504" s="8">
        <f>Table1[[#This Row],[kids]]+Table1[[#This Row],[teens]]</f>
        <v>0</v>
      </c>
      <c r="J504" s="9">
        <v>41272</v>
      </c>
      <c r="K504" s="8">
        <v>6</v>
      </c>
      <c r="L504" s="6">
        <v>16</v>
      </c>
      <c r="M504" s="5">
        <v>36</v>
      </c>
      <c r="N504" s="5">
        <v>21</v>
      </c>
      <c r="O504" s="5">
        <v>20</v>
      </c>
      <c r="P504" s="5">
        <v>62</v>
      </c>
      <c r="Q504" s="5">
        <v>108</v>
      </c>
      <c r="R504" s="8">
        <v>1</v>
      </c>
      <c r="S504" s="8">
        <v>4</v>
      </c>
      <c r="T504" s="8">
        <v>1</v>
      </c>
      <c r="U504" s="8">
        <v>3</v>
      </c>
      <c r="V504" s="8">
        <v>8</v>
      </c>
      <c r="W504" t="s">
        <v>473</v>
      </c>
      <c r="X504" t="s">
        <v>473</v>
      </c>
      <c r="Y504" t="s">
        <v>473</v>
      </c>
      <c r="Z504" t="s">
        <v>473</v>
      </c>
      <c r="AA504" t="s">
        <v>473</v>
      </c>
      <c r="AB504" t="s">
        <v>473</v>
      </c>
      <c r="AC504" s="10">
        <v>3</v>
      </c>
      <c r="AD504" s="10">
        <v>11</v>
      </c>
      <c r="AE504" t="s">
        <v>473</v>
      </c>
    </row>
    <row r="505" spans="1:31" x14ac:dyDescent="0.25">
      <c r="A505">
        <v>5140</v>
      </c>
      <c r="B505">
        <v>1985</v>
      </c>
      <c r="C505" t="s">
        <v>33</v>
      </c>
      <c r="D505" t="s">
        <v>34</v>
      </c>
      <c r="E505" t="str">
        <f>IF(OR(Table1[[#This Row],[marital_status]]="Married", Table1[[#This Row],[marital_status]]="Together"), "Partnered", "Single")</f>
        <v>Partnered</v>
      </c>
      <c r="F505" s="7">
        <v>64355</v>
      </c>
      <c r="G505" s="8">
        <v>1</v>
      </c>
      <c r="H505" s="8">
        <v>0</v>
      </c>
      <c r="I505" s="8">
        <f>Table1[[#This Row],[kids]]+Table1[[#This Row],[teens]]</f>
        <v>1</v>
      </c>
      <c r="J505" s="9">
        <v>41145</v>
      </c>
      <c r="K505" s="8">
        <v>66</v>
      </c>
      <c r="L505" s="6">
        <v>1047</v>
      </c>
      <c r="M505" s="5">
        <v>0</v>
      </c>
      <c r="N505" s="5">
        <v>140</v>
      </c>
      <c r="O505" s="5">
        <v>67</v>
      </c>
      <c r="P505" s="5">
        <v>38</v>
      </c>
      <c r="Q505" s="5">
        <v>153</v>
      </c>
      <c r="R505" s="8">
        <v>2</v>
      </c>
      <c r="S505" s="8">
        <v>4</v>
      </c>
      <c r="T505" s="8">
        <v>3</v>
      </c>
      <c r="U505" s="8">
        <v>12</v>
      </c>
      <c r="V505" s="8">
        <v>8</v>
      </c>
      <c r="W505" t="s">
        <v>473</v>
      </c>
      <c r="X505" t="s">
        <v>473</v>
      </c>
      <c r="Y505" t="s">
        <v>473</v>
      </c>
      <c r="Z505" t="s">
        <v>473</v>
      </c>
      <c r="AA505" t="s">
        <v>473</v>
      </c>
      <c r="AB505" t="s">
        <v>473</v>
      </c>
      <c r="AC505" s="10">
        <v>3</v>
      </c>
      <c r="AD505" s="10">
        <v>11</v>
      </c>
      <c r="AE505" t="s">
        <v>473</v>
      </c>
    </row>
    <row r="506" spans="1:31" x14ac:dyDescent="0.25">
      <c r="A506">
        <v>10160</v>
      </c>
      <c r="B506">
        <v>1956</v>
      </c>
      <c r="C506" t="s">
        <v>36</v>
      </c>
      <c r="D506" t="s">
        <v>31</v>
      </c>
      <c r="E506" t="str">
        <f>IF(OR(Table1[[#This Row],[marital_status]]="Married", Table1[[#This Row],[marital_status]]="Together"), "Partnered", "Single")</f>
        <v>Partnered</v>
      </c>
      <c r="F506" s="7">
        <v>50943</v>
      </c>
      <c r="G506" s="8">
        <v>0</v>
      </c>
      <c r="H506" s="8">
        <v>1</v>
      </c>
      <c r="I506" s="8">
        <f>Table1[[#This Row],[kids]]+Table1[[#This Row],[teens]]</f>
        <v>1</v>
      </c>
      <c r="J506" s="9">
        <v>41446</v>
      </c>
      <c r="K506" s="8">
        <v>49</v>
      </c>
      <c r="L506" s="6">
        <v>31</v>
      </c>
      <c r="M506" s="5">
        <v>0</v>
      </c>
      <c r="N506" s="5">
        <v>7</v>
      </c>
      <c r="O506" s="5">
        <v>2</v>
      </c>
      <c r="P506" s="5">
        <v>0</v>
      </c>
      <c r="Q506" s="5">
        <v>6</v>
      </c>
      <c r="R506" s="8">
        <v>1</v>
      </c>
      <c r="S506" s="8">
        <v>1</v>
      </c>
      <c r="T506" s="8">
        <v>0</v>
      </c>
      <c r="U506" s="8">
        <v>3</v>
      </c>
      <c r="V506" s="8">
        <v>5</v>
      </c>
      <c r="W506" t="s">
        <v>473</v>
      </c>
      <c r="X506" t="s">
        <v>473</v>
      </c>
      <c r="Y506" t="s">
        <v>473</v>
      </c>
      <c r="Z506" t="s">
        <v>473</v>
      </c>
      <c r="AA506" t="s">
        <v>473</v>
      </c>
      <c r="AB506" t="s">
        <v>473</v>
      </c>
      <c r="AC506" s="10">
        <v>3</v>
      </c>
      <c r="AD506" s="10">
        <v>11</v>
      </c>
      <c r="AE506" t="s">
        <v>473</v>
      </c>
    </row>
    <row r="507" spans="1:31" x14ac:dyDescent="0.25">
      <c r="A507">
        <v>4945</v>
      </c>
      <c r="B507">
        <v>1953</v>
      </c>
      <c r="C507" t="s">
        <v>466</v>
      </c>
      <c r="D507" t="s">
        <v>57</v>
      </c>
      <c r="E507" t="str">
        <f>IF(OR(Table1[[#This Row],[marital_status]]="Married", Table1[[#This Row],[marital_status]]="Together"), "Partnered", "Single")</f>
        <v>Single</v>
      </c>
      <c r="F507" s="7">
        <v>53653</v>
      </c>
      <c r="G507" s="8">
        <v>0</v>
      </c>
      <c r="H507" s="8">
        <v>0</v>
      </c>
      <c r="I507" s="8">
        <f>Table1[[#This Row],[kids]]+Table1[[#This Row],[teens]]</f>
        <v>0</v>
      </c>
      <c r="J507" s="9">
        <v>41220</v>
      </c>
      <c r="K507" s="8">
        <v>29</v>
      </c>
      <c r="L507" s="6">
        <v>815</v>
      </c>
      <c r="M507" s="5">
        <v>10</v>
      </c>
      <c r="N507" s="5">
        <v>239</v>
      </c>
      <c r="O507" s="5">
        <v>28</v>
      </c>
      <c r="P507" s="5">
        <v>10</v>
      </c>
      <c r="Q507" s="5">
        <v>108</v>
      </c>
      <c r="R507" s="8">
        <v>2</v>
      </c>
      <c r="S507" s="8">
        <v>10</v>
      </c>
      <c r="T507" s="8">
        <v>4</v>
      </c>
      <c r="U507" s="8">
        <v>12</v>
      </c>
      <c r="V507" s="8">
        <v>6</v>
      </c>
      <c r="W507" t="s">
        <v>473</v>
      </c>
      <c r="X507" t="s">
        <v>473</v>
      </c>
      <c r="Y507" t="s">
        <v>473</v>
      </c>
      <c r="Z507" t="s">
        <v>473</v>
      </c>
      <c r="AA507" t="s">
        <v>473</v>
      </c>
      <c r="AB507" t="s">
        <v>473</v>
      </c>
      <c r="AC507" s="10">
        <v>3</v>
      </c>
      <c r="AD507" s="10">
        <v>11</v>
      </c>
      <c r="AE507" t="s">
        <v>473</v>
      </c>
    </row>
    <row r="508" spans="1:31" x14ac:dyDescent="0.25">
      <c r="A508">
        <v>10584</v>
      </c>
      <c r="B508">
        <v>1976</v>
      </c>
      <c r="C508" t="s">
        <v>466</v>
      </c>
      <c r="D508" t="s">
        <v>34</v>
      </c>
      <c r="E508" t="str">
        <f>IF(OR(Table1[[#This Row],[marital_status]]="Married", Table1[[#This Row],[marital_status]]="Together"), "Partnered", "Single")</f>
        <v>Partnered</v>
      </c>
      <c r="F508" s="7">
        <v>65665</v>
      </c>
      <c r="G508" s="8">
        <v>0</v>
      </c>
      <c r="H508" s="8">
        <v>1</v>
      </c>
      <c r="I508" s="8">
        <f>Table1[[#This Row],[kids]]+Table1[[#This Row],[teens]]</f>
        <v>1</v>
      </c>
      <c r="J508" s="9">
        <v>41610</v>
      </c>
      <c r="K508" s="8">
        <v>77</v>
      </c>
      <c r="L508" s="6">
        <v>225</v>
      </c>
      <c r="M508" s="5">
        <v>162</v>
      </c>
      <c r="N508" s="5">
        <v>387</v>
      </c>
      <c r="O508" s="5">
        <v>106</v>
      </c>
      <c r="P508" s="5">
        <v>36</v>
      </c>
      <c r="Q508" s="5">
        <v>29</v>
      </c>
      <c r="R508" s="8">
        <v>1</v>
      </c>
      <c r="S508" s="8">
        <v>5</v>
      </c>
      <c r="T508" s="8">
        <v>10</v>
      </c>
      <c r="U508" s="8">
        <v>8</v>
      </c>
      <c r="V508" s="8">
        <v>3</v>
      </c>
      <c r="W508" t="s">
        <v>473</v>
      </c>
      <c r="X508" t="s">
        <v>473</v>
      </c>
      <c r="Y508" t="s">
        <v>473</v>
      </c>
      <c r="Z508" t="s">
        <v>473</v>
      </c>
      <c r="AA508" t="s">
        <v>473</v>
      </c>
      <c r="AB508" t="s">
        <v>473</v>
      </c>
      <c r="AC508" s="10">
        <v>3</v>
      </c>
      <c r="AD508" s="10">
        <v>11</v>
      </c>
      <c r="AE508" t="s">
        <v>473</v>
      </c>
    </row>
    <row r="509" spans="1:31" x14ac:dyDescent="0.25">
      <c r="A509">
        <v>6071</v>
      </c>
      <c r="B509">
        <v>1989</v>
      </c>
      <c r="C509" t="s">
        <v>466</v>
      </c>
      <c r="D509" t="s">
        <v>30</v>
      </c>
      <c r="E509" t="str">
        <f>IF(OR(Table1[[#This Row],[marital_status]]="Married", Table1[[#This Row],[marital_status]]="Together"), "Partnered", "Single")</f>
        <v>Single</v>
      </c>
      <c r="F509" s="7">
        <v>81217</v>
      </c>
      <c r="G509" s="8">
        <v>0</v>
      </c>
      <c r="H509" s="8">
        <v>0</v>
      </c>
      <c r="I509" s="8">
        <f>Table1[[#This Row],[kids]]+Table1[[#This Row],[teens]]</f>
        <v>0</v>
      </c>
      <c r="J509" s="9">
        <v>41474</v>
      </c>
      <c r="K509" s="8">
        <v>77</v>
      </c>
      <c r="L509" s="6">
        <v>493</v>
      </c>
      <c r="M509" s="5">
        <v>70</v>
      </c>
      <c r="N509" s="5">
        <v>324</v>
      </c>
      <c r="O509" s="5">
        <v>146</v>
      </c>
      <c r="P509" s="5">
        <v>40</v>
      </c>
      <c r="Q509" s="5">
        <v>84</v>
      </c>
      <c r="R509" s="8">
        <v>1</v>
      </c>
      <c r="S509" s="8">
        <v>3</v>
      </c>
      <c r="T509" s="8">
        <v>7</v>
      </c>
      <c r="U509" s="8">
        <v>11</v>
      </c>
      <c r="V509" s="8">
        <v>1</v>
      </c>
      <c r="W509" t="s">
        <v>473</v>
      </c>
      <c r="X509" t="s">
        <v>473</v>
      </c>
      <c r="Y509" t="s">
        <v>473</v>
      </c>
      <c r="Z509" t="s">
        <v>473</v>
      </c>
      <c r="AA509" t="s">
        <v>473</v>
      </c>
      <c r="AB509" t="s">
        <v>473</v>
      </c>
      <c r="AC509" s="10">
        <v>3</v>
      </c>
      <c r="AD509" s="10">
        <v>11</v>
      </c>
      <c r="AE509" t="s">
        <v>473</v>
      </c>
    </row>
    <row r="510" spans="1:31" x14ac:dyDescent="0.25">
      <c r="A510">
        <v>3386</v>
      </c>
      <c r="B510">
        <v>1992</v>
      </c>
      <c r="C510" t="s">
        <v>466</v>
      </c>
      <c r="D510" t="s">
        <v>34</v>
      </c>
      <c r="E510" t="str">
        <f>IF(OR(Table1[[#This Row],[marital_status]]="Married", Table1[[#This Row],[marital_status]]="Together"), "Partnered", "Single")</f>
        <v>Partnered</v>
      </c>
      <c r="F510" s="7">
        <v>34935</v>
      </c>
      <c r="G510" s="8">
        <v>0</v>
      </c>
      <c r="H510" s="8">
        <v>0</v>
      </c>
      <c r="I510" s="8">
        <f>Table1[[#This Row],[kids]]+Table1[[#This Row],[teens]]</f>
        <v>0</v>
      </c>
      <c r="J510" s="9">
        <v>41446</v>
      </c>
      <c r="K510" s="8">
        <v>71</v>
      </c>
      <c r="L510" s="6">
        <v>34</v>
      </c>
      <c r="M510" s="5">
        <v>4</v>
      </c>
      <c r="N510" s="5">
        <v>66</v>
      </c>
      <c r="O510" s="5">
        <v>3</v>
      </c>
      <c r="P510" s="5">
        <v>10</v>
      </c>
      <c r="Q510" s="5">
        <v>20</v>
      </c>
      <c r="R510" s="8">
        <v>1</v>
      </c>
      <c r="S510" s="8">
        <v>2</v>
      </c>
      <c r="T510" s="8">
        <v>1</v>
      </c>
      <c r="U510" s="8">
        <v>4</v>
      </c>
      <c r="V510" s="8">
        <v>7</v>
      </c>
      <c r="W510" t="s">
        <v>473</v>
      </c>
      <c r="X510" t="s">
        <v>473</v>
      </c>
      <c r="Y510" t="s">
        <v>473</v>
      </c>
      <c r="Z510" t="s">
        <v>473</v>
      </c>
      <c r="AA510" t="s">
        <v>473</v>
      </c>
      <c r="AB510" t="s">
        <v>473</v>
      </c>
      <c r="AC510" s="10">
        <v>3</v>
      </c>
      <c r="AD510" s="10">
        <v>11</v>
      </c>
      <c r="AE510" t="s">
        <v>473</v>
      </c>
    </row>
    <row r="511" spans="1:31" x14ac:dyDescent="0.25">
      <c r="A511">
        <v>8939</v>
      </c>
      <c r="B511">
        <v>1959</v>
      </c>
      <c r="C511" t="s">
        <v>466</v>
      </c>
      <c r="D511" t="s">
        <v>37</v>
      </c>
      <c r="E511" t="str">
        <f>IF(OR(Table1[[#This Row],[marital_status]]="Married", Table1[[#This Row],[marital_status]]="Together"), "Partnered", "Single")</f>
        <v>Single</v>
      </c>
      <c r="F511" s="7">
        <v>61250</v>
      </c>
      <c r="G511" s="8">
        <v>0</v>
      </c>
      <c r="H511" s="8">
        <v>1</v>
      </c>
      <c r="I511" s="8">
        <f>Table1[[#This Row],[kids]]+Table1[[#This Row],[teens]]</f>
        <v>1</v>
      </c>
      <c r="J511" s="9">
        <v>41259</v>
      </c>
      <c r="K511" s="8">
        <v>49</v>
      </c>
      <c r="L511" s="6">
        <v>382</v>
      </c>
      <c r="M511" s="5">
        <v>138</v>
      </c>
      <c r="N511" s="5">
        <v>65</v>
      </c>
      <c r="O511" s="5">
        <v>60</v>
      </c>
      <c r="P511" s="5">
        <v>26</v>
      </c>
      <c r="Q511" s="5">
        <v>59</v>
      </c>
      <c r="R511" s="8">
        <v>6</v>
      </c>
      <c r="S511" s="8">
        <v>5</v>
      </c>
      <c r="T511" s="8">
        <v>2</v>
      </c>
      <c r="U511" s="8">
        <v>12</v>
      </c>
      <c r="V511" s="8">
        <v>5</v>
      </c>
      <c r="W511" t="s">
        <v>473</v>
      </c>
      <c r="X511" t="s">
        <v>473</v>
      </c>
      <c r="Y511" t="s">
        <v>473</v>
      </c>
      <c r="Z511" t="s">
        <v>473</v>
      </c>
      <c r="AA511" t="s">
        <v>473</v>
      </c>
      <c r="AB511" t="s">
        <v>473</v>
      </c>
      <c r="AC511" s="10">
        <v>3</v>
      </c>
      <c r="AD511" s="10">
        <v>11</v>
      </c>
      <c r="AE511" t="s">
        <v>473</v>
      </c>
    </row>
    <row r="512" spans="1:31" x14ac:dyDescent="0.25">
      <c r="A512">
        <v>9925</v>
      </c>
      <c r="B512">
        <v>1981</v>
      </c>
      <c r="C512" t="s">
        <v>33</v>
      </c>
      <c r="D512" t="s">
        <v>31</v>
      </c>
      <c r="E512" t="str">
        <f>IF(OR(Table1[[#This Row],[marital_status]]="Married", Table1[[#This Row],[marital_status]]="Together"), "Partnered", "Single")</f>
        <v>Partnered</v>
      </c>
      <c r="F512" s="7">
        <v>39665</v>
      </c>
      <c r="G512" s="8">
        <v>1</v>
      </c>
      <c r="H512" s="8">
        <v>0</v>
      </c>
      <c r="I512" s="8">
        <f>Table1[[#This Row],[kids]]+Table1[[#This Row],[teens]]</f>
        <v>1</v>
      </c>
      <c r="J512" s="9">
        <v>41419</v>
      </c>
      <c r="K512" s="8">
        <v>97</v>
      </c>
      <c r="L512" s="6">
        <v>127</v>
      </c>
      <c r="M512" s="5">
        <v>1</v>
      </c>
      <c r="N512" s="5">
        <v>56</v>
      </c>
      <c r="O512" s="5">
        <v>0</v>
      </c>
      <c r="P512" s="5">
        <v>1</v>
      </c>
      <c r="Q512" s="5">
        <v>31</v>
      </c>
      <c r="R512" s="8">
        <v>3</v>
      </c>
      <c r="S512" s="8">
        <v>4</v>
      </c>
      <c r="T512" s="8">
        <v>2</v>
      </c>
      <c r="U512" s="8">
        <v>3</v>
      </c>
      <c r="V512" s="8">
        <v>7</v>
      </c>
      <c r="W512" t="s">
        <v>474</v>
      </c>
      <c r="X512" t="s">
        <v>473</v>
      </c>
      <c r="Y512" t="s">
        <v>473</v>
      </c>
      <c r="Z512" t="s">
        <v>473</v>
      </c>
      <c r="AA512" t="s">
        <v>473</v>
      </c>
      <c r="AB512" t="s">
        <v>473</v>
      </c>
      <c r="AC512" s="10">
        <v>3</v>
      </c>
      <c r="AD512" s="10">
        <v>11</v>
      </c>
      <c r="AE512" t="s">
        <v>473</v>
      </c>
    </row>
    <row r="513" spans="1:31" x14ac:dyDescent="0.25">
      <c r="A513">
        <v>4320</v>
      </c>
      <c r="B513">
        <v>1979</v>
      </c>
      <c r="C513" t="s">
        <v>466</v>
      </c>
      <c r="D513" t="s">
        <v>30</v>
      </c>
      <c r="E513" t="str">
        <f>IF(OR(Table1[[#This Row],[marital_status]]="Married", Table1[[#This Row],[marital_status]]="Together"), "Partnered", "Single")</f>
        <v>Single</v>
      </c>
      <c r="F513" s="7">
        <v>60152</v>
      </c>
      <c r="G513" s="8">
        <v>0</v>
      </c>
      <c r="H513" s="8">
        <v>1</v>
      </c>
      <c r="I513" s="8">
        <f>Table1[[#This Row],[kids]]+Table1[[#This Row],[teens]]</f>
        <v>1</v>
      </c>
      <c r="J513" s="9">
        <v>41361</v>
      </c>
      <c r="K513" s="8">
        <v>6</v>
      </c>
      <c r="L513" s="6">
        <v>325</v>
      </c>
      <c r="M513" s="5">
        <v>83</v>
      </c>
      <c r="N513" s="5">
        <v>300</v>
      </c>
      <c r="O513" s="5">
        <v>86</v>
      </c>
      <c r="P513" s="5">
        <v>58</v>
      </c>
      <c r="Q513" s="5">
        <v>91</v>
      </c>
      <c r="R513" s="8">
        <v>1</v>
      </c>
      <c r="S513" s="8">
        <v>6</v>
      </c>
      <c r="T513" s="8">
        <v>4</v>
      </c>
      <c r="U513" s="8">
        <v>12</v>
      </c>
      <c r="V513" s="8">
        <v>3</v>
      </c>
      <c r="W513" t="s">
        <v>473</v>
      </c>
      <c r="X513" t="s">
        <v>473</v>
      </c>
      <c r="Y513" t="s">
        <v>473</v>
      </c>
      <c r="Z513" t="s">
        <v>473</v>
      </c>
      <c r="AA513" t="s">
        <v>473</v>
      </c>
      <c r="AB513" t="s">
        <v>473</v>
      </c>
      <c r="AC513" s="10">
        <v>3</v>
      </c>
      <c r="AD513" s="10">
        <v>11</v>
      </c>
      <c r="AE513" t="s">
        <v>473</v>
      </c>
    </row>
    <row r="514" spans="1:31" x14ac:dyDescent="0.25">
      <c r="A514">
        <v>5389</v>
      </c>
      <c r="B514">
        <v>1964</v>
      </c>
      <c r="C514" t="s">
        <v>466</v>
      </c>
      <c r="D514" t="s">
        <v>34</v>
      </c>
      <c r="E514" t="str">
        <f>IF(OR(Table1[[#This Row],[marital_status]]="Married", Table1[[#This Row],[marital_status]]="Together"), "Partnered", "Single")</f>
        <v>Partnered</v>
      </c>
      <c r="F514" s="7">
        <v>48920</v>
      </c>
      <c r="G514" s="8">
        <v>0</v>
      </c>
      <c r="H514" s="8">
        <v>2</v>
      </c>
      <c r="I514" s="8">
        <f>Table1[[#This Row],[kids]]+Table1[[#This Row],[teens]]</f>
        <v>2</v>
      </c>
      <c r="J514" s="9">
        <v>41567</v>
      </c>
      <c r="K514" s="8">
        <v>93</v>
      </c>
      <c r="L514" s="6">
        <v>238</v>
      </c>
      <c r="M514" s="5">
        <v>17</v>
      </c>
      <c r="N514" s="5">
        <v>68</v>
      </c>
      <c r="O514" s="5">
        <v>8</v>
      </c>
      <c r="P514" s="5">
        <v>10</v>
      </c>
      <c r="Q514" s="5">
        <v>6</v>
      </c>
      <c r="R514" s="8">
        <v>3</v>
      </c>
      <c r="S514" s="8">
        <v>6</v>
      </c>
      <c r="T514" s="8">
        <v>2</v>
      </c>
      <c r="U514" s="8">
        <v>5</v>
      </c>
      <c r="V514" s="8">
        <v>7</v>
      </c>
      <c r="W514" t="s">
        <v>473</v>
      </c>
      <c r="X514" t="s">
        <v>474</v>
      </c>
      <c r="Y514" t="s">
        <v>473</v>
      </c>
      <c r="Z514" t="s">
        <v>473</v>
      </c>
      <c r="AA514" t="s">
        <v>473</v>
      </c>
      <c r="AB514" t="s">
        <v>473</v>
      </c>
      <c r="AC514" s="10">
        <v>3</v>
      </c>
      <c r="AD514" s="10">
        <v>11</v>
      </c>
      <c r="AE514" t="s">
        <v>473</v>
      </c>
    </row>
    <row r="515" spans="1:31" x14ac:dyDescent="0.25">
      <c r="A515">
        <v>6036</v>
      </c>
      <c r="B515">
        <v>1959</v>
      </c>
      <c r="C515" t="s">
        <v>36</v>
      </c>
      <c r="D515" t="s">
        <v>31</v>
      </c>
      <c r="E515" t="str">
        <f>IF(OR(Table1[[#This Row],[marital_status]]="Married", Table1[[#This Row],[marital_status]]="Together"), "Partnered", "Single")</f>
        <v>Partnered</v>
      </c>
      <c r="F515" s="7">
        <v>89120</v>
      </c>
      <c r="G515" s="8">
        <v>0</v>
      </c>
      <c r="H515" s="8">
        <v>0</v>
      </c>
      <c r="I515" s="8">
        <f>Table1[[#This Row],[kids]]+Table1[[#This Row],[teens]]</f>
        <v>0</v>
      </c>
      <c r="J515" s="9">
        <v>41715</v>
      </c>
      <c r="K515" s="8">
        <v>78</v>
      </c>
      <c r="L515" s="6">
        <v>1168</v>
      </c>
      <c r="M515" s="5">
        <v>92</v>
      </c>
      <c r="N515" s="5">
        <v>408</v>
      </c>
      <c r="O515" s="5">
        <v>72</v>
      </c>
      <c r="P515" s="5">
        <v>129</v>
      </c>
      <c r="Q515" s="5">
        <v>55</v>
      </c>
      <c r="R515" s="8">
        <v>1</v>
      </c>
      <c r="S515" s="8">
        <v>5</v>
      </c>
      <c r="T515" s="8">
        <v>6</v>
      </c>
      <c r="U515" s="8">
        <v>7</v>
      </c>
      <c r="V515" s="8">
        <v>1</v>
      </c>
      <c r="W515" t="s">
        <v>473</v>
      </c>
      <c r="X515" t="s">
        <v>473</v>
      </c>
      <c r="Y515" t="s">
        <v>474</v>
      </c>
      <c r="Z515" t="s">
        <v>473</v>
      </c>
      <c r="AA515" t="s">
        <v>473</v>
      </c>
      <c r="AB515" t="s">
        <v>473</v>
      </c>
      <c r="AC515" s="10">
        <v>3</v>
      </c>
      <c r="AD515" s="10">
        <v>11</v>
      </c>
      <c r="AE515" t="s">
        <v>473</v>
      </c>
    </row>
    <row r="516" spans="1:31" x14ac:dyDescent="0.25">
      <c r="A516">
        <v>182</v>
      </c>
      <c r="B516">
        <v>1946</v>
      </c>
      <c r="C516" t="s">
        <v>33</v>
      </c>
      <c r="D516" t="s">
        <v>31</v>
      </c>
      <c r="E516" t="str">
        <f>IF(OR(Table1[[#This Row],[marital_status]]="Married", Table1[[#This Row],[marital_status]]="Together"), "Partnered", "Single")</f>
        <v>Partnered</v>
      </c>
      <c r="F516" s="7">
        <v>44124</v>
      </c>
      <c r="G516" s="8">
        <v>0</v>
      </c>
      <c r="H516" s="8">
        <v>1</v>
      </c>
      <c r="I516" s="8">
        <f>Table1[[#This Row],[kids]]+Table1[[#This Row],[teens]]</f>
        <v>1</v>
      </c>
      <c r="J516" s="9">
        <v>41405</v>
      </c>
      <c r="K516" s="8">
        <v>62</v>
      </c>
      <c r="L516" s="6">
        <v>284</v>
      </c>
      <c r="M516" s="5">
        <v>0</v>
      </c>
      <c r="N516" s="5">
        <v>55</v>
      </c>
      <c r="O516" s="5">
        <v>0</v>
      </c>
      <c r="P516" s="5">
        <v>6</v>
      </c>
      <c r="Q516" s="5">
        <v>52</v>
      </c>
      <c r="R516" s="8">
        <v>4</v>
      </c>
      <c r="S516" s="8">
        <v>6</v>
      </c>
      <c r="T516" s="8">
        <v>2</v>
      </c>
      <c r="U516" s="8">
        <v>5</v>
      </c>
      <c r="V516" s="8">
        <v>8</v>
      </c>
      <c r="W516" t="s">
        <v>473</v>
      </c>
      <c r="X516" t="s">
        <v>473</v>
      </c>
      <c r="Y516" t="s">
        <v>473</v>
      </c>
      <c r="Z516" t="s">
        <v>473</v>
      </c>
      <c r="AA516" t="s">
        <v>473</v>
      </c>
      <c r="AB516" t="s">
        <v>473</v>
      </c>
      <c r="AC516" s="10">
        <v>3</v>
      </c>
      <c r="AD516" s="10">
        <v>11</v>
      </c>
      <c r="AE516" t="s">
        <v>473</v>
      </c>
    </row>
    <row r="517" spans="1:31" x14ac:dyDescent="0.25">
      <c r="A517">
        <v>203</v>
      </c>
      <c r="B517">
        <v>1975</v>
      </c>
      <c r="C517" t="s">
        <v>36</v>
      </c>
      <c r="D517" t="s">
        <v>30</v>
      </c>
      <c r="E517" t="str">
        <f>IF(OR(Table1[[#This Row],[marital_status]]="Married", Table1[[#This Row],[marital_status]]="Together"), "Partnered", "Single")</f>
        <v>Single</v>
      </c>
      <c r="F517" s="7">
        <v>81169</v>
      </c>
      <c r="G517" s="8">
        <v>0</v>
      </c>
      <c r="H517" s="8">
        <v>0</v>
      </c>
      <c r="I517" s="8">
        <f>Table1[[#This Row],[kids]]+Table1[[#This Row],[teens]]</f>
        <v>0</v>
      </c>
      <c r="J517" s="9">
        <v>41378</v>
      </c>
      <c r="K517" s="8">
        <v>47</v>
      </c>
      <c r="L517" s="6">
        <v>1288</v>
      </c>
      <c r="M517" s="5">
        <v>20</v>
      </c>
      <c r="N517" s="5">
        <v>613</v>
      </c>
      <c r="O517" s="5">
        <v>80</v>
      </c>
      <c r="P517" s="5">
        <v>61</v>
      </c>
      <c r="Q517" s="5">
        <v>27</v>
      </c>
      <c r="R517" s="8">
        <v>1</v>
      </c>
      <c r="S517" s="8">
        <v>5</v>
      </c>
      <c r="T517" s="8">
        <v>7</v>
      </c>
      <c r="U517" s="8">
        <v>9</v>
      </c>
      <c r="V517" s="8">
        <v>2</v>
      </c>
      <c r="W517" t="s">
        <v>473</v>
      </c>
      <c r="X517" t="s">
        <v>473</v>
      </c>
      <c r="Y517" t="s">
        <v>473</v>
      </c>
      <c r="Z517" t="s">
        <v>473</v>
      </c>
      <c r="AA517" t="s">
        <v>473</v>
      </c>
      <c r="AB517" t="s">
        <v>473</v>
      </c>
      <c r="AC517" s="10">
        <v>3</v>
      </c>
      <c r="AD517" s="10">
        <v>11</v>
      </c>
      <c r="AE517" t="s">
        <v>473</v>
      </c>
    </row>
    <row r="518" spans="1:31" x14ac:dyDescent="0.25">
      <c r="A518">
        <v>11025</v>
      </c>
      <c r="B518">
        <v>1961</v>
      </c>
      <c r="C518" t="s">
        <v>466</v>
      </c>
      <c r="D518" t="s">
        <v>34</v>
      </c>
      <c r="E518" t="str">
        <f>IF(OR(Table1[[#This Row],[marital_status]]="Married", Table1[[#This Row],[marital_status]]="Together"), "Partnered", "Single")</f>
        <v>Partnered</v>
      </c>
      <c r="F518" s="7">
        <v>36443</v>
      </c>
      <c r="G518" s="8">
        <v>1</v>
      </c>
      <c r="H518" s="8">
        <v>1</v>
      </c>
      <c r="I518" s="8">
        <f>Table1[[#This Row],[kids]]+Table1[[#This Row],[teens]]</f>
        <v>2</v>
      </c>
      <c r="J518" s="9">
        <v>41308</v>
      </c>
      <c r="K518" s="8">
        <v>9</v>
      </c>
      <c r="L518" s="6">
        <v>65</v>
      </c>
      <c r="M518" s="5">
        <v>0</v>
      </c>
      <c r="N518" s="5">
        <v>46</v>
      </c>
      <c r="O518" s="5">
        <v>4</v>
      </c>
      <c r="P518" s="5">
        <v>3</v>
      </c>
      <c r="Q518" s="5">
        <v>20</v>
      </c>
      <c r="R518" s="8">
        <v>4</v>
      </c>
      <c r="S518" s="8">
        <v>3</v>
      </c>
      <c r="T518" s="8">
        <v>1</v>
      </c>
      <c r="U518" s="8">
        <v>3</v>
      </c>
      <c r="V518" s="8">
        <v>8</v>
      </c>
      <c r="W518" t="s">
        <v>473</v>
      </c>
      <c r="X518" t="s">
        <v>473</v>
      </c>
      <c r="Y518" t="s">
        <v>473</v>
      </c>
      <c r="Z518" t="s">
        <v>473</v>
      </c>
      <c r="AA518" t="s">
        <v>473</v>
      </c>
      <c r="AB518" t="s">
        <v>473</v>
      </c>
      <c r="AC518" s="10">
        <v>3</v>
      </c>
      <c r="AD518" s="10">
        <v>11</v>
      </c>
      <c r="AE518" t="s">
        <v>473</v>
      </c>
    </row>
    <row r="519" spans="1:31" x14ac:dyDescent="0.25">
      <c r="A519">
        <v>10203</v>
      </c>
      <c r="B519">
        <v>1990</v>
      </c>
      <c r="C519" t="s">
        <v>466</v>
      </c>
      <c r="D519" t="s">
        <v>30</v>
      </c>
      <c r="E519" t="str">
        <f>IF(OR(Table1[[#This Row],[marital_status]]="Married", Table1[[#This Row],[marital_status]]="Together"), "Partnered", "Single")</f>
        <v>Single</v>
      </c>
      <c r="F519" s="7">
        <v>26095</v>
      </c>
      <c r="G519" s="8">
        <v>1</v>
      </c>
      <c r="H519" s="8">
        <v>0</v>
      </c>
      <c r="I519" s="8">
        <f>Table1[[#This Row],[kids]]+Table1[[#This Row],[teens]]</f>
        <v>1</v>
      </c>
      <c r="J519" s="9">
        <v>41455</v>
      </c>
      <c r="K519" s="8">
        <v>77</v>
      </c>
      <c r="L519" s="6">
        <v>11</v>
      </c>
      <c r="M519" s="5">
        <v>7</v>
      </c>
      <c r="N519" s="5">
        <v>9</v>
      </c>
      <c r="O519" s="5">
        <v>3</v>
      </c>
      <c r="P519" s="5">
        <v>1</v>
      </c>
      <c r="Q519" s="5">
        <v>11</v>
      </c>
      <c r="R519" s="8">
        <v>1</v>
      </c>
      <c r="S519" s="8">
        <v>1</v>
      </c>
      <c r="T519" s="8">
        <v>0</v>
      </c>
      <c r="U519" s="8">
        <v>3</v>
      </c>
      <c r="V519" s="8">
        <v>7</v>
      </c>
      <c r="W519" t="s">
        <v>473</v>
      </c>
      <c r="X519" t="s">
        <v>473</v>
      </c>
      <c r="Y519" t="s">
        <v>473</v>
      </c>
      <c r="Z519" t="s">
        <v>473</v>
      </c>
      <c r="AA519" t="s">
        <v>473</v>
      </c>
      <c r="AB519" t="s">
        <v>473</v>
      </c>
      <c r="AC519" s="10">
        <v>3</v>
      </c>
      <c r="AD519" s="10">
        <v>11</v>
      </c>
      <c r="AE519" t="s">
        <v>473</v>
      </c>
    </row>
    <row r="520" spans="1:31" x14ac:dyDescent="0.25">
      <c r="A520">
        <v>4607</v>
      </c>
      <c r="B520">
        <v>1959</v>
      </c>
      <c r="C520" t="s">
        <v>466</v>
      </c>
      <c r="D520" t="s">
        <v>31</v>
      </c>
      <c r="E520" t="str">
        <f>IF(OR(Table1[[#This Row],[marital_status]]="Married", Table1[[#This Row],[marital_status]]="Together"), "Partnered", "Single")</f>
        <v>Partnered</v>
      </c>
      <c r="F520" s="7">
        <v>71367</v>
      </c>
      <c r="G520" s="8">
        <v>0</v>
      </c>
      <c r="H520" s="8">
        <v>0</v>
      </c>
      <c r="I520" s="8">
        <f>Table1[[#This Row],[kids]]+Table1[[#This Row],[teens]]</f>
        <v>0</v>
      </c>
      <c r="J520" s="9">
        <v>41509</v>
      </c>
      <c r="K520" s="8">
        <v>24</v>
      </c>
      <c r="L520" s="6">
        <v>227</v>
      </c>
      <c r="M520" s="5">
        <v>23</v>
      </c>
      <c r="N520" s="5">
        <v>389</v>
      </c>
      <c r="O520" s="5">
        <v>42</v>
      </c>
      <c r="P520" s="5">
        <v>21</v>
      </c>
      <c r="Q520" s="5">
        <v>75</v>
      </c>
      <c r="R520" s="8">
        <v>1</v>
      </c>
      <c r="S520" s="8">
        <v>4</v>
      </c>
      <c r="T520" s="8">
        <v>5</v>
      </c>
      <c r="U520" s="8">
        <v>7</v>
      </c>
      <c r="V520" s="8">
        <v>2</v>
      </c>
      <c r="W520" t="s">
        <v>473</v>
      </c>
      <c r="X520" t="s">
        <v>473</v>
      </c>
      <c r="Y520" t="s">
        <v>473</v>
      </c>
      <c r="Z520" t="s">
        <v>473</v>
      </c>
      <c r="AA520" t="s">
        <v>473</v>
      </c>
      <c r="AB520" t="s">
        <v>473</v>
      </c>
      <c r="AC520" s="10">
        <v>3</v>
      </c>
      <c r="AD520" s="10">
        <v>11</v>
      </c>
      <c r="AE520" t="s">
        <v>473</v>
      </c>
    </row>
    <row r="521" spans="1:31" x14ac:dyDescent="0.25">
      <c r="A521">
        <v>3711</v>
      </c>
      <c r="B521">
        <v>1944</v>
      </c>
      <c r="C521" t="s">
        <v>36</v>
      </c>
      <c r="D521" t="s">
        <v>34</v>
      </c>
      <c r="E521" t="str">
        <f>IF(OR(Table1[[#This Row],[marital_status]]="Married", Table1[[#This Row],[marital_status]]="Together"), "Partnered", "Single")</f>
        <v>Partnered</v>
      </c>
      <c r="F521" s="7">
        <v>80184</v>
      </c>
      <c r="G521" s="8">
        <v>0</v>
      </c>
      <c r="H521" s="8">
        <v>0</v>
      </c>
      <c r="I521" s="8">
        <f>Table1[[#This Row],[kids]]+Table1[[#This Row],[teens]]</f>
        <v>0</v>
      </c>
      <c r="J521" s="9">
        <v>41699</v>
      </c>
      <c r="K521" s="8">
        <v>19</v>
      </c>
      <c r="L521" s="6">
        <v>1035</v>
      </c>
      <c r="M521" s="5">
        <v>134</v>
      </c>
      <c r="N521" s="5">
        <v>670</v>
      </c>
      <c r="O521" s="5">
        <v>25</v>
      </c>
      <c r="P521" s="5">
        <v>38</v>
      </c>
      <c r="Q521" s="5">
        <v>0</v>
      </c>
      <c r="R521" s="8">
        <v>1</v>
      </c>
      <c r="S521" s="8">
        <v>6</v>
      </c>
      <c r="T521" s="8">
        <v>3</v>
      </c>
      <c r="U521" s="8">
        <v>10</v>
      </c>
      <c r="V521" s="8">
        <v>3</v>
      </c>
      <c r="W521" t="s">
        <v>473</v>
      </c>
      <c r="X521" t="s">
        <v>473</v>
      </c>
      <c r="Y521" t="s">
        <v>474</v>
      </c>
      <c r="Z521" t="s">
        <v>474</v>
      </c>
      <c r="AA521" t="s">
        <v>473</v>
      </c>
      <c r="AB521" t="s">
        <v>473</v>
      </c>
      <c r="AC521" s="10">
        <v>3</v>
      </c>
      <c r="AD521" s="10">
        <v>11</v>
      </c>
      <c r="AE521" t="s">
        <v>473</v>
      </c>
    </row>
    <row r="522" spans="1:31" x14ac:dyDescent="0.25">
      <c r="A522">
        <v>3696</v>
      </c>
      <c r="B522">
        <v>1965</v>
      </c>
      <c r="C522" t="s">
        <v>466</v>
      </c>
      <c r="D522" t="s">
        <v>37</v>
      </c>
      <c r="E522" t="str">
        <f>IF(OR(Table1[[#This Row],[marital_status]]="Married", Table1[[#This Row],[marital_status]]="Together"), "Partnered", "Single")</f>
        <v>Single</v>
      </c>
      <c r="F522" s="7">
        <v>30630</v>
      </c>
      <c r="G522" s="8">
        <v>1</v>
      </c>
      <c r="H522" s="8">
        <v>1</v>
      </c>
      <c r="I522" s="8">
        <f>Table1[[#This Row],[kids]]+Table1[[#This Row],[teens]]</f>
        <v>2</v>
      </c>
      <c r="J522" s="9">
        <v>41666</v>
      </c>
      <c r="K522" s="8">
        <v>67</v>
      </c>
      <c r="L522" s="6">
        <v>27</v>
      </c>
      <c r="M522" s="5">
        <v>1</v>
      </c>
      <c r="N522" s="5">
        <v>12</v>
      </c>
      <c r="O522" s="5">
        <v>2</v>
      </c>
      <c r="P522" s="5">
        <v>0</v>
      </c>
      <c r="Q522" s="5">
        <v>10</v>
      </c>
      <c r="R522" s="8">
        <v>2</v>
      </c>
      <c r="S522" s="8">
        <v>2</v>
      </c>
      <c r="T522" s="8">
        <v>0</v>
      </c>
      <c r="U522" s="8">
        <v>3</v>
      </c>
      <c r="V522" s="8">
        <v>7</v>
      </c>
      <c r="W522" t="s">
        <v>473</v>
      </c>
      <c r="X522" t="s">
        <v>473</v>
      </c>
      <c r="Y522" t="s">
        <v>473</v>
      </c>
      <c r="Z522" t="s">
        <v>473</v>
      </c>
      <c r="AA522" t="s">
        <v>473</v>
      </c>
      <c r="AB522" t="s">
        <v>473</v>
      </c>
      <c r="AC522" s="10">
        <v>3</v>
      </c>
      <c r="AD522" s="10">
        <v>11</v>
      </c>
      <c r="AE522" t="s">
        <v>473</v>
      </c>
    </row>
    <row r="523" spans="1:31" x14ac:dyDescent="0.25">
      <c r="A523">
        <v>2532</v>
      </c>
      <c r="B523">
        <v>1987</v>
      </c>
      <c r="C523" t="s">
        <v>36</v>
      </c>
      <c r="D523" t="s">
        <v>30</v>
      </c>
      <c r="E523" t="str">
        <f>IF(OR(Table1[[#This Row],[marital_status]]="Married", Table1[[#This Row],[marital_status]]="Together"), "Partnered", "Single")</f>
        <v>Single</v>
      </c>
      <c r="F523" s="7">
        <v>73454</v>
      </c>
      <c r="G523" s="8">
        <v>0</v>
      </c>
      <c r="H523" s="8">
        <v>0</v>
      </c>
      <c r="I523" s="8">
        <f>Table1[[#This Row],[kids]]+Table1[[#This Row],[teens]]</f>
        <v>0</v>
      </c>
      <c r="J523" s="9">
        <v>41699</v>
      </c>
      <c r="K523" s="8">
        <v>95</v>
      </c>
      <c r="L523" s="6">
        <v>982</v>
      </c>
      <c r="M523" s="5">
        <v>73</v>
      </c>
      <c r="N523" s="5">
        <v>351</v>
      </c>
      <c r="O523" s="5">
        <v>56</v>
      </c>
      <c r="P523" s="5">
        <v>14</v>
      </c>
      <c r="Q523" s="5">
        <v>175</v>
      </c>
      <c r="R523" s="8">
        <v>1</v>
      </c>
      <c r="S523" s="8">
        <v>2</v>
      </c>
      <c r="T523" s="8">
        <v>4</v>
      </c>
      <c r="U523" s="8">
        <v>6</v>
      </c>
      <c r="V523" s="8">
        <v>5</v>
      </c>
      <c r="W523" t="s">
        <v>474</v>
      </c>
      <c r="X523" t="s">
        <v>473</v>
      </c>
      <c r="Y523" t="s">
        <v>473</v>
      </c>
      <c r="Z523" t="s">
        <v>473</v>
      </c>
      <c r="AA523" t="s">
        <v>473</v>
      </c>
      <c r="AB523" t="s">
        <v>473</v>
      </c>
      <c r="AC523" s="10">
        <v>3</v>
      </c>
      <c r="AD523" s="10">
        <v>11</v>
      </c>
      <c r="AE523" t="s">
        <v>473</v>
      </c>
    </row>
    <row r="524" spans="1:31" x14ac:dyDescent="0.25">
      <c r="A524">
        <v>9214</v>
      </c>
      <c r="B524">
        <v>1991</v>
      </c>
      <c r="C524" t="s">
        <v>466</v>
      </c>
      <c r="D524" t="s">
        <v>34</v>
      </c>
      <c r="E524" t="str">
        <f>IF(OR(Table1[[#This Row],[marital_status]]="Married", Table1[[#This Row],[marital_status]]="Together"), "Partnered", "Single")</f>
        <v>Partnered</v>
      </c>
      <c r="F524" s="7">
        <v>42691</v>
      </c>
      <c r="G524" s="8">
        <v>0</v>
      </c>
      <c r="H524" s="8">
        <v>0</v>
      </c>
      <c r="I524" s="8">
        <f>Table1[[#This Row],[kids]]+Table1[[#This Row],[teens]]</f>
        <v>0</v>
      </c>
      <c r="J524" s="9">
        <v>41502</v>
      </c>
      <c r="K524" s="8">
        <v>48</v>
      </c>
      <c r="L524" s="6">
        <v>179</v>
      </c>
      <c r="M524" s="5">
        <v>2</v>
      </c>
      <c r="N524" s="5">
        <v>64</v>
      </c>
      <c r="O524" s="5">
        <v>38</v>
      </c>
      <c r="P524" s="5">
        <v>17</v>
      </c>
      <c r="Q524" s="5">
        <v>58</v>
      </c>
      <c r="R524" s="8">
        <v>1</v>
      </c>
      <c r="S524" s="8">
        <v>5</v>
      </c>
      <c r="T524" s="8">
        <v>1</v>
      </c>
      <c r="U524" s="8">
        <v>6</v>
      </c>
      <c r="V524" s="8">
        <v>5</v>
      </c>
      <c r="W524" t="s">
        <v>473</v>
      </c>
      <c r="X524" t="s">
        <v>473</v>
      </c>
      <c r="Y524" t="s">
        <v>473</v>
      </c>
      <c r="Z524" t="s">
        <v>473</v>
      </c>
      <c r="AA524" t="s">
        <v>473</v>
      </c>
      <c r="AB524" t="s">
        <v>473</v>
      </c>
      <c r="AC524" s="10">
        <v>3</v>
      </c>
      <c r="AD524" s="10">
        <v>11</v>
      </c>
      <c r="AE524" t="s">
        <v>473</v>
      </c>
    </row>
    <row r="525" spans="1:31" x14ac:dyDescent="0.25">
      <c r="A525">
        <v>4943</v>
      </c>
      <c r="B525">
        <v>1953</v>
      </c>
      <c r="C525" t="s">
        <v>466</v>
      </c>
      <c r="D525" t="s">
        <v>34</v>
      </c>
      <c r="E525" t="str">
        <f>IF(OR(Table1[[#This Row],[marital_status]]="Married", Table1[[#This Row],[marital_status]]="Together"), "Partnered", "Single")</f>
        <v>Partnered</v>
      </c>
      <c r="F525" s="7">
        <v>70503</v>
      </c>
      <c r="G525" s="8">
        <v>0</v>
      </c>
      <c r="H525" s="8">
        <v>0</v>
      </c>
      <c r="I525" s="8">
        <f>Table1[[#This Row],[kids]]+Table1[[#This Row],[teens]]</f>
        <v>0</v>
      </c>
      <c r="J525" s="9">
        <v>41182</v>
      </c>
      <c r="K525" s="8">
        <v>73</v>
      </c>
      <c r="L525" s="6">
        <v>1379</v>
      </c>
      <c r="M525" s="5">
        <v>33</v>
      </c>
      <c r="N525" s="5">
        <v>216</v>
      </c>
      <c r="O525" s="5">
        <v>0</v>
      </c>
      <c r="P525" s="5">
        <v>33</v>
      </c>
      <c r="Q525" s="5">
        <v>66</v>
      </c>
      <c r="R525" s="8">
        <v>1</v>
      </c>
      <c r="S525" s="8">
        <v>2</v>
      </c>
      <c r="T525" s="8">
        <v>4</v>
      </c>
      <c r="U525" s="8">
        <v>9</v>
      </c>
      <c r="V525" s="8">
        <v>6</v>
      </c>
      <c r="W525" t="s">
        <v>473</v>
      </c>
      <c r="X525" t="s">
        <v>474</v>
      </c>
      <c r="Y525" t="s">
        <v>474</v>
      </c>
      <c r="Z525" t="s">
        <v>473</v>
      </c>
      <c r="AA525" t="s">
        <v>473</v>
      </c>
      <c r="AB525" t="s">
        <v>473</v>
      </c>
      <c r="AC525" s="10">
        <v>3</v>
      </c>
      <c r="AD525" s="10">
        <v>11</v>
      </c>
      <c r="AE525" t="s">
        <v>473</v>
      </c>
    </row>
    <row r="526" spans="1:31" x14ac:dyDescent="0.25">
      <c r="A526">
        <v>35</v>
      </c>
      <c r="B526">
        <v>1987</v>
      </c>
      <c r="C526" t="s">
        <v>466</v>
      </c>
      <c r="D526" t="s">
        <v>34</v>
      </c>
      <c r="E526" t="str">
        <f>IF(OR(Table1[[#This Row],[marital_status]]="Married", Table1[[#This Row],[marital_status]]="Together"), "Partnered", "Single")</f>
        <v>Partnered</v>
      </c>
      <c r="F526" s="7">
        <v>25545</v>
      </c>
      <c r="G526" s="8">
        <v>1</v>
      </c>
      <c r="H526" s="8">
        <v>0</v>
      </c>
      <c r="I526" s="8">
        <f>Table1[[#This Row],[kids]]+Table1[[#This Row],[teens]]</f>
        <v>1</v>
      </c>
      <c r="J526" s="9">
        <v>41160</v>
      </c>
      <c r="K526" s="8">
        <v>35</v>
      </c>
      <c r="L526" s="6">
        <v>32</v>
      </c>
      <c r="M526" s="5">
        <v>1</v>
      </c>
      <c r="N526" s="5">
        <v>64</v>
      </c>
      <c r="O526" s="5">
        <v>16</v>
      </c>
      <c r="P526" s="5">
        <v>12</v>
      </c>
      <c r="Q526" s="5">
        <v>85</v>
      </c>
      <c r="R526" s="8">
        <v>3</v>
      </c>
      <c r="S526" s="8">
        <v>2</v>
      </c>
      <c r="T526" s="8">
        <v>2</v>
      </c>
      <c r="U526" s="8">
        <v>3</v>
      </c>
      <c r="V526" s="8">
        <v>6</v>
      </c>
      <c r="W526" t="s">
        <v>473</v>
      </c>
      <c r="X526" t="s">
        <v>473</v>
      </c>
      <c r="Y526" t="s">
        <v>473</v>
      </c>
      <c r="Z526" t="s">
        <v>473</v>
      </c>
      <c r="AA526" t="s">
        <v>473</v>
      </c>
      <c r="AB526" t="s">
        <v>473</v>
      </c>
      <c r="AC526" s="10">
        <v>3</v>
      </c>
      <c r="AD526" s="10">
        <v>11</v>
      </c>
      <c r="AE526" t="s">
        <v>474</v>
      </c>
    </row>
    <row r="527" spans="1:31" x14ac:dyDescent="0.25">
      <c r="A527">
        <v>2258</v>
      </c>
      <c r="B527">
        <v>1986</v>
      </c>
      <c r="C527" t="s">
        <v>466</v>
      </c>
      <c r="D527" t="s">
        <v>34</v>
      </c>
      <c r="E527" t="str">
        <f>IF(OR(Table1[[#This Row],[marital_status]]="Married", Table1[[#This Row],[marital_status]]="Together"), "Partnered", "Single")</f>
        <v>Partnered</v>
      </c>
      <c r="F527" s="7">
        <v>32880</v>
      </c>
      <c r="G527" s="8">
        <v>1</v>
      </c>
      <c r="H527" s="8">
        <v>0</v>
      </c>
      <c r="I527" s="8">
        <f>Table1[[#This Row],[kids]]+Table1[[#This Row],[teens]]</f>
        <v>1</v>
      </c>
      <c r="J527" s="9">
        <v>41247</v>
      </c>
      <c r="K527" s="8">
        <v>76</v>
      </c>
      <c r="L527" s="6">
        <v>8</v>
      </c>
      <c r="M527" s="5">
        <v>4</v>
      </c>
      <c r="N527" s="5">
        <v>15</v>
      </c>
      <c r="O527" s="5">
        <v>7</v>
      </c>
      <c r="P527" s="5">
        <v>6</v>
      </c>
      <c r="Q527" s="5">
        <v>2</v>
      </c>
      <c r="R527" s="8">
        <v>1</v>
      </c>
      <c r="S527" s="8">
        <v>1</v>
      </c>
      <c r="T527" s="8">
        <v>0</v>
      </c>
      <c r="U527" s="8">
        <v>3</v>
      </c>
      <c r="V527" s="8">
        <v>8</v>
      </c>
      <c r="W527" t="s">
        <v>473</v>
      </c>
      <c r="X527" t="s">
        <v>473</v>
      </c>
      <c r="Y527" t="s">
        <v>473</v>
      </c>
      <c r="Z527" t="s">
        <v>473</v>
      </c>
      <c r="AA527" t="s">
        <v>473</v>
      </c>
      <c r="AB527" t="s">
        <v>473</v>
      </c>
      <c r="AC527" s="10">
        <v>3</v>
      </c>
      <c r="AD527" s="10">
        <v>11</v>
      </c>
      <c r="AE527" t="s">
        <v>473</v>
      </c>
    </row>
    <row r="528" spans="1:31" x14ac:dyDescent="0.25">
      <c r="A528">
        <v>4322</v>
      </c>
      <c r="B528">
        <v>1958</v>
      </c>
      <c r="C528" t="s">
        <v>33</v>
      </c>
      <c r="D528" t="s">
        <v>31</v>
      </c>
      <c r="E528" t="str">
        <f>IF(OR(Table1[[#This Row],[marital_status]]="Married", Table1[[#This Row],[marital_status]]="Together"), "Partnered", "Single")</f>
        <v>Partnered</v>
      </c>
      <c r="F528" s="7">
        <v>77863</v>
      </c>
      <c r="G528" s="8">
        <v>0</v>
      </c>
      <c r="H528" s="8">
        <v>0</v>
      </c>
      <c r="I528" s="8">
        <f>Table1[[#This Row],[kids]]+Table1[[#This Row],[teens]]</f>
        <v>0</v>
      </c>
      <c r="J528" s="9">
        <v>41605</v>
      </c>
      <c r="K528" s="8">
        <v>20</v>
      </c>
      <c r="L528" s="6">
        <v>881</v>
      </c>
      <c r="M528" s="5">
        <v>38</v>
      </c>
      <c r="N528" s="5">
        <v>319</v>
      </c>
      <c r="O528" s="5">
        <v>16</v>
      </c>
      <c r="P528" s="5">
        <v>25</v>
      </c>
      <c r="Q528" s="5">
        <v>12</v>
      </c>
      <c r="R528" s="8">
        <v>1</v>
      </c>
      <c r="S528" s="8">
        <v>4</v>
      </c>
      <c r="T528" s="8">
        <v>5</v>
      </c>
      <c r="U528" s="8">
        <v>10</v>
      </c>
      <c r="V528" s="8">
        <v>2</v>
      </c>
      <c r="W528" t="s">
        <v>473</v>
      </c>
      <c r="X528" t="s">
        <v>473</v>
      </c>
      <c r="Y528" t="s">
        <v>473</v>
      </c>
      <c r="Z528" t="s">
        <v>473</v>
      </c>
      <c r="AA528" t="s">
        <v>473</v>
      </c>
      <c r="AB528" t="s">
        <v>473</v>
      </c>
      <c r="AC528" s="10">
        <v>3</v>
      </c>
      <c r="AD528" s="10">
        <v>11</v>
      </c>
      <c r="AE528" t="s">
        <v>473</v>
      </c>
    </row>
    <row r="529" spans="1:31" x14ac:dyDescent="0.25">
      <c r="A529">
        <v>713</v>
      </c>
      <c r="B529">
        <v>1977</v>
      </c>
      <c r="C529" t="s">
        <v>36</v>
      </c>
      <c r="D529" t="s">
        <v>34</v>
      </c>
      <c r="E529" t="str">
        <f>IF(OR(Table1[[#This Row],[marital_status]]="Married", Table1[[#This Row],[marital_status]]="Together"), "Partnered", "Single")</f>
        <v>Partnered</v>
      </c>
      <c r="F529" s="7">
        <v>50353</v>
      </c>
      <c r="G529" s="8">
        <v>0</v>
      </c>
      <c r="H529" s="8">
        <v>0</v>
      </c>
      <c r="I529" s="8">
        <f>Table1[[#This Row],[kids]]+Table1[[#This Row],[teens]]</f>
        <v>0</v>
      </c>
      <c r="J529" s="9">
        <v>41798</v>
      </c>
      <c r="K529" s="8">
        <v>72</v>
      </c>
      <c r="L529" s="6">
        <v>141</v>
      </c>
      <c r="M529" s="5">
        <v>15</v>
      </c>
      <c r="N529" s="5">
        <v>153</v>
      </c>
      <c r="O529" s="5">
        <v>67</v>
      </c>
      <c r="P529" s="5">
        <v>31</v>
      </c>
      <c r="Q529" s="5">
        <v>35</v>
      </c>
      <c r="R529" s="8">
        <v>1</v>
      </c>
      <c r="S529" s="8">
        <v>4</v>
      </c>
      <c r="T529" s="8">
        <v>4</v>
      </c>
      <c r="U529" s="8">
        <v>6</v>
      </c>
      <c r="V529" s="8">
        <v>3</v>
      </c>
      <c r="W529" t="s">
        <v>473</v>
      </c>
      <c r="X529" t="s">
        <v>473</v>
      </c>
      <c r="Y529" t="s">
        <v>473</v>
      </c>
      <c r="Z529" t="s">
        <v>473</v>
      </c>
      <c r="AA529" t="s">
        <v>473</v>
      </c>
      <c r="AB529" t="s">
        <v>473</v>
      </c>
      <c r="AC529" s="10">
        <v>3</v>
      </c>
      <c r="AD529" s="10">
        <v>11</v>
      </c>
      <c r="AE529" t="s">
        <v>473</v>
      </c>
    </row>
    <row r="530" spans="1:31" x14ac:dyDescent="0.25">
      <c r="A530">
        <v>4702</v>
      </c>
      <c r="B530">
        <v>1964</v>
      </c>
      <c r="C530" t="s">
        <v>466</v>
      </c>
      <c r="D530" t="s">
        <v>30</v>
      </c>
      <c r="E530" t="str">
        <f>IF(OR(Table1[[#This Row],[marital_status]]="Married", Table1[[#This Row],[marital_status]]="Together"), "Partnered", "Single")</f>
        <v>Single</v>
      </c>
      <c r="F530" s="7">
        <v>61839</v>
      </c>
      <c r="G530" s="8">
        <v>0</v>
      </c>
      <c r="H530" s="8">
        <v>0</v>
      </c>
      <c r="I530" s="8">
        <f>Table1[[#This Row],[kids]]+Table1[[#This Row],[teens]]</f>
        <v>0</v>
      </c>
      <c r="J530" s="9">
        <v>41133</v>
      </c>
      <c r="K530" s="8">
        <v>20</v>
      </c>
      <c r="L530" s="6">
        <v>1000</v>
      </c>
      <c r="M530" s="5">
        <v>155</v>
      </c>
      <c r="N530" s="5">
        <v>379</v>
      </c>
      <c r="O530" s="5">
        <v>224</v>
      </c>
      <c r="P530" s="5">
        <v>17</v>
      </c>
      <c r="Q530" s="5">
        <v>120</v>
      </c>
      <c r="R530" s="8">
        <v>1</v>
      </c>
      <c r="S530" s="8">
        <v>4</v>
      </c>
      <c r="T530" s="8">
        <v>8</v>
      </c>
      <c r="U530" s="8">
        <v>4</v>
      </c>
      <c r="V530" s="8">
        <v>8</v>
      </c>
      <c r="W530" t="s">
        <v>473</v>
      </c>
      <c r="X530" t="s">
        <v>473</v>
      </c>
      <c r="Y530" t="s">
        <v>473</v>
      </c>
      <c r="Z530" t="s">
        <v>473</v>
      </c>
      <c r="AA530" t="s">
        <v>473</v>
      </c>
      <c r="AB530" t="s">
        <v>473</v>
      </c>
      <c r="AC530" s="10">
        <v>3</v>
      </c>
      <c r="AD530" s="10">
        <v>11</v>
      </c>
      <c r="AE530" t="s">
        <v>473</v>
      </c>
    </row>
    <row r="531" spans="1:31" x14ac:dyDescent="0.25">
      <c r="A531">
        <v>3281</v>
      </c>
      <c r="B531">
        <v>1960</v>
      </c>
      <c r="C531" t="s">
        <v>33</v>
      </c>
      <c r="D531" t="s">
        <v>34</v>
      </c>
      <c r="E531" t="str">
        <f>IF(OR(Table1[[#This Row],[marital_status]]="Married", Table1[[#This Row],[marital_status]]="Together"), "Partnered", "Single")</f>
        <v>Partnered</v>
      </c>
      <c r="F531" s="7">
        <v>49154</v>
      </c>
      <c r="G531" s="8">
        <v>1</v>
      </c>
      <c r="H531" s="8">
        <v>1</v>
      </c>
      <c r="I531" s="8">
        <f>Table1[[#This Row],[kids]]+Table1[[#This Row],[teens]]</f>
        <v>2</v>
      </c>
      <c r="J531" s="9">
        <v>41581</v>
      </c>
      <c r="K531" s="8">
        <v>69</v>
      </c>
      <c r="L531" s="6">
        <v>206</v>
      </c>
      <c r="M531" s="5">
        <v>10</v>
      </c>
      <c r="N531" s="5">
        <v>67</v>
      </c>
      <c r="O531" s="5">
        <v>30</v>
      </c>
      <c r="P531" s="5">
        <v>27</v>
      </c>
      <c r="Q531" s="5">
        <v>71</v>
      </c>
      <c r="R531" s="8">
        <v>6</v>
      </c>
      <c r="S531" s="8">
        <v>4</v>
      </c>
      <c r="T531" s="8">
        <v>1</v>
      </c>
      <c r="U531" s="8">
        <v>8</v>
      </c>
      <c r="V531" s="8">
        <v>6</v>
      </c>
      <c r="W531" t="s">
        <v>473</v>
      </c>
      <c r="X531" t="s">
        <v>473</v>
      </c>
      <c r="Y531" t="s">
        <v>473</v>
      </c>
      <c r="Z531" t="s">
        <v>473</v>
      </c>
      <c r="AA531" t="s">
        <v>473</v>
      </c>
      <c r="AB531" t="s">
        <v>473</v>
      </c>
      <c r="AC531" s="10">
        <v>3</v>
      </c>
      <c r="AD531" s="10">
        <v>11</v>
      </c>
      <c r="AE531" t="s">
        <v>473</v>
      </c>
    </row>
    <row r="532" spans="1:31" x14ac:dyDescent="0.25">
      <c r="A532">
        <v>702</v>
      </c>
      <c r="B532">
        <v>1975</v>
      </c>
      <c r="C532" t="s">
        <v>46</v>
      </c>
      <c r="D532" t="s">
        <v>57</v>
      </c>
      <c r="E532" t="str">
        <f>IF(OR(Table1[[#This Row],[marital_status]]="Married", Table1[[#This Row],[marital_status]]="Together"), "Partnered", "Single")</f>
        <v>Single</v>
      </c>
      <c r="F532" s="7">
        <v>47682</v>
      </c>
      <c r="G532" s="8">
        <v>0</v>
      </c>
      <c r="H532" s="8">
        <v>1</v>
      </c>
      <c r="I532" s="8">
        <f>Table1[[#This Row],[kids]]+Table1[[#This Row],[teens]]</f>
        <v>1</v>
      </c>
      <c r="J532" s="9">
        <v>41320</v>
      </c>
      <c r="K532" s="8">
        <v>80</v>
      </c>
      <c r="L532" s="6">
        <v>162</v>
      </c>
      <c r="M532" s="5">
        <v>61</v>
      </c>
      <c r="N532" s="5">
        <v>83</v>
      </c>
      <c r="O532" s="5">
        <v>97</v>
      </c>
      <c r="P532" s="5">
        <v>57</v>
      </c>
      <c r="Q532" s="5">
        <v>61</v>
      </c>
      <c r="R532" s="8">
        <v>4</v>
      </c>
      <c r="S532" s="8">
        <v>4</v>
      </c>
      <c r="T532" s="8">
        <v>3</v>
      </c>
      <c r="U532" s="8">
        <v>8</v>
      </c>
      <c r="V532" s="8">
        <v>5</v>
      </c>
      <c r="W532" t="s">
        <v>473</v>
      </c>
      <c r="X532" t="s">
        <v>473</v>
      </c>
      <c r="Y532" t="s">
        <v>473</v>
      </c>
      <c r="Z532" t="s">
        <v>473</v>
      </c>
      <c r="AA532" t="s">
        <v>473</v>
      </c>
      <c r="AB532" t="s">
        <v>473</v>
      </c>
      <c r="AC532" s="10">
        <v>3</v>
      </c>
      <c r="AD532" s="10">
        <v>11</v>
      </c>
      <c r="AE532" t="s">
        <v>473</v>
      </c>
    </row>
    <row r="533" spans="1:31" x14ac:dyDescent="0.25">
      <c r="A533">
        <v>2004</v>
      </c>
      <c r="B533">
        <v>1969</v>
      </c>
      <c r="C533" t="s">
        <v>466</v>
      </c>
      <c r="D533" t="s">
        <v>30</v>
      </c>
      <c r="E533" t="str">
        <f>IF(OR(Table1[[#This Row],[marital_status]]="Married", Table1[[#This Row],[marital_status]]="Together"), "Partnered", "Single")</f>
        <v>Single</v>
      </c>
      <c r="F533" s="7">
        <v>72679</v>
      </c>
      <c r="G533" s="8">
        <v>0</v>
      </c>
      <c r="H533" s="8">
        <v>1</v>
      </c>
      <c r="I533" s="8">
        <f>Table1[[#This Row],[kids]]+Table1[[#This Row],[teens]]</f>
        <v>1</v>
      </c>
      <c r="J533" s="9">
        <v>41535</v>
      </c>
      <c r="K533" s="8">
        <v>65</v>
      </c>
      <c r="L533" s="6">
        <v>619</v>
      </c>
      <c r="M533" s="5">
        <v>54</v>
      </c>
      <c r="N533" s="5">
        <v>260</v>
      </c>
      <c r="O533" s="5">
        <v>127</v>
      </c>
      <c r="P533" s="5">
        <v>54</v>
      </c>
      <c r="Q533" s="5">
        <v>54</v>
      </c>
      <c r="R533" s="8">
        <v>1</v>
      </c>
      <c r="S533" s="8">
        <v>4</v>
      </c>
      <c r="T533" s="8">
        <v>7</v>
      </c>
      <c r="U533" s="8">
        <v>5</v>
      </c>
      <c r="V533" s="8">
        <v>1</v>
      </c>
      <c r="W533" t="s">
        <v>473</v>
      </c>
      <c r="X533" t="s">
        <v>473</v>
      </c>
      <c r="Y533" t="s">
        <v>473</v>
      </c>
      <c r="Z533" t="s">
        <v>473</v>
      </c>
      <c r="AA533" t="s">
        <v>473</v>
      </c>
      <c r="AB533" t="s">
        <v>473</v>
      </c>
      <c r="AC533" s="10">
        <v>3</v>
      </c>
      <c r="AD533" s="10">
        <v>11</v>
      </c>
      <c r="AE533" t="s">
        <v>473</v>
      </c>
    </row>
    <row r="534" spans="1:31" x14ac:dyDescent="0.25">
      <c r="A534">
        <v>4769</v>
      </c>
      <c r="B534">
        <v>1977</v>
      </c>
      <c r="C534" t="s">
        <v>36</v>
      </c>
      <c r="D534" t="s">
        <v>31</v>
      </c>
      <c r="E534" t="str">
        <f>IF(OR(Table1[[#This Row],[marital_status]]="Married", Table1[[#This Row],[marital_status]]="Together"), "Partnered", "Single")</f>
        <v>Partnered</v>
      </c>
      <c r="F534" s="7">
        <v>57954</v>
      </c>
      <c r="G534" s="8">
        <v>1</v>
      </c>
      <c r="H534" s="8">
        <v>1</v>
      </c>
      <c r="I534" s="8">
        <f>Table1[[#This Row],[kids]]+Table1[[#This Row],[teens]]</f>
        <v>2</v>
      </c>
      <c r="J534" s="9">
        <v>41808</v>
      </c>
      <c r="K534" s="8">
        <v>52</v>
      </c>
      <c r="L534" s="6">
        <v>456</v>
      </c>
      <c r="M534" s="5">
        <v>4</v>
      </c>
      <c r="N534" s="5">
        <v>24</v>
      </c>
      <c r="O534" s="5">
        <v>0</v>
      </c>
      <c r="P534" s="5">
        <v>0</v>
      </c>
      <c r="Q534" s="5">
        <v>9</v>
      </c>
      <c r="R534" s="8">
        <v>7</v>
      </c>
      <c r="S534" s="8">
        <v>8</v>
      </c>
      <c r="T534" s="8">
        <v>2</v>
      </c>
      <c r="U534" s="8">
        <v>6</v>
      </c>
      <c r="V534" s="8">
        <v>7</v>
      </c>
      <c r="W534" t="s">
        <v>473</v>
      </c>
      <c r="X534" t="s">
        <v>474</v>
      </c>
      <c r="Y534" t="s">
        <v>473</v>
      </c>
      <c r="Z534" t="s">
        <v>473</v>
      </c>
      <c r="AA534" t="s">
        <v>473</v>
      </c>
      <c r="AB534" t="s">
        <v>473</v>
      </c>
      <c r="AC534" s="10">
        <v>3</v>
      </c>
      <c r="AD534" s="10">
        <v>11</v>
      </c>
      <c r="AE534" t="s">
        <v>473</v>
      </c>
    </row>
    <row r="535" spans="1:31" x14ac:dyDescent="0.25">
      <c r="A535">
        <v>4437</v>
      </c>
      <c r="B535">
        <v>1962</v>
      </c>
      <c r="C535" t="s">
        <v>466</v>
      </c>
      <c r="D535" t="s">
        <v>34</v>
      </c>
      <c r="E535" t="str">
        <f>IF(OR(Table1[[#This Row],[marital_status]]="Married", Table1[[#This Row],[marital_status]]="Together"), "Partnered", "Single")</f>
        <v>Partnered</v>
      </c>
      <c r="F535" s="7">
        <v>65316</v>
      </c>
      <c r="G535" s="8">
        <v>1</v>
      </c>
      <c r="H535" s="8">
        <v>1</v>
      </c>
      <c r="I535" s="8">
        <f>Table1[[#This Row],[kids]]+Table1[[#This Row],[teens]]</f>
        <v>2</v>
      </c>
      <c r="J535" s="9">
        <v>41388</v>
      </c>
      <c r="K535" s="8">
        <v>65</v>
      </c>
      <c r="L535" s="6">
        <v>112</v>
      </c>
      <c r="M535" s="5">
        <v>6</v>
      </c>
      <c r="N535" s="5">
        <v>92</v>
      </c>
      <c r="O535" s="5">
        <v>3</v>
      </c>
      <c r="P535" s="5">
        <v>9</v>
      </c>
      <c r="Q535" s="5">
        <v>38</v>
      </c>
      <c r="R535" s="8">
        <v>2</v>
      </c>
      <c r="S535" s="8">
        <v>3</v>
      </c>
      <c r="T535" s="8">
        <v>2</v>
      </c>
      <c r="U535" s="8">
        <v>5</v>
      </c>
      <c r="V535" s="8">
        <v>4</v>
      </c>
      <c r="W535" t="s">
        <v>473</v>
      </c>
      <c r="X535" t="s">
        <v>473</v>
      </c>
      <c r="Y535" t="s">
        <v>473</v>
      </c>
      <c r="Z535" t="s">
        <v>473</v>
      </c>
      <c r="AA535" t="s">
        <v>473</v>
      </c>
      <c r="AB535" t="s">
        <v>473</v>
      </c>
      <c r="AC535" s="10">
        <v>3</v>
      </c>
      <c r="AD535" s="10">
        <v>11</v>
      </c>
      <c r="AE535" t="s">
        <v>473</v>
      </c>
    </row>
    <row r="536" spans="1:31" x14ac:dyDescent="0.25">
      <c r="A536">
        <v>8724</v>
      </c>
      <c r="B536">
        <v>1982</v>
      </c>
      <c r="C536" t="s">
        <v>466</v>
      </c>
      <c r="D536" t="s">
        <v>30</v>
      </c>
      <c r="E536" t="str">
        <f>IF(OR(Table1[[#This Row],[marital_status]]="Married", Table1[[#This Row],[marital_status]]="Together"), "Partnered", "Single")</f>
        <v>Single</v>
      </c>
      <c r="F536" s="7">
        <v>28567</v>
      </c>
      <c r="G536" s="8">
        <v>1</v>
      </c>
      <c r="H536" s="8">
        <v>0</v>
      </c>
      <c r="I536" s="8">
        <f>Table1[[#This Row],[kids]]+Table1[[#This Row],[teens]]</f>
        <v>1</v>
      </c>
      <c r="J536" s="9">
        <v>41442</v>
      </c>
      <c r="K536" s="8">
        <v>57</v>
      </c>
      <c r="L536" s="6">
        <v>11</v>
      </c>
      <c r="M536" s="5">
        <v>3</v>
      </c>
      <c r="N536" s="5">
        <v>22</v>
      </c>
      <c r="O536" s="5">
        <v>2</v>
      </c>
      <c r="P536" s="5">
        <v>2</v>
      </c>
      <c r="Q536" s="5">
        <v>6</v>
      </c>
      <c r="R536" s="8">
        <v>2</v>
      </c>
      <c r="S536" s="8">
        <v>2</v>
      </c>
      <c r="T536" s="8">
        <v>0</v>
      </c>
      <c r="U536" s="8">
        <v>3</v>
      </c>
      <c r="V536" s="8">
        <v>6</v>
      </c>
      <c r="W536" t="s">
        <v>473</v>
      </c>
      <c r="X536" t="s">
        <v>473</v>
      </c>
      <c r="Y536" t="s">
        <v>473</v>
      </c>
      <c r="Z536" t="s">
        <v>473</v>
      </c>
      <c r="AA536" t="s">
        <v>473</v>
      </c>
      <c r="AB536" t="s">
        <v>473</v>
      </c>
      <c r="AC536" s="10">
        <v>3</v>
      </c>
      <c r="AD536" s="10">
        <v>11</v>
      </c>
      <c r="AE536" t="s">
        <v>473</v>
      </c>
    </row>
    <row r="537" spans="1:31" x14ac:dyDescent="0.25">
      <c r="A537">
        <v>10741</v>
      </c>
      <c r="B537">
        <v>1951</v>
      </c>
      <c r="C537" t="s">
        <v>36</v>
      </c>
      <c r="D537" t="s">
        <v>31</v>
      </c>
      <c r="E537" t="str">
        <f>IF(OR(Table1[[#This Row],[marital_status]]="Married", Table1[[#This Row],[marital_status]]="Together"), "Partnered", "Single")</f>
        <v>Partnered</v>
      </c>
      <c r="F537" s="7">
        <v>47352</v>
      </c>
      <c r="G537" s="8">
        <v>0</v>
      </c>
      <c r="H537" s="8">
        <v>1</v>
      </c>
      <c r="I537" s="8">
        <f>Table1[[#This Row],[kids]]+Table1[[#This Row],[teens]]</f>
        <v>1</v>
      </c>
      <c r="J537" s="9">
        <v>41375</v>
      </c>
      <c r="K537" s="8">
        <v>70</v>
      </c>
      <c r="L537" s="6">
        <v>172</v>
      </c>
      <c r="M537" s="5">
        <v>12</v>
      </c>
      <c r="N537" s="5">
        <v>112</v>
      </c>
      <c r="O537" s="5">
        <v>8</v>
      </c>
      <c r="P537" s="5">
        <v>0</v>
      </c>
      <c r="Q537" s="5">
        <v>15</v>
      </c>
      <c r="R537" s="8">
        <v>4</v>
      </c>
      <c r="S537" s="8">
        <v>6</v>
      </c>
      <c r="T537" s="8">
        <v>1</v>
      </c>
      <c r="U537" s="8">
        <v>5</v>
      </c>
      <c r="V537" s="8">
        <v>7</v>
      </c>
      <c r="W537" t="s">
        <v>473</v>
      </c>
      <c r="X537" t="s">
        <v>473</v>
      </c>
      <c r="Y537" t="s">
        <v>473</v>
      </c>
      <c r="Z537" t="s">
        <v>473</v>
      </c>
      <c r="AA537" t="s">
        <v>473</v>
      </c>
      <c r="AB537" t="s">
        <v>473</v>
      </c>
      <c r="AC537" s="10">
        <v>3</v>
      </c>
      <c r="AD537" s="10">
        <v>11</v>
      </c>
      <c r="AE537" t="s">
        <v>473</v>
      </c>
    </row>
    <row r="538" spans="1:31" x14ac:dyDescent="0.25">
      <c r="A538">
        <v>1991</v>
      </c>
      <c r="B538">
        <v>1967</v>
      </c>
      <c r="C538" t="s">
        <v>466</v>
      </c>
      <c r="D538" t="s">
        <v>31</v>
      </c>
      <c r="E538" t="str">
        <f>IF(OR(Table1[[#This Row],[marital_status]]="Married", Table1[[#This Row],[marital_status]]="Together"), "Partnered", "Single")</f>
        <v>Partnered</v>
      </c>
      <c r="F538" s="7">
        <v>44931</v>
      </c>
      <c r="G538" s="8">
        <v>0</v>
      </c>
      <c r="H538" s="8">
        <v>1</v>
      </c>
      <c r="I538" s="8">
        <f>Table1[[#This Row],[kids]]+Table1[[#This Row],[teens]]</f>
        <v>1</v>
      </c>
      <c r="J538" s="9">
        <v>41657</v>
      </c>
      <c r="K538" s="8">
        <v>0</v>
      </c>
      <c r="L538" s="6">
        <v>78</v>
      </c>
      <c r="M538" s="5">
        <v>0</v>
      </c>
      <c r="N538" s="5">
        <v>11</v>
      </c>
      <c r="O538" s="5">
        <v>0</v>
      </c>
      <c r="P538" s="5">
        <v>0</v>
      </c>
      <c r="Q538" s="5">
        <v>7</v>
      </c>
      <c r="R538" s="8">
        <v>1</v>
      </c>
      <c r="S538" s="8">
        <v>2</v>
      </c>
      <c r="T538" s="8">
        <v>1</v>
      </c>
      <c r="U538" s="8">
        <v>3</v>
      </c>
      <c r="V538" s="8">
        <v>5</v>
      </c>
      <c r="W538" t="s">
        <v>473</v>
      </c>
      <c r="X538" t="s">
        <v>473</v>
      </c>
      <c r="Y538" t="s">
        <v>473</v>
      </c>
      <c r="Z538" t="s">
        <v>473</v>
      </c>
      <c r="AA538" t="s">
        <v>473</v>
      </c>
      <c r="AB538" t="s">
        <v>473</v>
      </c>
      <c r="AC538" s="10">
        <v>3</v>
      </c>
      <c r="AD538" s="10">
        <v>11</v>
      </c>
      <c r="AE538" t="s">
        <v>473</v>
      </c>
    </row>
    <row r="539" spans="1:31" x14ac:dyDescent="0.25">
      <c r="A539">
        <v>6931</v>
      </c>
      <c r="B539">
        <v>1967</v>
      </c>
      <c r="C539" t="s">
        <v>466</v>
      </c>
      <c r="D539" t="s">
        <v>37</v>
      </c>
      <c r="E539" t="str">
        <f>IF(OR(Table1[[#This Row],[marital_status]]="Married", Table1[[#This Row],[marital_status]]="Together"), "Partnered", "Single")</f>
        <v>Single</v>
      </c>
      <c r="F539" s="7">
        <v>76982</v>
      </c>
      <c r="G539" s="8">
        <v>0</v>
      </c>
      <c r="H539" s="8">
        <v>0</v>
      </c>
      <c r="I539" s="8">
        <f>Table1[[#This Row],[kids]]+Table1[[#This Row],[teens]]</f>
        <v>0</v>
      </c>
      <c r="J539" s="9">
        <v>41685</v>
      </c>
      <c r="K539" s="8">
        <v>19</v>
      </c>
      <c r="L539" s="6">
        <v>464</v>
      </c>
      <c r="M539" s="5">
        <v>151</v>
      </c>
      <c r="N539" s="5">
        <v>292</v>
      </c>
      <c r="O539" s="5">
        <v>65</v>
      </c>
      <c r="P539" s="5">
        <v>60</v>
      </c>
      <c r="Q539" s="5">
        <v>30</v>
      </c>
      <c r="R539" s="8">
        <v>1</v>
      </c>
      <c r="S539" s="8">
        <v>8</v>
      </c>
      <c r="T539" s="8">
        <v>3</v>
      </c>
      <c r="U539" s="8">
        <v>4</v>
      </c>
      <c r="V539" s="8">
        <v>4</v>
      </c>
      <c r="W539" t="s">
        <v>473</v>
      </c>
      <c r="X539" t="s">
        <v>473</v>
      </c>
      <c r="Y539" t="s">
        <v>474</v>
      </c>
      <c r="Z539" t="s">
        <v>473</v>
      </c>
      <c r="AA539" t="s">
        <v>473</v>
      </c>
      <c r="AB539" t="s">
        <v>473</v>
      </c>
      <c r="AC539" s="10">
        <v>3</v>
      </c>
      <c r="AD539" s="10">
        <v>11</v>
      </c>
      <c r="AE539" t="s">
        <v>474</v>
      </c>
    </row>
    <row r="540" spans="1:31" x14ac:dyDescent="0.25">
      <c r="A540">
        <v>11096</v>
      </c>
      <c r="B540">
        <v>1952</v>
      </c>
      <c r="C540" t="s">
        <v>46</v>
      </c>
      <c r="D540" t="s">
        <v>31</v>
      </c>
      <c r="E540" t="str">
        <f>IF(OR(Table1[[#This Row],[marital_status]]="Married", Table1[[#This Row],[marital_status]]="Together"), "Partnered", "Single")</f>
        <v>Partnered</v>
      </c>
      <c r="F540" s="7">
        <v>57247</v>
      </c>
      <c r="G540" s="8">
        <v>0</v>
      </c>
      <c r="H540" s="8">
        <v>1</v>
      </c>
      <c r="I540" s="8">
        <f>Table1[[#This Row],[kids]]+Table1[[#This Row],[teens]]</f>
        <v>1</v>
      </c>
      <c r="J540" s="9">
        <v>41494</v>
      </c>
      <c r="K540" s="8">
        <v>50</v>
      </c>
      <c r="L540" s="6">
        <v>99</v>
      </c>
      <c r="M540" s="5">
        <v>4</v>
      </c>
      <c r="N540" s="5">
        <v>32</v>
      </c>
      <c r="O540" s="5">
        <v>37</v>
      </c>
      <c r="P540" s="5">
        <v>54</v>
      </c>
      <c r="Q540" s="5">
        <v>6</v>
      </c>
      <c r="R540" s="8">
        <v>2</v>
      </c>
      <c r="S540" s="8">
        <v>2</v>
      </c>
      <c r="T540" s="8">
        <v>1</v>
      </c>
      <c r="U540" s="8">
        <v>7</v>
      </c>
      <c r="V540" s="8">
        <v>2</v>
      </c>
      <c r="W540" t="s">
        <v>473</v>
      </c>
      <c r="X540" t="s">
        <v>473</v>
      </c>
      <c r="Y540" t="s">
        <v>473</v>
      </c>
      <c r="Z540" t="s">
        <v>473</v>
      </c>
      <c r="AA540" t="s">
        <v>473</v>
      </c>
      <c r="AB540" t="s">
        <v>473</v>
      </c>
      <c r="AC540" s="10">
        <v>3</v>
      </c>
      <c r="AD540" s="10">
        <v>11</v>
      </c>
      <c r="AE540" t="s">
        <v>473</v>
      </c>
    </row>
    <row r="541" spans="1:31" x14ac:dyDescent="0.25">
      <c r="A541">
        <v>304</v>
      </c>
      <c r="B541">
        <v>1981</v>
      </c>
      <c r="C541" t="s">
        <v>36</v>
      </c>
      <c r="D541" t="s">
        <v>30</v>
      </c>
      <c r="E541" t="str">
        <f>IF(OR(Table1[[#This Row],[marital_status]]="Married", Table1[[#This Row],[marital_status]]="Together"), "Partnered", "Single")</f>
        <v>Single</v>
      </c>
      <c r="F541" s="7">
        <v>22944</v>
      </c>
      <c r="G541" s="8">
        <v>1</v>
      </c>
      <c r="H541" s="8">
        <v>0</v>
      </c>
      <c r="I541" s="8">
        <f>Table1[[#This Row],[kids]]+Table1[[#This Row],[teens]]</f>
        <v>1</v>
      </c>
      <c r="J541" s="9">
        <v>41631</v>
      </c>
      <c r="K541" s="8">
        <v>67</v>
      </c>
      <c r="L541" s="6">
        <v>19</v>
      </c>
      <c r="M541" s="5">
        <v>3</v>
      </c>
      <c r="N541" s="5">
        <v>19</v>
      </c>
      <c r="O541" s="5">
        <v>4</v>
      </c>
      <c r="P541" s="5">
        <v>5</v>
      </c>
      <c r="Q541" s="5">
        <v>26</v>
      </c>
      <c r="R541" s="8">
        <v>3</v>
      </c>
      <c r="S541" s="8">
        <v>3</v>
      </c>
      <c r="T541" s="8">
        <v>0</v>
      </c>
      <c r="U541" s="8">
        <v>3</v>
      </c>
      <c r="V541" s="8">
        <v>7</v>
      </c>
      <c r="W541" t="s">
        <v>473</v>
      </c>
      <c r="X541" t="s">
        <v>473</v>
      </c>
      <c r="Y541" t="s">
        <v>473</v>
      </c>
      <c r="Z541" t="s">
        <v>473</v>
      </c>
      <c r="AA541" t="s">
        <v>473</v>
      </c>
      <c r="AB541" t="s">
        <v>473</v>
      </c>
      <c r="AC541" s="10">
        <v>3</v>
      </c>
      <c r="AD541" s="10">
        <v>11</v>
      </c>
      <c r="AE541" t="s">
        <v>473</v>
      </c>
    </row>
    <row r="542" spans="1:31" x14ac:dyDescent="0.25">
      <c r="A542">
        <v>3665</v>
      </c>
      <c r="B542">
        <v>1977</v>
      </c>
      <c r="C542" t="s">
        <v>46</v>
      </c>
      <c r="D542" t="s">
        <v>31</v>
      </c>
      <c r="E542" t="str">
        <f>IF(OR(Table1[[#This Row],[marital_status]]="Married", Table1[[#This Row],[marital_status]]="Together"), "Partnered", "Single")</f>
        <v>Partnered</v>
      </c>
      <c r="F542" s="7">
        <v>25315</v>
      </c>
      <c r="G542" s="8">
        <v>1</v>
      </c>
      <c r="H542" s="8">
        <v>0</v>
      </c>
      <c r="I542" s="8">
        <f>Table1[[#This Row],[kids]]+Table1[[#This Row],[teens]]</f>
        <v>1</v>
      </c>
      <c r="J542" s="9">
        <v>41585</v>
      </c>
      <c r="K542" s="8">
        <v>46</v>
      </c>
      <c r="L542" s="6">
        <v>1</v>
      </c>
      <c r="M542" s="5">
        <v>9</v>
      </c>
      <c r="N542" s="5">
        <v>8</v>
      </c>
      <c r="O542" s="5">
        <v>11</v>
      </c>
      <c r="P542" s="5">
        <v>3</v>
      </c>
      <c r="Q542" s="5">
        <v>22</v>
      </c>
      <c r="R542" s="8">
        <v>3</v>
      </c>
      <c r="S542" s="8">
        <v>3</v>
      </c>
      <c r="T542" s="8">
        <v>0</v>
      </c>
      <c r="U542" s="8">
        <v>3</v>
      </c>
      <c r="V542" s="8">
        <v>8</v>
      </c>
      <c r="W542" t="s">
        <v>473</v>
      </c>
      <c r="X542" t="s">
        <v>473</v>
      </c>
      <c r="Y542" t="s">
        <v>473</v>
      </c>
      <c r="Z542" t="s">
        <v>473</v>
      </c>
      <c r="AA542" t="s">
        <v>473</v>
      </c>
      <c r="AB542" t="s">
        <v>473</v>
      </c>
      <c r="AC542" s="10">
        <v>3</v>
      </c>
      <c r="AD542" s="10">
        <v>11</v>
      </c>
      <c r="AE542" t="s">
        <v>473</v>
      </c>
    </row>
    <row r="543" spans="1:31" x14ac:dyDescent="0.25">
      <c r="A543">
        <v>10591</v>
      </c>
      <c r="B543">
        <v>1969</v>
      </c>
      <c r="C543" t="s">
        <v>466</v>
      </c>
      <c r="D543" t="s">
        <v>57</v>
      </c>
      <c r="E543" t="str">
        <f>IF(OR(Table1[[#This Row],[marital_status]]="Married", Table1[[#This Row],[marital_status]]="Together"), "Partnered", "Single")</f>
        <v>Single</v>
      </c>
      <c r="F543" s="7">
        <v>43638</v>
      </c>
      <c r="G543" s="8">
        <v>0</v>
      </c>
      <c r="H543" s="8">
        <v>1</v>
      </c>
      <c r="I543" s="8">
        <f>Table1[[#This Row],[kids]]+Table1[[#This Row],[teens]]</f>
        <v>1</v>
      </c>
      <c r="J543" s="9">
        <v>41127</v>
      </c>
      <c r="K543" s="8">
        <v>37</v>
      </c>
      <c r="L543" s="6">
        <v>63</v>
      </c>
      <c r="M543" s="5">
        <v>10</v>
      </c>
      <c r="N543" s="5">
        <v>83</v>
      </c>
      <c r="O543" s="5">
        <v>7</v>
      </c>
      <c r="P543" s="5">
        <v>19</v>
      </c>
      <c r="Q543" s="5">
        <v>19</v>
      </c>
      <c r="R543" s="8">
        <v>2</v>
      </c>
      <c r="S543" s="8">
        <v>4</v>
      </c>
      <c r="T543" s="8">
        <v>1</v>
      </c>
      <c r="U543" s="8">
        <v>4</v>
      </c>
      <c r="V543" s="8">
        <v>7</v>
      </c>
      <c r="W543" t="s">
        <v>473</v>
      </c>
      <c r="X543" t="s">
        <v>473</v>
      </c>
      <c r="Y543" t="s">
        <v>473</v>
      </c>
      <c r="Z543" t="s">
        <v>473</v>
      </c>
      <c r="AA543" t="s">
        <v>473</v>
      </c>
      <c r="AB543" t="s">
        <v>473</v>
      </c>
      <c r="AC543" s="10">
        <v>3</v>
      </c>
      <c r="AD543" s="10">
        <v>11</v>
      </c>
      <c r="AE543" t="s">
        <v>473</v>
      </c>
    </row>
    <row r="544" spans="1:31" x14ac:dyDescent="0.25">
      <c r="A544">
        <v>5036</v>
      </c>
      <c r="B544">
        <v>1984</v>
      </c>
      <c r="C544" t="s">
        <v>33</v>
      </c>
      <c r="D544" t="s">
        <v>30</v>
      </c>
      <c r="E544" t="str">
        <f>IF(OR(Table1[[#This Row],[marital_status]]="Married", Table1[[#This Row],[marital_status]]="Together"), "Partnered", "Single")</f>
        <v>Single</v>
      </c>
      <c r="F544" s="7">
        <v>42710</v>
      </c>
      <c r="G544" s="8">
        <v>1</v>
      </c>
      <c r="H544" s="8">
        <v>0</v>
      </c>
      <c r="I544" s="8">
        <f>Table1[[#This Row],[kids]]+Table1[[#This Row],[teens]]</f>
        <v>1</v>
      </c>
      <c r="J544" s="9">
        <v>41241</v>
      </c>
      <c r="K544" s="8">
        <v>38</v>
      </c>
      <c r="L544" s="6">
        <v>252</v>
      </c>
      <c r="M544" s="5">
        <v>3</v>
      </c>
      <c r="N544" s="5">
        <v>42</v>
      </c>
      <c r="O544" s="5">
        <v>4</v>
      </c>
      <c r="P544" s="5">
        <v>3</v>
      </c>
      <c r="Q544" s="5">
        <v>102</v>
      </c>
      <c r="R544" s="8">
        <v>2</v>
      </c>
      <c r="S544" s="8">
        <v>4</v>
      </c>
      <c r="T544" s="8">
        <v>5</v>
      </c>
      <c r="U544" s="8">
        <v>3</v>
      </c>
      <c r="V544" s="8">
        <v>6</v>
      </c>
      <c r="W544" t="s">
        <v>473</v>
      </c>
      <c r="X544" t="s">
        <v>473</v>
      </c>
      <c r="Y544" t="s">
        <v>473</v>
      </c>
      <c r="Z544" t="s">
        <v>473</v>
      </c>
      <c r="AA544" t="s">
        <v>473</v>
      </c>
      <c r="AB544" t="s">
        <v>473</v>
      </c>
      <c r="AC544" s="10">
        <v>3</v>
      </c>
      <c r="AD544" s="10">
        <v>11</v>
      </c>
      <c r="AE544" t="s">
        <v>473</v>
      </c>
    </row>
    <row r="545" spans="1:31" x14ac:dyDescent="0.25">
      <c r="A545">
        <v>5547</v>
      </c>
      <c r="B545">
        <v>1982</v>
      </c>
      <c r="C545" t="s">
        <v>33</v>
      </c>
      <c r="D545" t="s">
        <v>34</v>
      </c>
      <c r="E545" t="str">
        <f>IF(OR(Table1[[#This Row],[marital_status]]="Married", Table1[[#This Row],[marital_status]]="Together"), "Partnered", "Single")</f>
        <v>Partnered</v>
      </c>
      <c r="F545" s="7">
        <v>84169</v>
      </c>
      <c r="G545" s="8">
        <v>0</v>
      </c>
      <c r="H545" s="8">
        <v>0</v>
      </c>
      <c r="I545" s="8">
        <f>Table1[[#This Row],[kids]]+Table1[[#This Row],[teens]]</f>
        <v>0</v>
      </c>
      <c r="J545" s="9">
        <v>41493</v>
      </c>
      <c r="K545" s="8">
        <v>9</v>
      </c>
      <c r="L545" s="6">
        <v>1478</v>
      </c>
      <c r="M545" s="5">
        <v>19</v>
      </c>
      <c r="N545" s="5">
        <v>403</v>
      </c>
      <c r="O545" s="5">
        <v>0</v>
      </c>
      <c r="P545" s="5">
        <v>19</v>
      </c>
      <c r="Q545" s="5">
        <v>0</v>
      </c>
      <c r="R545" s="8">
        <v>1</v>
      </c>
      <c r="S545" s="8">
        <v>7</v>
      </c>
      <c r="T545" s="8">
        <v>6</v>
      </c>
      <c r="U545" s="8">
        <v>6</v>
      </c>
      <c r="V545" s="8">
        <v>3</v>
      </c>
      <c r="W545" t="s">
        <v>473</v>
      </c>
      <c r="X545" t="s">
        <v>474</v>
      </c>
      <c r="Y545" t="s">
        <v>474</v>
      </c>
      <c r="Z545" t="s">
        <v>473</v>
      </c>
      <c r="AA545" t="s">
        <v>473</v>
      </c>
      <c r="AB545" t="s">
        <v>473</v>
      </c>
      <c r="AC545" s="10">
        <v>3</v>
      </c>
      <c r="AD545" s="10">
        <v>11</v>
      </c>
      <c r="AE545" t="s">
        <v>474</v>
      </c>
    </row>
    <row r="546" spans="1:31" x14ac:dyDescent="0.25">
      <c r="A546">
        <v>7822</v>
      </c>
      <c r="B546">
        <v>1976</v>
      </c>
      <c r="C546" t="s">
        <v>466</v>
      </c>
      <c r="D546" t="s">
        <v>31</v>
      </c>
      <c r="E546" t="str">
        <f>IF(OR(Table1[[#This Row],[marital_status]]="Married", Table1[[#This Row],[marital_status]]="Together"), "Partnered", "Single")</f>
        <v>Partnered</v>
      </c>
      <c r="F546" s="7">
        <v>54058</v>
      </c>
      <c r="G546" s="8">
        <v>0</v>
      </c>
      <c r="H546" s="8">
        <v>1</v>
      </c>
      <c r="I546" s="8">
        <f>Table1[[#This Row],[kids]]+Table1[[#This Row],[teens]]</f>
        <v>1</v>
      </c>
      <c r="J546" s="9">
        <v>41429</v>
      </c>
      <c r="K546" s="8">
        <v>56</v>
      </c>
      <c r="L546" s="6">
        <v>198</v>
      </c>
      <c r="M546" s="5">
        <v>18</v>
      </c>
      <c r="N546" s="5">
        <v>252</v>
      </c>
      <c r="O546" s="5">
        <v>32</v>
      </c>
      <c r="P546" s="5">
        <v>108</v>
      </c>
      <c r="Q546" s="5">
        <v>54</v>
      </c>
      <c r="R546" s="8">
        <v>2</v>
      </c>
      <c r="S546" s="8">
        <v>4</v>
      </c>
      <c r="T546" s="8">
        <v>6</v>
      </c>
      <c r="U546" s="8">
        <v>8</v>
      </c>
      <c r="V546" s="8">
        <v>3</v>
      </c>
      <c r="W546" t="s">
        <v>473</v>
      </c>
      <c r="X546" t="s">
        <v>473</v>
      </c>
      <c r="Y546" t="s">
        <v>473</v>
      </c>
      <c r="Z546" t="s">
        <v>473</v>
      </c>
      <c r="AA546" t="s">
        <v>473</v>
      </c>
      <c r="AB546" t="s">
        <v>473</v>
      </c>
      <c r="AC546" s="10">
        <v>3</v>
      </c>
      <c r="AD546" s="10">
        <v>11</v>
      </c>
      <c r="AE546" t="s">
        <v>473</v>
      </c>
    </row>
    <row r="547" spans="1:31" x14ac:dyDescent="0.25">
      <c r="A547">
        <v>8541</v>
      </c>
      <c r="B547">
        <v>1990</v>
      </c>
      <c r="C547" t="s">
        <v>46</v>
      </c>
      <c r="D547" t="s">
        <v>34</v>
      </c>
      <c r="E547" t="str">
        <f>IF(OR(Table1[[#This Row],[marital_status]]="Married", Table1[[#This Row],[marital_status]]="Together"), "Partnered", "Single")</f>
        <v>Partnered</v>
      </c>
      <c r="F547" s="7">
        <v>24683</v>
      </c>
      <c r="G547" s="8">
        <v>1</v>
      </c>
      <c r="H547" s="8">
        <v>0</v>
      </c>
      <c r="I547" s="8">
        <f>Table1[[#This Row],[kids]]+Table1[[#This Row],[teens]]</f>
        <v>1</v>
      </c>
      <c r="J547" s="9">
        <v>41706</v>
      </c>
      <c r="K547" s="8">
        <v>98</v>
      </c>
      <c r="L547" s="6">
        <v>8</v>
      </c>
      <c r="M547" s="5">
        <v>4</v>
      </c>
      <c r="N547" s="5">
        <v>10</v>
      </c>
      <c r="O547" s="5">
        <v>6</v>
      </c>
      <c r="P547" s="5">
        <v>7</v>
      </c>
      <c r="Q547" s="5">
        <v>6</v>
      </c>
      <c r="R547" s="8">
        <v>2</v>
      </c>
      <c r="S547" s="8">
        <v>2</v>
      </c>
      <c r="T547" s="8">
        <v>0</v>
      </c>
      <c r="U547" s="8">
        <v>4</v>
      </c>
      <c r="V547" s="8">
        <v>5</v>
      </c>
      <c r="W547" t="s">
        <v>473</v>
      </c>
      <c r="X547" t="s">
        <v>473</v>
      </c>
      <c r="Y547" t="s">
        <v>473</v>
      </c>
      <c r="Z547" t="s">
        <v>473</v>
      </c>
      <c r="AA547" t="s">
        <v>473</v>
      </c>
      <c r="AB547" t="s">
        <v>473</v>
      </c>
      <c r="AC547" s="10">
        <v>3</v>
      </c>
      <c r="AD547" s="10">
        <v>11</v>
      </c>
      <c r="AE547" t="s">
        <v>473</v>
      </c>
    </row>
    <row r="548" spans="1:31" x14ac:dyDescent="0.25">
      <c r="A548">
        <v>10955</v>
      </c>
      <c r="B548">
        <v>1964</v>
      </c>
      <c r="C548" t="s">
        <v>466</v>
      </c>
      <c r="D548" t="s">
        <v>57</v>
      </c>
      <c r="E548" t="str">
        <f>IF(OR(Table1[[#This Row],[marital_status]]="Married", Table1[[#This Row],[marital_status]]="Together"), "Partnered", "Single")</f>
        <v>Single</v>
      </c>
      <c r="F548" s="7">
        <v>85620</v>
      </c>
      <c r="G548" s="8">
        <v>0</v>
      </c>
      <c r="H548" s="8">
        <v>0</v>
      </c>
      <c r="I548" s="8">
        <f>Table1[[#This Row],[kids]]+Table1[[#This Row],[teens]]</f>
        <v>0</v>
      </c>
      <c r="J548" s="9">
        <v>41646</v>
      </c>
      <c r="K548" s="8">
        <v>68</v>
      </c>
      <c r="L548" s="6">
        <v>416</v>
      </c>
      <c r="M548" s="5">
        <v>46</v>
      </c>
      <c r="N548" s="5">
        <v>925</v>
      </c>
      <c r="O548" s="5">
        <v>60</v>
      </c>
      <c r="P548" s="5">
        <v>107</v>
      </c>
      <c r="Q548" s="5">
        <v>46</v>
      </c>
      <c r="R548" s="8">
        <v>1</v>
      </c>
      <c r="S548" s="8">
        <v>3</v>
      </c>
      <c r="T548" s="8">
        <v>6</v>
      </c>
      <c r="U548" s="8">
        <v>4</v>
      </c>
      <c r="V548" s="8">
        <v>1</v>
      </c>
      <c r="W548" t="s">
        <v>473</v>
      </c>
      <c r="X548" t="s">
        <v>473</v>
      </c>
      <c r="Y548" t="s">
        <v>473</v>
      </c>
      <c r="Z548" t="s">
        <v>473</v>
      </c>
      <c r="AA548" t="s">
        <v>473</v>
      </c>
      <c r="AB548" t="s">
        <v>473</v>
      </c>
      <c r="AC548" s="10">
        <v>3</v>
      </c>
      <c r="AD548" s="10">
        <v>11</v>
      </c>
      <c r="AE548" t="s">
        <v>474</v>
      </c>
    </row>
    <row r="549" spans="1:31" x14ac:dyDescent="0.25">
      <c r="A549">
        <v>4368</v>
      </c>
      <c r="B549">
        <v>1980</v>
      </c>
      <c r="C549" t="s">
        <v>466</v>
      </c>
      <c r="D549" t="s">
        <v>34</v>
      </c>
      <c r="E549" t="str">
        <f>IF(OR(Table1[[#This Row],[marital_status]]="Married", Table1[[#This Row],[marital_status]]="Together"), "Partnered", "Single")</f>
        <v>Partnered</v>
      </c>
      <c r="F549" s="7">
        <v>47850</v>
      </c>
      <c r="G549" s="8">
        <v>1</v>
      </c>
      <c r="H549" s="8">
        <v>0</v>
      </c>
      <c r="I549" s="8">
        <f>Table1[[#This Row],[kids]]+Table1[[#This Row],[teens]]</f>
        <v>1</v>
      </c>
      <c r="J549" s="9">
        <v>41611</v>
      </c>
      <c r="K549" s="8">
        <v>72</v>
      </c>
      <c r="L549" s="6">
        <v>42</v>
      </c>
      <c r="M549" s="5">
        <v>7</v>
      </c>
      <c r="N549" s="5">
        <v>43</v>
      </c>
      <c r="O549" s="5">
        <v>20</v>
      </c>
      <c r="P549" s="5">
        <v>12</v>
      </c>
      <c r="Q549" s="5">
        <v>10</v>
      </c>
      <c r="R549" s="8">
        <v>1</v>
      </c>
      <c r="S549" s="8">
        <v>3</v>
      </c>
      <c r="T549" s="8">
        <v>0</v>
      </c>
      <c r="U549" s="8">
        <v>4</v>
      </c>
      <c r="V549" s="8">
        <v>6</v>
      </c>
      <c r="W549" t="s">
        <v>473</v>
      </c>
      <c r="X549" t="s">
        <v>473</v>
      </c>
      <c r="Y549" t="s">
        <v>473</v>
      </c>
      <c r="Z549" t="s">
        <v>473</v>
      </c>
      <c r="AA549" t="s">
        <v>473</v>
      </c>
      <c r="AB549" t="s">
        <v>473</v>
      </c>
      <c r="AC549" s="10">
        <v>3</v>
      </c>
      <c r="AD549" s="10">
        <v>11</v>
      </c>
      <c r="AE549" t="s">
        <v>473</v>
      </c>
    </row>
    <row r="550" spans="1:31" x14ac:dyDescent="0.25">
      <c r="A550">
        <v>9671</v>
      </c>
      <c r="B550">
        <v>1968</v>
      </c>
      <c r="C550" t="s">
        <v>466</v>
      </c>
      <c r="D550" t="s">
        <v>34</v>
      </c>
      <c r="E550" t="str">
        <f>IF(OR(Table1[[#This Row],[marital_status]]="Married", Table1[[#This Row],[marital_status]]="Together"), "Partnered", "Single")</f>
        <v>Partnered</v>
      </c>
      <c r="F550" s="7">
        <v>19514</v>
      </c>
      <c r="G550" s="8">
        <v>1</v>
      </c>
      <c r="H550" s="8">
        <v>1</v>
      </c>
      <c r="I550" s="8">
        <f>Table1[[#This Row],[kids]]+Table1[[#This Row],[teens]]</f>
        <v>2</v>
      </c>
      <c r="J550" s="9">
        <v>41665</v>
      </c>
      <c r="K550" s="8">
        <v>47</v>
      </c>
      <c r="L550" s="6">
        <v>14</v>
      </c>
      <c r="M550" s="5">
        <v>3</v>
      </c>
      <c r="N550" s="5">
        <v>21</v>
      </c>
      <c r="O550" s="5">
        <v>2</v>
      </c>
      <c r="P550" s="5">
        <v>1</v>
      </c>
      <c r="Q550" s="5">
        <v>28</v>
      </c>
      <c r="R550" s="8">
        <v>4</v>
      </c>
      <c r="S550" s="8">
        <v>3</v>
      </c>
      <c r="T550" s="8">
        <v>1</v>
      </c>
      <c r="U550" s="8">
        <v>2</v>
      </c>
      <c r="V550" s="8">
        <v>8</v>
      </c>
      <c r="W550" t="s">
        <v>474</v>
      </c>
      <c r="X550" t="s">
        <v>473</v>
      </c>
      <c r="Y550" t="s">
        <v>473</v>
      </c>
      <c r="Z550" t="s">
        <v>473</v>
      </c>
      <c r="AA550" t="s">
        <v>473</v>
      </c>
      <c r="AB550" t="s">
        <v>473</v>
      </c>
      <c r="AC550" s="10">
        <v>3</v>
      </c>
      <c r="AD550" s="10">
        <v>11</v>
      </c>
      <c r="AE550" t="s">
        <v>474</v>
      </c>
    </row>
    <row r="551" spans="1:31" x14ac:dyDescent="0.25">
      <c r="A551">
        <v>2256</v>
      </c>
      <c r="B551">
        <v>1973</v>
      </c>
      <c r="C551" t="s">
        <v>36</v>
      </c>
      <c r="D551" t="s">
        <v>34</v>
      </c>
      <c r="E551" t="str">
        <f>IF(OR(Table1[[#This Row],[marital_status]]="Married", Table1[[#This Row],[marital_status]]="Together"), "Partnered", "Single")</f>
        <v>Partnered</v>
      </c>
      <c r="F551" s="7">
        <v>27159</v>
      </c>
      <c r="G551" s="8">
        <v>1</v>
      </c>
      <c r="H551" s="8">
        <v>1</v>
      </c>
      <c r="I551" s="8">
        <f>Table1[[#This Row],[kids]]+Table1[[#This Row],[teens]]</f>
        <v>2</v>
      </c>
      <c r="J551" s="9">
        <v>41727</v>
      </c>
      <c r="K551" s="8">
        <v>33</v>
      </c>
      <c r="L551" s="6">
        <v>17</v>
      </c>
      <c r="M551" s="5">
        <v>0</v>
      </c>
      <c r="N551" s="5">
        <v>3</v>
      </c>
      <c r="O551" s="5">
        <v>0</v>
      </c>
      <c r="P551" s="5">
        <v>0</v>
      </c>
      <c r="Q551" s="5">
        <v>1</v>
      </c>
      <c r="R551" s="8">
        <v>2</v>
      </c>
      <c r="S551" s="8">
        <v>1</v>
      </c>
      <c r="T551" s="8">
        <v>0</v>
      </c>
      <c r="U551" s="8">
        <v>3</v>
      </c>
      <c r="V551" s="8">
        <v>6</v>
      </c>
      <c r="W551" t="s">
        <v>473</v>
      </c>
      <c r="X551" t="s">
        <v>473</v>
      </c>
      <c r="Y551" t="s">
        <v>473</v>
      </c>
      <c r="Z551" t="s">
        <v>473</v>
      </c>
      <c r="AA551" t="s">
        <v>473</v>
      </c>
      <c r="AB551" t="s">
        <v>473</v>
      </c>
      <c r="AC551" s="10">
        <v>3</v>
      </c>
      <c r="AD551" s="10">
        <v>11</v>
      </c>
      <c r="AE551" t="s">
        <v>473</v>
      </c>
    </row>
    <row r="552" spans="1:31" x14ac:dyDescent="0.25">
      <c r="A552">
        <v>4279</v>
      </c>
      <c r="B552">
        <v>1963</v>
      </c>
      <c r="C552" t="s">
        <v>46</v>
      </c>
      <c r="D552" t="s">
        <v>30</v>
      </c>
      <c r="E552" t="str">
        <f>IF(OR(Table1[[#This Row],[marital_status]]="Married", Table1[[#This Row],[marital_status]]="Together"), "Partnered", "Single")</f>
        <v>Single</v>
      </c>
      <c r="F552" s="7">
        <v>39548</v>
      </c>
      <c r="G552" s="8">
        <v>1</v>
      </c>
      <c r="H552" s="8">
        <v>1</v>
      </c>
      <c r="I552" s="8">
        <f>Table1[[#This Row],[kids]]+Table1[[#This Row],[teens]]</f>
        <v>2</v>
      </c>
      <c r="J552" s="9">
        <v>41729</v>
      </c>
      <c r="K552" s="8">
        <v>87</v>
      </c>
      <c r="L552" s="6">
        <v>15</v>
      </c>
      <c r="M552" s="5">
        <v>4</v>
      </c>
      <c r="N552" s="5">
        <v>10</v>
      </c>
      <c r="O552" s="5">
        <v>3</v>
      </c>
      <c r="P552" s="5">
        <v>4</v>
      </c>
      <c r="Q552" s="5">
        <v>18</v>
      </c>
      <c r="R552" s="8">
        <v>2</v>
      </c>
      <c r="S552" s="8">
        <v>1</v>
      </c>
      <c r="T552" s="8">
        <v>1</v>
      </c>
      <c r="U552" s="8">
        <v>3</v>
      </c>
      <c r="V552" s="8">
        <v>3</v>
      </c>
      <c r="W552" t="s">
        <v>473</v>
      </c>
      <c r="X552" t="s">
        <v>473</v>
      </c>
      <c r="Y552" t="s">
        <v>473</v>
      </c>
      <c r="Z552" t="s">
        <v>473</v>
      </c>
      <c r="AA552" t="s">
        <v>473</v>
      </c>
      <c r="AB552" t="s">
        <v>473</v>
      </c>
      <c r="AC552" s="10">
        <v>3</v>
      </c>
      <c r="AD552" s="10">
        <v>11</v>
      </c>
      <c r="AE552" t="s">
        <v>473</v>
      </c>
    </row>
    <row r="553" spans="1:31" x14ac:dyDescent="0.25">
      <c r="A553">
        <v>5371</v>
      </c>
      <c r="B553">
        <v>1989</v>
      </c>
      <c r="C553" t="s">
        <v>466</v>
      </c>
      <c r="D553" t="s">
        <v>30</v>
      </c>
      <c r="E553" t="str">
        <f>IF(OR(Table1[[#This Row],[marital_status]]="Married", Table1[[#This Row],[marital_status]]="Together"), "Partnered", "Single")</f>
        <v>Single</v>
      </c>
      <c r="F553" s="7">
        <v>21474</v>
      </c>
      <c r="G553" s="8">
        <v>1</v>
      </c>
      <c r="H553" s="8">
        <v>0</v>
      </c>
      <c r="I553" s="8">
        <f>Table1[[#This Row],[kids]]+Table1[[#This Row],[teens]]</f>
        <v>1</v>
      </c>
      <c r="J553" s="9">
        <v>41737</v>
      </c>
      <c r="K553" s="8">
        <v>0</v>
      </c>
      <c r="L553" s="6">
        <v>6</v>
      </c>
      <c r="M553" s="5">
        <v>16</v>
      </c>
      <c r="N553" s="5">
        <v>24</v>
      </c>
      <c r="O553" s="5">
        <v>11</v>
      </c>
      <c r="P553" s="5">
        <v>0</v>
      </c>
      <c r="Q553" s="5">
        <v>34</v>
      </c>
      <c r="R553" s="8">
        <v>2</v>
      </c>
      <c r="S553" s="8">
        <v>3</v>
      </c>
      <c r="T553" s="8">
        <v>1</v>
      </c>
      <c r="U553" s="8">
        <v>2</v>
      </c>
      <c r="V553" s="8">
        <v>7</v>
      </c>
      <c r="W553" t="s">
        <v>474</v>
      </c>
      <c r="X553" t="s">
        <v>473</v>
      </c>
      <c r="Y553" t="s">
        <v>473</v>
      </c>
      <c r="Z553" t="s">
        <v>473</v>
      </c>
      <c r="AA553" t="s">
        <v>473</v>
      </c>
      <c r="AB553" t="s">
        <v>473</v>
      </c>
      <c r="AC553" s="10">
        <v>3</v>
      </c>
      <c r="AD553" s="10">
        <v>11</v>
      </c>
      <c r="AE553" t="s">
        <v>474</v>
      </c>
    </row>
    <row r="554" spans="1:31" x14ac:dyDescent="0.25">
      <c r="A554">
        <v>9240</v>
      </c>
      <c r="B554">
        <v>1971</v>
      </c>
      <c r="C554" t="s">
        <v>33</v>
      </c>
      <c r="D554" t="s">
        <v>30</v>
      </c>
      <c r="E554" t="str">
        <f>IF(OR(Table1[[#This Row],[marital_status]]="Married", Table1[[#This Row],[marital_status]]="Together"), "Partnered", "Single")</f>
        <v>Single</v>
      </c>
      <c r="F554" s="7">
        <v>60504</v>
      </c>
      <c r="G554" s="8">
        <v>0</v>
      </c>
      <c r="H554" s="8">
        <v>1</v>
      </c>
      <c r="I554" s="8">
        <f>Table1[[#This Row],[kids]]+Table1[[#This Row],[teens]]</f>
        <v>1</v>
      </c>
      <c r="J554" s="9">
        <v>41677</v>
      </c>
      <c r="K554" s="8">
        <v>73</v>
      </c>
      <c r="L554" s="6">
        <v>458</v>
      </c>
      <c r="M554" s="5">
        <v>0</v>
      </c>
      <c r="N554" s="5">
        <v>24</v>
      </c>
      <c r="O554" s="5">
        <v>6</v>
      </c>
      <c r="P554" s="5">
        <v>4</v>
      </c>
      <c r="Q554" s="5">
        <v>34</v>
      </c>
      <c r="R554" s="8">
        <v>2</v>
      </c>
      <c r="S554" s="8">
        <v>6</v>
      </c>
      <c r="T554" s="8">
        <v>2</v>
      </c>
      <c r="U554" s="8">
        <v>8</v>
      </c>
      <c r="V554" s="8">
        <v>6</v>
      </c>
      <c r="W554" t="s">
        <v>473</v>
      </c>
      <c r="X554" t="s">
        <v>473</v>
      </c>
      <c r="Y554" t="s">
        <v>473</v>
      </c>
      <c r="Z554" t="s">
        <v>473</v>
      </c>
      <c r="AA554" t="s">
        <v>473</v>
      </c>
      <c r="AB554" t="s">
        <v>473</v>
      </c>
      <c r="AC554" s="10">
        <v>3</v>
      </c>
      <c r="AD554" s="10">
        <v>11</v>
      </c>
      <c r="AE554" t="s">
        <v>473</v>
      </c>
    </row>
    <row r="555" spans="1:31" x14ac:dyDescent="0.25">
      <c r="A555">
        <v>9460</v>
      </c>
      <c r="B555">
        <v>1963</v>
      </c>
      <c r="C555" t="s">
        <v>466</v>
      </c>
      <c r="D555" t="s">
        <v>34</v>
      </c>
      <c r="E555" t="str">
        <f>IF(OR(Table1[[#This Row],[marital_status]]="Married", Table1[[#This Row],[marital_status]]="Together"), "Partnered", "Single")</f>
        <v>Partnered</v>
      </c>
      <c r="F555" s="7">
        <v>22419</v>
      </c>
      <c r="G555" s="8">
        <v>0</v>
      </c>
      <c r="H555" s="8">
        <v>0</v>
      </c>
      <c r="I555" s="8">
        <f>Table1[[#This Row],[kids]]+Table1[[#This Row],[teens]]</f>
        <v>0</v>
      </c>
      <c r="J555" s="9">
        <v>41382</v>
      </c>
      <c r="K555" s="8">
        <v>74</v>
      </c>
      <c r="L555" s="6">
        <v>30</v>
      </c>
      <c r="M555" s="5">
        <v>3</v>
      </c>
      <c r="N555" s="5">
        <v>47</v>
      </c>
      <c r="O555" s="5">
        <v>19</v>
      </c>
      <c r="P555" s="5">
        <v>21</v>
      </c>
      <c r="Q555" s="5">
        <v>42</v>
      </c>
      <c r="R555" s="8">
        <v>1</v>
      </c>
      <c r="S555" s="8">
        <v>3</v>
      </c>
      <c r="T555" s="8">
        <v>2</v>
      </c>
      <c r="U555" s="8">
        <v>2</v>
      </c>
      <c r="V555" s="8">
        <v>8</v>
      </c>
      <c r="W555" t="s">
        <v>473</v>
      </c>
      <c r="X555" t="s">
        <v>473</v>
      </c>
      <c r="Y555" t="s">
        <v>473</v>
      </c>
      <c r="Z555" t="s">
        <v>473</v>
      </c>
      <c r="AA555" t="s">
        <v>473</v>
      </c>
      <c r="AB555" t="s">
        <v>473</v>
      </c>
      <c r="AC555" s="10">
        <v>3</v>
      </c>
      <c r="AD555" s="10">
        <v>11</v>
      </c>
      <c r="AE555" t="s">
        <v>473</v>
      </c>
    </row>
    <row r="556" spans="1:31" x14ac:dyDescent="0.25">
      <c r="A556">
        <v>9504</v>
      </c>
      <c r="B556">
        <v>1949</v>
      </c>
      <c r="C556" t="s">
        <v>36</v>
      </c>
      <c r="D556" t="s">
        <v>34</v>
      </c>
      <c r="E556" t="str">
        <f>IF(OR(Table1[[#This Row],[marital_status]]="Married", Table1[[#This Row],[marital_status]]="Together"), "Partnered", "Single")</f>
        <v>Partnered</v>
      </c>
      <c r="F556" s="7">
        <v>81698</v>
      </c>
      <c r="G556" s="8">
        <v>0</v>
      </c>
      <c r="H556" s="8">
        <v>0</v>
      </c>
      <c r="I556" s="8">
        <f>Table1[[#This Row],[kids]]+Table1[[#This Row],[teens]]</f>
        <v>0</v>
      </c>
      <c r="J556" s="9">
        <v>41584</v>
      </c>
      <c r="K556" s="8">
        <v>4</v>
      </c>
      <c r="L556" s="6">
        <v>179</v>
      </c>
      <c r="M556" s="5">
        <v>28</v>
      </c>
      <c r="N556" s="5">
        <v>520</v>
      </c>
      <c r="O556" s="5">
        <v>111</v>
      </c>
      <c r="P556" s="5">
        <v>123</v>
      </c>
      <c r="Q556" s="5">
        <v>47</v>
      </c>
      <c r="R556" s="8">
        <v>1</v>
      </c>
      <c r="S556" s="8">
        <v>3</v>
      </c>
      <c r="T556" s="8">
        <v>8</v>
      </c>
      <c r="U556" s="8">
        <v>13</v>
      </c>
      <c r="V556" s="8">
        <v>1</v>
      </c>
      <c r="W556" t="s">
        <v>473</v>
      </c>
      <c r="X556" t="s">
        <v>473</v>
      </c>
      <c r="Y556" t="s">
        <v>473</v>
      </c>
      <c r="Z556" t="s">
        <v>473</v>
      </c>
      <c r="AA556" t="s">
        <v>473</v>
      </c>
      <c r="AB556" t="s">
        <v>473</v>
      </c>
      <c r="AC556" s="10">
        <v>3</v>
      </c>
      <c r="AD556" s="10">
        <v>11</v>
      </c>
      <c r="AE556" t="s">
        <v>474</v>
      </c>
    </row>
    <row r="557" spans="1:31" x14ac:dyDescent="0.25">
      <c r="A557">
        <v>8692</v>
      </c>
      <c r="B557">
        <v>1952</v>
      </c>
      <c r="C557" t="s">
        <v>466</v>
      </c>
      <c r="D557" t="s">
        <v>31</v>
      </c>
      <c r="E557" t="str">
        <f>IF(OR(Table1[[#This Row],[marital_status]]="Married", Table1[[#This Row],[marital_status]]="Together"), "Partnered", "Single")</f>
        <v>Partnered</v>
      </c>
      <c r="F557" s="7">
        <v>43462</v>
      </c>
      <c r="G557" s="8">
        <v>1</v>
      </c>
      <c r="H557" s="8">
        <v>1</v>
      </c>
      <c r="I557" s="8">
        <f>Table1[[#This Row],[kids]]+Table1[[#This Row],[teens]]</f>
        <v>2</v>
      </c>
      <c r="J557" s="9">
        <v>41164</v>
      </c>
      <c r="K557" s="8">
        <v>50</v>
      </c>
      <c r="L557" s="6">
        <v>90</v>
      </c>
      <c r="M557" s="5">
        <v>17</v>
      </c>
      <c r="N557" s="5">
        <v>97</v>
      </c>
      <c r="O557" s="5">
        <v>15</v>
      </c>
      <c r="P557" s="5">
        <v>6</v>
      </c>
      <c r="Q557" s="5">
        <v>15</v>
      </c>
      <c r="R557" s="8">
        <v>6</v>
      </c>
      <c r="S557" s="8">
        <v>4</v>
      </c>
      <c r="T557" s="8">
        <v>1</v>
      </c>
      <c r="U557" s="8">
        <v>5</v>
      </c>
      <c r="V557" s="8">
        <v>8</v>
      </c>
      <c r="W557" t="s">
        <v>473</v>
      </c>
      <c r="X557" t="s">
        <v>473</v>
      </c>
      <c r="Y557" t="s">
        <v>473</v>
      </c>
      <c r="Z557" t="s">
        <v>473</v>
      </c>
      <c r="AA557" t="s">
        <v>473</v>
      </c>
      <c r="AB557" t="s">
        <v>473</v>
      </c>
      <c r="AC557" s="10">
        <v>3</v>
      </c>
      <c r="AD557" s="10">
        <v>11</v>
      </c>
      <c r="AE557" t="s">
        <v>473</v>
      </c>
    </row>
    <row r="558" spans="1:31" x14ac:dyDescent="0.25">
      <c r="A558">
        <v>448</v>
      </c>
      <c r="B558">
        <v>1978</v>
      </c>
      <c r="C558" t="s">
        <v>33</v>
      </c>
      <c r="D558" t="s">
        <v>30</v>
      </c>
      <c r="E558" t="str">
        <f>IF(OR(Table1[[#This Row],[marital_status]]="Married", Table1[[#This Row],[marital_status]]="Together"), "Partnered", "Single")</f>
        <v>Single</v>
      </c>
      <c r="F558" s="7">
        <v>54880</v>
      </c>
      <c r="G558" s="8">
        <v>1</v>
      </c>
      <c r="H558" s="8">
        <v>0</v>
      </c>
      <c r="I558" s="8">
        <f>Table1[[#This Row],[kids]]+Table1[[#This Row],[teens]]</f>
        <v>1</v>
      </c>
      <c r="J558" s="9">
        <v>41334</v>
      </c>
      <c r="K558" s="8">
        <v>57</v>
      </c>
      <c r="L558" s="6">
        <v>308</v>
      </c>
      <c r="M558" s="5">
        <v>85</v>
      </c>
      <c r="N558" s="5">
        <v>137</v>
      </c>
      <c r="O558" s="5">
        <v>102</v>
      </c>
      <c r="P558" s="5">
        <v>45</v>
      </c>
      <c r="Q558" s="5">
        <v>118</v>
      </c>
      <c r="R558" s="8">
        <v>2</v>
      </c>
      <c r="S558" s="8">
        <v>6</v>
      </c>
      <c r="T558" s="8">
        <v>2</v>
      </c>
      <c r="U558" s="8">
        <v>11</v>
      </c>
      <c r="V558" s="8">
        <v>5</v>
      </c>
      <c r="W558" t="s">
        <v>473</v>
      </c>
      <c r="X558" t="s">
        <v>473</v>
      </c>
      <c r="Y558" t="s">
        <v>473</v>
      </c>
      <c r="Z558" t="s">
        <v>473</v>
      </c>
      <c r="AA558" t="s">
        <v>473</v>
      </c>
      <c r="AB558" t="s">
        <v>473</v>
      </c>
      <c r="AC558" s="10">
        <v>3</v>
      </c>
      <c r="AD558" s="10">
        <v>11</v>
      </c>
      <c r="AE558" t="s">
        <v>473</v>
      </c>
    </row>
    <row r="559" spans="1:31" x14ac:dyDescent="0.25">
      <c r="A559">
        <v>8314</v>
      </c>
      <c r="B559">
        <v>1982</v>
      </c>
      <c r="C559" t="s">
        <v>466</v>
      </c>
      <c r="D559" t="s">
        <v>34</v>
      </c>
      <c r="E559" t="str">
        <f>IF(OR(Table1[[#This Row],[marital_status]]="Married", Table1[[#This Row],[marital_status]]="Together"), "Partnered", "Single")</f>
        <v>Partnered</v>
      </c>
      <c r="F559" s="7">
        <v>79908</v>
      </c>
      <c r="G559" s="8">
        <v>0</v>
      </c>
      <c r="H559" s="8">
        <v>0</v>
      </c>
      <c r="I559" s="8">
        <f>Table1[[#This Row],[kids]]+Table1[[#This Row],[teens]]</f>
        <v>0</v>
      </c>
      <c r="J559" s="9">
        <v>41369</v>
      </c>
      <c r="K559" s="8">
        <v>30</v>
      </c>
      <c r="L559" s="6">
        <v>557</v>
      </c>
      <c r="M559" s="5">
        <v>129</v>
      </c>
      <c r="N559" s="5">
        <v>761</v>
      </c>
      <c r="O559" s="5">
        <v>29</v>
      </c>
      <c r="P559" s="5">
        <v>185</v>
      </c>
      <c r="Q559" s="5">
        <v>111</v>
      </c>
      <c r="R559" s="8">
        <v>1</v>
      </c>
      <c r="S559" s="8">
        <v>5</v>
      </c>
      <c r="T559" s="8">
        <v>6</v>
      </c>
      <c r="U559" s="8">
        <v>7</v>
      </c>
      <c r="V559" s="8">
        <v>2</v>
      </c>
      <c r="W559" t="s">
        <v>473</v>
      </c>
      <c r="X559" t="s">
        <v>473</v>
      </c>
      <c r="Y559" t="s">
        <v>474</v>
      </c>
      <c r="Z559" t="s">
        <v>473</v>
      </c>
      <c r="AA559" t="s">
        <v>473</v>
      </c>
      <c r="AB559" t="s">
        <v>473</v>
      </c>
      <c r="AC559" s="10">
        <v>3</v>
      </c>
      <c r="AD559" s="10">
        <v>11</v>
      </c>
      <c r="AE559" t="s">
        <v>473</v>
      </c>
    </row>
    <row r="560" spans="1:31" x14ac:dyDescent="0.25">
      <c r="A560">
        <v>8420</v>
      </c>
      <c r="B560">
        <v>1970</v>
      </c>
      <c r="C560" t="s">
        <v>46</v>
      </c>
      <c r="D560" t="s">
        <v>34</v>
      </c>
      <c r="E560" t="str">
        <f>IF(OR(Table1[[#This Row],[marital_status]]="Married", Table1[[#This Row],[marital_status]]="Together"), "Partnered", "Single")</f>
        <v>Partnered</v>
      </c>
      <c r="F560" s="7">
        <v>15315</v>
      </c>
      <c r="G560" s="8">
        <v>0</v>
      </c>
      <c r="H560" s="8">
        <v>0</v>
      </c>
      <c r="I560" s="8">
        <f>Table1[[#This Row],[kids]]+Table1[[#This Row],[teens]]</f>
        <v>0</v>
      </c>
      <c r="J560" s="9">
        <v>41489</v>
      </c>
      <c r="K560" s="8">
        <v>27</v>
      </c>
      <c r="L560" s="6">
        <v>7</v>
      </c>
      <c r="M560" s="5">
        <v>4</v>
      </c>
      <c r="N560" s="5">
        <v>13</v>
      </c>
      <c r="O560" s="5">
        <v>15</v>
      </c>
      <c r="P560" s="5">
        <v>8</v>
      </c>
      <c r="Q560" s="5">
        <v>17</v>
      </c>
      <c r="R560" s="8">
        <v>2</v>
      </c>
      <c r="S560" s="8">
        <v>2</v>
      </c>
      <c r="T560" s="8">
        <v>0</v>
      </c>
      <c r="U560" s="8">
        <v>4</v>
      </c>
      <c r="V560" s="8">
        <v>5</v>
      </c>
      <c r="W560" t="s">
        <v>473</v>
      </c>
      <c r="X560" t="s">
        <v>473</v>
      </c>
      <c r="Y560" t="s">
        <v>473</v>
      </c>
      <c r="Z560" t="s">
        <v>473</v>
      </c>
      <c r="AA560" t="s">
        <v>473</v>
      </c>
      <c r="AB560" t="s">
        <v>473</v>
      </c>
      <c r="AC560" s="10">
        <v>3</v>
      </c>
      <c r="AD560" s="10">
        <v>11</v>
      </c>
      <c r="AE560" t="s">
        <v>473</v>
      </c>
    </row>
    <row r="561" spans="1:31" x14ac:dyDescent="0.25">
      <c r="A561">
        <v>3174</v>
      </c>
      <c r="B561">
        <v>1959</v>
      </c>
      <c r="C561" t="s">
        <v>466</v>
      </c>
      <c r="D561" t="s">
        <v>31</v>
      </c>
      <c r="E561" t="str">
        <f>IF(OR(Table1[[#This Row],[marital_status]]="Married", Table1[[#This Row],[marital_status]]="Together"), "Partnered", "Single")</f>
        <v>Partnered</v>
      </c>
      <c r="F561" s="7">
        <v>87771</v>
      </c>
      <c r="G561" s="8">
        <v>0</v>
      </c>
      <c r="H561" s="8">
        <v>1</v>
      </c>
      <c r="I561" s="8">
        <f>Table1[[#This Row],[kids]]+Table1[[#This Row],[teens]]</f>
        <v>1</v>
      </c>
      <c r="J561" s="9">
        <v>41416</v>
      </c>
      <c r="K561" s="8">
        <v>61</v>
      </c>
      <c r="L561" s="6">
        <v>1492</v>
      </c>
      <c r="M561" s="5">
        <v>38</v>
      </c>
      <c r="N561" s="5">
        <v>287</v>
      </c>
      <c r="O561" s="5">
        <v>50</v>
      </c>
      <c r="P561" s="5">
        <v>57</v>
      </c>
      <c r="Q561" s="5">
        <v>33</v>
      </c>
      <c r="R561" s="8">
        <v>1</v>
      </c>
      <c r="S561" s="8">
        <v>5</v>
      </c>
      <c r="T561" s="8">
        <v>10</v>
      </c>
      <c r="U561" s="8">
        <v>4</v>
      </c>
      <c r="V561" s="8">
        <v>6</v>
      </c>
      <c r="W561" t="s">
        <v>473</v>
      </c>
      <c r="X561" t="s">
        <v>474</v>
      </c>
      <c r="Y561" t="s">
        <v>474</v>
      </c>
      <c r="Z561" t="s">
        <v>474</v>
      </c>
      <c r="AA561" t="s">
        <v>474</v>
      </c>
      <c r="AB561" t="s">
        <v>473</v>
      </c>
      <c r="AC561" s="10">
        <v>3</v>
      </c>
      <c r="AD561" s="10">
        <v>11</v>
      </c>
      <c r="AE561" t="s">
        <v>474</v>
      </c>
    </row>
    <row r="562" spans="1:31" x14ac:dyDescent="0.25">
      <c r="A562">
        <v>7685</v>
      </c>
      <c r="B562">
        <v>1978</v>
      </c>
      <c r="C562" t="s">
        <v>466</v>
      </c>
      <c r="D562" t="s">
        <v>34</v>
      </c>
      <c r="E562" t="str">
        <f>IF(OR(Table1[[#This Row],[marital_status]]="Married", Table1[[#This Row],[marital_status]]="Together"), "Partnered", "Single")</f>
        <v>Partnered</v>
      </c>
      <c r="F562" s="7">
        <v>33039</v>
      </c>
      <c r="G562" s="8">
        <v>1</v>
      </c>
      <c r="H562" s="8">
        <v>0</v>
      </c>
      <c r="I562" s="8">
        <f>Table1[[#This Row],[kids]]+Table1[[#This Row],[teens]]</f>
        <v>1</v>
      </c>
      <c r="J562" s="9">
        <v>41526</v>
      </c>
      <c r="K562" s="8">
        <v>4</v>
      </c>
      <c r="L562" s="6">
        <v>30</v>
      </c>
      <c r="M562" s="5">
        <v>8</v>
      </c>
      <c r="N562" s="5">
        <v>12</v>
      </c>
      <c r="O562" s="5">
        <v>8</v>
      </c>
      <c r="P562" s="5">
        <v>8</v>
      </c>
      <c r="Q562" s="5">
        <v>12</v>
      </c>
      <c r="R562" s="8">
        <v>1</v>
      </c>
      <c r="S562" s="8">
        <v>2</v>
      </c>
      <c r="T562" s="8">
        <v>0</v>
      </c>
      <c r="U562" s="8">
        <v>4</v>
      </c>
      <c r="V562" s="8">
        <v>5</v>
      </c>
      <c r="W562" t="s">
        <v>473</v>
      </c>
      <c r="X562" t="s">
        <v>473</v>
      </c>
      <c r="Y562" t="s">
        <v>473</v>
      </c>
      <c r="Z562" t="s">
        <v>473</v>
      </c>
      <c r="AA562" t="s">
        <v>473</v>
      </c>
      <c r="AB562" t="s">
        <v>473</v>
      </c>
      <c r="AC562" s="10">
        <v>3</v>
      </c>
      <c r="AD562" s="10">
        <v>11</v>
      </c>
      <c r="AE562" t="s">
        <v>473</v>
      </c>
    </row>
    <row r="563" spans="1:31" x14ac:dyDescent="0.25">
      <c r="A563">
        <v>3179</v>
      </c>
      <c r="B563">
        <v>1980</v>
      </c>
      <c r="C563" t="s">
        <v>466</v>
      </c>
      <c r="D563" t="s">
        <v>30</v>
      </c>
      <c r="E563" t="str">
        <f>IF(OR(Table1[[#This Row],[marital_status]]="Married", Table1[[#This Row],[marital_status]]="Together"), "Partnered", "Single")</f>
        <v>Single</v>
      </c>
      <c r="F563" s="7">
        <v>81741</v>
      </c>
      <c r="G563" s="8">
        <v>0</v>
      </c>
      <c r="H563" s="8">
        <v>0</v>
      </c>
      <c r="I563" s="8">
        <f>Table1[[#This Row],[kids]]+Table1[[#This Row],[teens]]</f>
        <v>0</v>
      </c>
      <c r="J563" s="9">
        <v>41441</v>
      </c>
      <c r="K563" s="8">
        <v>75</v>
      </c>
      <c r="L563" s="6">
        <v>249</v>
      </c>
      <c r="M563" s="5">
        <v>153</v>
      </c>
      <c r="N563" s="5">
        <v>940</v>
      </c>
      <c r="O563" s="5">
        <v>58</v>
      </c>
      <c r="P563" s="5">
        <v>134</v>
      </c>
      <c r="Q563" s="5">
        <v>38</v>
      </c>
      <c r="R563" s="8">
        <v>0</v>
      </c>
      <c r="S563" s="8">
        <v>6</v>
      </c>
      <c r="T563" s="8">
        <v>6</v>
      </c>
      <c r="U563" s="8">
        <v>7</v>
      </c>
      <c r="V563" s="8">
        <v>2</v>
      </c>
      <c r="W563" t="s">
        <v>473</v>
      </c>
      <c r="X563" t="s">
        <v>473</v>
      </c>
      <c r="Y563" t="s">
        <v>473</v>
      </c>
      <c r="Z563" t="s">
        <v>473</v>
      </c>
      <c r="AA563" t="s">
        <v>473</v>
      </c>
      <c r="AB563" t="s">
        <v>473</v>
      </c>
      <c r="AC563" s="10">
        <v>3</v>
      </c>
      <c r="AD563" s="10">
        <v>11</v>
      </c>
      <c r="AE563" t="s">
        <v>473</v>
      </c>
    </row>
    <row r="564" spans="1:31" x14ac:dyDescent="0.25">
      <c r="A564">
        <v>9780</v>
      </c>
      <c r="B564">
        <v>1971</v>
      </c>
      <c r="C564" t="s">
        <v>36</v>
      </c>
      <c r="D564" t="s">
        <v>31</v>
      </c>
      <c r="E564" t="str">
        <f>IF(OR(Table1[[#This Row],[marital_status]]="Married", Table1[[#This Row],[marital_status]]="Together"), "Partnered", "Single")</f>
        <v>Partnered</v>
      </c>
      <c r="F564" s="7">
        <v>71499</v>
      </c>
      <c r="G564" s="8">
        <v>0</v>
      </c>
      <c r="H564" s="8">
        <v>1</v>
      </c>
      <c r="I564" s="8">
        <f>Table1[[#This Row],[kids]]+Table1[[#This Row],[teens]]</f>
        <v>1</v>
      </c>
      <c r="J564" s="9">
        <v>41450</v>
      </c>
      <c r="K564" s="8">
        <v>12</v>
      </c>
      <c r="L564" s="6">
        <v>465</v>
      </c>
      <c r="M564" s="5">
        <v>25</v>
      </c>
      <c r="N564" s="5">
        <v>132</v>
      </c>
      <c r="O564" s="5">
        <v>136</v>
      </c>
      <c r="P564" s="5">
        <v>0</v>
      </c>
      <c r="Q564" s="5">
        <v>37</v>
      </c>
      <c r="R564" s="8">
        <v>2</v>
      </c>
      <c r="S564" s="8">
        <v>8</v>
      </c>
      <c r="T564" s="8">
        <v>3</v>
      </c>
      <c r="U564" s="8">
        <v>13</v>
      </c>
      <c r="V564" s="8">
        <v>4</v>
      </c>
      <c r="W564" t="s">
        <v>473</v>
      </c>
      <c r="X564" t="s">
        <v>473</v>
      </c>
      <c r="Y564" t="s">
        <v>473</v>
      </c>
      <c r="Z564" t="s">
        <v>473</v>
      </c>
      <c r="AA564" t="s">
        <v>473</v>
      </c>
      <c r="AB564" t="s">
        <v>473</v>
      </c>
      <c r="AC564" s="10">
        <v>3</v>
      </c>
      <c r="AD564" s="10">
        <v>11</v>
      </c>
      <c r="AE564" t="s">
        <v>473</v>
      </c>
    </row>
    <row r="565" spans="1:31" x14ac:dyDescent="0.25">
      <c r="A565">
        <v>10681</v>
      </c>
      <c r="B565">
        <v>1970</v>
      </c>
      <c r="C565" t="s">
        <v>46</v>
      </c>
      <c r="D565" t="s">
        <v>34</v>
      </c>
      <c r="E565" t="str">
        <f>IF(OR(Table1[[#This Row],[marital_status]]="Married", Table1[[#This Row],[marital_status]]="Together"), "Partnered", "Single")</f>
        <v>Partnered</v>
      </c>
      <c r="F565" s="7">
        <v>62466</v>
      </c>
      <c r="G565" s="8">
        <v>0</v>
      </c>
      <c r="H565" s="8">
        <v>1</v>
      </c>
      <c r="I565" s="8">
        <f>Table1[[#This Row],[kids]]+Table1[[#This Row],[teens]]</f>
        <v>1</v>
      </c>
      <c r="J565" s="9">
        <v>41654</v>
      </c>
      <c r="K565" s="8">
        <v>13</v>
      </c>
      <c r="L565" s="6">
        <v>129</v>
      </c>
      <c r="M565" s="5">
        <v>129</v>
      </c>
      <c r="N565" s="5">
        <v>259</v>
      </c>
      <c r="O565" s="5">
        <v>168</v>
      </c>
      <c r="P565" s="5">
        <v>121</v>
      </c>
      <c r="Q565" s="5">
        <v>83</v>
      </c>
      <c r="R565" s="8">
        <v>5</v>
      </c>
      <c r="S565" s="8">
        <v>6</v>
      </c>
      <c r="T565" s="8">
        <v>3</v>
      </c>
      <c r="U565" s="8">
        <v>12</v>
      </c>
      <c r="V565" s="8">
        <v>4</v>
      </c>
      <c r="W565" t="s">
        <v>473</v>
      </c>
      <c r="X565" t="s">
        <v>473</v>
      </c>
      <c r="Y565" t="s">
        <v>473</v>
      </c>
      <c r="Z565" t="s">
        <v>473</v>
      </c>
      <c r="AA565" t="s">
        <v>473</v>
      </c>
      <c r="AB565" t="s">
        <v>473</v>
      </c>
      <c r="AC565" s="10">
        <v>3</v>
      </c>
      <c r="AD565" s="10">
        <v>11</v>
      </c>
      <c r="AE565" t="s">
        <v>473</v>
      </c>
    </row>
    <row r="566" spans="1:31" x14ac:dyDescent="0.25">
      <c r="A566">
        <v>10232</v>
      </c>
      <c r="B566">
        <v>1963</v>
      </c>
      <c r="C566" t="s">
        <v>33</v>
      </c>
      <c r="D566" t="s">
        <v>37</v>
      </c>
      <c r="E566" t="str">
        <f>IF(OR(Table1[[#This Row],[marital_status]]="Married", Table1[[#This Row],[marital_status]]="Together"), "Partnered", "Single")</f>
        <v>Single</v>
      </c>
      <c r="F566" s="7">
        <v>48799</v>
      </c>
      <c r="G566" s="8">
        <v>0</v>
      </c>
      <c r="H566" s="8">
        <v>1</v>
      </c>
      <c r="I566" s="8">
        <f>Table1[[#This Row],[kids]]+Table1[[#This Row],[teens]]</f>
        <v>1</v>
      </c>
      <c r="J566" s="9">
        <v>41583</v>
      </c>
      <c r="K566" s="8">
        <v>9</v>
      </c>
      <c r="L566" s="6">
        <v>174</v>
      </c>
      <c r="M566" s="5">
        <v>18</v>
      </c>
      <c r="N566" s="5">
        <v>81</v>
      </c>
      <c r="O566" s="5">
        <v>28</v>
      </c>
      <c r="P566" s="5">
        <v>6</v>
      </c>
      <c r="Q566" s="5">
        <v>24</v>
      </c>
      <c r="R566" s="8">
        <v>3</v>
      </c>
      <c r="S566" s="8">
        <v>3</v>
      </c>
      <c r="T566" s="8">
        <v>2</v>
      </c>
      <c r="U566" s="8">
        <v>7</v>
      </c>
      <c r="V566" s="8">
        <v>3</v>
      </c>
      <c r="W566" t="s">
        <v>473</v>
      </c>
      <c r="X566" t="s">
        <v>473</v>
      </c>
      <c r="Y566" t="s">
        <v>473</v>
      </c>
      <c r="Z566" t="s">
        <v>473</v>
      </c>
      <c r="AA566" t="s">
        <v>473</v>
      </c>
      <c r="AB566" t="s">
        <v>473</v>
      </c>
      <c r="AC566" s="10">
        <v>3</v>
      </c>
      <c r="AD566" s="10">
        <v>11</v>
      </c>
      <c r="AE566" t="s">
        <v>473</v>
      </c>
    </row>
    <row r="567" spans="1:31" x14ac:dyDescent="0.25">
      <c r="A567">
        <v>4184</v>
      </c>
      <c r="B567">
        <v>1950</v>
      </c>
      <c r="C567" t="s">
        <v>33</v>
      </c>
      <c r="D567" t="s">
        <v>31</v>
      </c>
      <c r="E567" t="str">
        <f>IF(OR(Table1[[#This Row],[marital_status]]="Married", Table1[[#This Row],[marital_status]]="Together"), "Partnered", "Single")</f>
        <v>Partnered</v>
      </c>
      <c r="F567" s="7">
        <v>52157</v>
      </c>
      <c r="G567" s="8">
        <v>0</v>
      </c>
      <c r="H567" s="8">
        <v>1</v>
      </c>
      <c r="I567" s="8">
        <f>Table1[[#This Row],[kids]]+Table1[[#This Row],[teens]]</f>
        <v>1</v>
      </c>
      <c r="J567" s="9">
        <v>41797</v>
      </c>
      <c r="K567" s="8">
        <v>48</v>
      </c>
      <c r="L567" s="6">
        <v>189</v>
      </c>
      <c r="M567" s="5">
        <v>2</v>
      </c>
      <c r="N567" s="5">
        <v>29</v>
      </c>
      <c r="O567" s="5">
        <v>3</v>
      </c>
      <c r="P567" s="5">
        <v>2</v>
      </c>
      <c r="Q567" s="5">
        <v>40</v>
      </c>
      <c r="R567" s="8">
        <v>2</v>
      </c>
      <c r="S567" s="8">
        <v>3</v>
      </c>
      <c r="T567" s="8">
        <v>2</v>
      </c>
      <c r="U567" s="8">
        <v>5</v>
      </c>
      <c r="V567" s="8">
        <v>4</v>
      </c>
      <c r="W567" t="s">
        <v>473</v>
      </c>
      <c r="X567" t="s">
        <v>473</v>
      </c>
      <c r="Y567" t="s">
        <v>473</v>
      </c>
      <c r="Z567" t="s">
        <v>473</v>
      </c>
      <c r="AA567" t="s">
        <v>473</v>
      </c>
      <c r="AB567" t="s">
        <v>473</v>
      </c>
      <c r="AC567" s="10">
        <v>3</v>
      </c>
      <c r="AD567" s="10">
        <v>11</v>
      </c>
      <c r="AE567" t="s">
        <v>473</v>
      </c>
    </row>
    <row r="568" spans="1:31" x14ac:dyDescent="0.25">
      <c r="A568">
        <v>9120</v>
      </c>
      <c r="B568">
        <v>1962</v>
      </c>
      <c r="C568" t="s">
        <v>466</v>
      </c>
      <c r="D568" t="s">
        <v>30</v>
      </c>
      <c r="E568" t="str">
        <f>IF(OR(Table1[[#This Row],[marital_status]]="Married", Table1[[#This Row],[marital_status]]="Together"), "Partnered", "Single")</f>
        <v>Single</v>
      </c>
      <c r="F568" s="7">
        <v>66565</v>
      </c>
      <c r="G568" s="8">
        <v>0</v>
      </c>
      <c r="H568" s="8">
        <v>1</v>
      </c>
      <c r="I568" s="8">
        <f>Table1[[#This Row],[kids]]+Table1[[#This Row],[teens]]</f>
        <v>1</v>
      </c>
      <c r="J568" s="9">
        <v>41248</v>
      </c>
      <c r="K568" s="8">
        <v>80</v>
      </c>
      <c r="L568" s="6">
        <v>747</v>
      </c>
      <c r="M568" s="5">
        <v>10</v>
      </c>
      <c r="N568" s="5">
        <v>161</v>
      </c>
      <c r="O568" s="5">
        <v>65</v>
      </c>
      <c r="P568" s="5">
        <v>40</v>
      </c>
      <c r="Q568" s="5">
        <v>42</v>
      </c>
      <c r="R568" s="8">
        <v>4</v>
      </c>
      <c r="S568" s="8">
        <v>4</v>
      </c>
      <c r="T568" s="8">
        <v>2</v>
      </c>
      <c r="U568" s="8">
        <v>9</v>
      </c>
      <c r="V568" s="8">
        <v>8</v>
      </c>
      <c r="W568" t="s">
        <v>473</v>
      </c>
      <c r="X568" t="s">
        <v>473</v>
      </c>
      <c r="Y568" t="s">
        <v>473</v>
      </c>
      <c r="Z568" t="s">
        <v>473</v>
      </c>
      <c r="AA568" t="s">
        <v>473</v>
      </c>
      <c r="AB568" t="s">
        <v>473</v>
      </c>
      <c r="AC568" s="10">
        <v>3</v>
      </c>
      <c r="AD568" s="10">
        <v>11</v>
      </c>
      <c r="AE568" t="s">
        <v>473</v>
      </c>
    </row>
    <row r="569" spans="1:31" x14ac:dyDescent="0.25">
      <c r="A569">
        <v>891</v>
      </c>
      <c r="B569">
        <v>1951</v>
      </c>
      <c r="C569" t="s">
        <v>36</v>
      </c>
      <c r="D569" t="s">
        <v>31</v>
      </c>
      <c r="E569" t="str">
        <f>IF(OR(Table1[[#This Row],[marital_status]]="Married", Table1[[#This Row],[marital_status]]="Together"), "Partnered", "Single")</f>
        <v>Partnered</v>
      </c>
      <c r="F569" s="7">
        <v>29298</v>
      </c>
      <c r="G569" s="8">
        <v>1</v>
      </c>
      <c r="H569" s="8">
        <v>1</v>
      </c>
      <c r="I569" s="8">
        <f>Table1[[#This Row],[kids]]+Table1[[#This Row],[teens]]</f>
        <v>2</v>
      </c>
      <c r="J569" s="9">
        <v>41524</v>
      </c>
      <c r="K569" s="8">
        <v>60</v>
      </c>
      <c r="L569" s="6">
        <v>6</v>
      </c>
      <c r="M569" s="5">
        <v>0</v>
      </c>
      <c r="N569" s="5">
        <v>2</v>
      </c>
      <c r="O569" s="5">
        <v>2</v>
      </c>
      <c r="P569" s="5">
        <v>0</v>
      </c>
      <c r="Q569" s="5">
        <v>1</v>
      </c>
      <c r="R569" s="8">
        <v>1</v>
      </c>
      <c r="S569" s="8">
        <v>1</v>
      </c>
      <c r="T569" s="8">
        <v>0</v>
      </c>
      <c r="U569" s="8">
        <v>2</v>
      </c>
      <c r="V569" s="8">
        <v>5</v>
      </c>
      <c r="W569" t="s">
        <v>473</v>
      </c>
      <c r="X569" t="s">
        <v>473</v>
      </c>
      <c r="Y569" t="s">
        <v>473</v>
      </c>
      <c r="Z569" t="s">
        <v>473</v>
      </c>
      <c r="AA569" t="s">
        <v>473</v>
      </c>
      <c r="AB569" t="s">
        <v>473</v>
      </c>
      <c r="AC569" s="10">
        <v>3</v>
      </c>
      <c r="AD569" s="10">
        <v>11</v>
      </c>
      <c r="AE569" t="s">
        <v>473</v>
      </c>
    </row>
    <row r="570" spans="1:31" x14ac:dyDescent="0.25">
      <c r="A570">
        <v>10381</v>
      </c>
      <c r="B570">
        <v>1979</v>
      </c>
      <c r="C570" t="s">
        <v>466</v>
      </c>
      <c r="D570" t="s">
        <v>30</v>
      </c>
      <c r="E570" t="str">
        <f>IF(OR(Table1[[#This Row],[marital_status]]="Married", Table1[[#This Row],[marital_status]]="Together"), "Partnered", "Single")</f>
        <v>Single</v>
      </c>
      <c r="F570" s="7">
        <v>47691</v>
      </c>
      <c r="G570" s="8">
        <v>0</v>
      </c>
      <c r="H570" s="8">
        <v>1</v>
      </c>
      <c r="I570" s="8">
        <f>Table1[[#This Row],[kids]]+Table1[[#This Row],[teens]]</f>
        <v>1</v>
      </c>
      <c r="J570" s="9">
        <v>41460</v>
      </c>
      <c r="K570" s="8">
        <v>43</v>
      </c>
      <c r="L570" s="6">
        <v>14</v>
      </c>
      <c r="M570" s="5">
        <v>0</v>
      </c>
      <c r="N570" s="5">
        <v>3</v>
      </c>
      <c r="O570" s="5">
        <v>0</v>
      </c>
      <c r="P570" s="5">
        <v>0</v>
      </c>
      <c r="Q570" s="5">
        <v>4</v>
      </c>
      <c r="R570" s="8">
        <v>1</v>
      </c>
      <c r="S570" s="8">
        <v>1</v>
      </c>
      <c r="T570" s="8">
        <v>0</v>
      </c>
      <c r="U570" s="8">
        <v>2</v>
      </c>
      <c r="V570" s="8">
        <v>6</v>
      </c>
      <c r="W570" t="s">
        <v>473</v>
      </c>
      <c r="X570" t="s">
        <v>473</v>
      </c>
      <c r="Y570" t="s">
        <v>473</v>
      </c>
      <c r="Z570" t="s">
        <v>473</v>
      </c>
      <c r="AA570" t="s">
        <v>473</v>
      </c>
      <c r="AB570" t="s">
        <v>473</v>
      </c>
      <c r="AC570" s="10">
        <v>3</v>
      </c>
      <c r="AD570" s="10">
        <v>11</v>
      </c>
      <c r="AE570" t="s">
        <v>473</v>
      </c>
    </row>
    <row r="571" spans="1:31" x14ac:dyDescent="0.25">
      <c r="A571">
        <v>3525</v>
      </c>
      <c r="B571">
        <v>1970</v>
      </c>
      <c r="C571" t="s">
        <v>466</v>
      </c>
      <c r="D571" t="s">
        <v>31</v>
      </c>
      <c r="E571" t="str">
        <f>IF(OR(Table1[[#This Row],[marital_status]]="Married", Table1[[#This Row],[marital_status]]="Together"), "Partnered", "Single")</f>
        <v>Partnered</v>
      </c>
      <c r="F571" s="7">
        <v>38200</v>
      </c>
      <c r="G571" s="8">
        <v>1</v>
      </c>
      <c r="H571" s="8">
        <v>1</v>
      </c>
      <c r="I571" s="8">
        <f>Table1[[#This Row],[kids]]+Table1[[#This Row],[teens]]</f>
        <v>2</v>
      </c>
      <c r="J571" s="9">
        <v>41250</v>
      </c>
      <c r="K571" s="8">
        <v>19</v>
      </c>
      <c r="L571" s="6">
        <v>12</v>
      </c>
      <c r="M571" s="5">
        <v>0</v>
      </c>
      <c r="N571" s="5">
        <v>4</v>
      </c>
      <c r="O571" s="5">
        <v>0</v>
      </c>
      <c r="P571" s="5">
        <v>0</v>
      </c>
      <c r="Q571" s="5">
        <v>1</v>
      </c>
      <c r="R571" s="8">
        <v>1</v>
      </c>
      <c r="S571" s="8">
        <v>1</v>
      </c>
      <c r="T571" s="8">
        <v>0</v>
      </c>
      <c r="U571" s="8">
        <v>2</v>
      </c>
      <c r="V571" s="8">
        <v>7</v>
      </c>
      <c r="W571" t="s">
        <v>473</v>
      </c>
      <c r="X571" t="s">
        <v>473</v>
      </c>
      <c r="Y571" t="s">
        <v>473</v>
      </c>
      <c r="Z571" t="s">
        <v>473</v>
      </c>
      <c r="AA571" t="s">
        <v>473</v>
      </c>
      <c r="AB571" t="s">
        <v>473</v>
      </c>
      <c r="AC571" s="10">
        <v>3</v>
      </c>
      <c r="AD571" s="10">
        <v>11</v>
      </c>
      <c r="AE571" t="s">
        <v>473</v>
      </c>
    </row>
    <row r="572" spans="1:31" x14ac:dyDescent="0.25">
      <c r="A572">
        <v>6818</v>
      </c>
      <c r="B572">
        <v>1974</v>
      </c>
      <c r="C572" t="s">
        <v>466</v>
      </c>
      <c r="D572" t="s">
        <v>34</v>
      </c>
      <c r="E572" t="str">
        <f>IF(OR(Table1[[#This Row],[marital_status]]="Married", Table1[[#This Row],[marital_status]]="Together"), "Partnered", "Single")</f>
        <v>Partnered</v>
      </c>
      <c r="F572" s="7">
        <v>44989</v>
      </c>
      <c r="G572" s="8">
        <v>0</v>
      </c>
      <c r="H572" s="8">
        <v>1</v>
      </c>
      <c r="I572" s="8">
        <f>Table1[[#This Row],[kids]]+Table1[[#This Row],[teens]]</f>
        <v>1</v>
      </c>
      <c r="J572" s="9">
        <v>41164</v>
      </c>
      <c r="K572" s="8">
        <v>26</v>
      </c>
      <c r="L572" s="6">
        <v>98</v>
      </c>
      <c r="M572" s="5">
        <v>0</v>
      </c>
      <c r="N572" s="5">
        <v>106</v>
      </c>
      <c r="O572" s="5">
        <v>49</v>
      </c>
      <c r="P572" s="5">
        <v>10</v>
      </c>
      <c r="Q572" s="5">
        <v>106</v>
      </c>
      <c r="R572" s="8">
        <v>5</v>
      </c>
      <c r="S572" s="8">
        <v>5</v>
      </c>
      <c r="T572" s="8">
        <v>1</v>
      </c>
      <c r="U572" s="8">
        <v>5</v>
      </c>
      <c r="V572" s="8">
        <v>6</v>
      </c>
      <c r="W572" t="s">
        <v>473</v>
      </c>
      <c r="X572" t="s">
        <v>473</v>
      </c>
      <c r="Y572" t="s">
        <v>473</v>
      </c>
      <c r="Z572" t="s">
        <v>473</v>
      </c>
      <c r="AA572" t="s">
        <v>473</v>
      </c>
      <c r="AB572" t="s">
        <v>473</v>
      </c>
      <c r="AC572" s="10">
        <v>3</v>
      </c>
      <c r="AD572" s="10">
        <v>11</v>
      </c>
      <c r="AE572" t="s">
        <v>473</v>
      </c>
    </row>
    <row r="573" spans="1:31" x14ac:dyDescent="0.25">
      <c r="A573">
        <v>3526</v>
      </c>
      <c r="B573">
        <v>1968</v>
      </c>
      <c r="C573" t="s">
        <v>33</v>
      </c>
      <c r="D573" t="s">
        <v>34</v>
      </c>
      <c r="E573" t="str">
        <f>IF(OR(Table1[[#This Row],[marital_status]]="Married", Table1[[#This Row],[marital_status]]="Together"), "Partnered", "Single")</f>
        <v>Partnered</v>
      </c>
      <c r="F573" s="7">
        <v>38443</v>
      </c>
      <c r="G573" s="8">
        <v>1</v>
      </c>
      <c r="H573" s="8">
        <v>1</v>
      </c>
      <c r="I573" s="8">
        <f>Table1[[#This Row],[kids]]+Table1[[#This Row],[teens]]</f>
        <v>2</v>
      </c>
      <c r="J573" s="9">
        <v>41666</v>
      </c>
      <c r="K573" s="8">
        <v>58</v>
      </c>
      <c r="L573" s="6">
        <v>32</v>
      </c>
      <c r="M573" s="5">
        <v>0</v>
      </c>
      <c r="N573" s="5">
        <v>5</v>
      </c>
      <c r="O573" s="5">
        <v>0</v>
      </c>
      <c r="P573" s="5">
        <v>0</v>
      </c>
      <c r="Q573" s="5">
        <v>1</v>
      </c>
      <c r="R573" s="8">
        <v>2</v>
      </c>
      <c r="S573" s="8">
        <v>1</v>
      </c>
      <c r="T573" s="8">
        <v>0</v>
      </c>
      <c r="U573" s="8">
        <v>3</v>
      </c>
      <c r="V573" s="8">
        <v>7</v>
      </c>
      <c r="W573" t="s">
        <v>473</v>
      </c>
      <c r="X573" t="s">
        <v>473</v>
      </c>
      <c r="Y573" t="s">
        <v>473</v>
      </c>
      <c r="Z573" t="s">
        <v>473</v>
      </c>
      <c r="AA573" t="s">
        <v>473</v>
      </c>
      <c r="AB573" t="s">
        <v>473</v>
      </c>
      <c r="AC573" s="10">
        <v>3</v>
      </c>
      <c r="AD573" s="10">
        <v>11</v>
      </c>
      <c r="AE573" t="s">
        <v>473</v>
      </c>
    </row>
    <row r="574" spans="1:31" x14ac:dyDescent="0.25">
      <c r="A574">
        <v>8181</v>
      </c>
      <c r="B574">
        <v>1978</v>
      </c>
      <c r="C574" t="s">
        <v>46</v>
      </c>
      <c r="D574" t="s">
        <v>30</v>
      </c>
      <c r="E574" t="str">
        <f>IF(OR(Table1[[#This Row],[marital_status]]="Married", Table1[[#This Row],[marital_status]]="Together"), "Partnered", "Single")</f>
        <v>Single</v>
      </c>
      <c r="F574" s="7">
        <v>38593</v>
      </c>
      <c r="G574" s="8">
        <v>1</v>
      </c>
      <c r="H574" s="8">
        <v>0</v>
      </c>
      <c r="I574" s="8">
        <f>Table1[[#This Row],[kids]]+Table1[[#This Row],[teens]]</f>
        <v>1</v>
      </c>
      <c r="J574" s="9">
        <v>41530</v>
      </c>
      <c r="K574" s="8">
        <v>42</v>
      </c>
      <c r="L574" s="6">
        <v>51</v>
      </c>
      <c r="M574" s="5">
        <v>12</v>
      </c>
      <c r="N574" s="5">
        <v>49</v>
      </c>
      <c r="O574" s="5">
        <v>17</v>
      </c>
      <c r="P574" s="5">
        <v>24</v>
      </c>
      <c r="Q574" s="5">
        <v>24</v>
      </c>
      <c r="R574" s="8">
        <v>3</v>
      </c>
      <c r="S574" s="8">
        <v>4</v>
      </c>
      <c r="T574" s="8">
        <v>1</v>
      </c>
      <c r="U574" s="8">
        <v>3</v>
      </c>
      <c r="V574" s="8">
        <v>8</v>
      </c>
      <c r="W574" t="s">
        <v>473</v>
      </c>
      <c r="X574" t="s">
        <v>473</v>
      </c>
      <c r="Y574" t="s">
        <v>473</v>
      </c>
      <c r="Z574" t="s">
        <v>473</v>
      </c>
      <c r="AA574" t="s">
        <v>473</v>
      </c>
      <c r="AB574" t="s">
        <v>473</v>
      </c>
      <c r="AC574" s="10">
        <v>3</v>
      </c>
      <c r="AD574" s="10">
        <v>11</v>
      </c>
      <c r="AE574" t="s">
        <v>473</v>
      </c>
    </row>
    <row r="575" spans="1:31" x14ac:dyDescent="0.25">
      <c r="A575">
        <v>1029</v>
      </c>
      <c r="B575">
        <v>1970</v>
      </c>
      <c r="C575" t="s">
        <v>33</v>
      </c>
      <c r="D575" t="s">
        <v>31</v>
      </c>
      <c r="E575" t="str">
        <f>IF(OR(Table1[[#This Row],[marital_status]]="Married", Table1[[#This Row],[marital_status]]="Together"), "Partnered", "Single")</f>
        <v>Partnered</v>
      </c>
      <c r="F575" s="7">
        <v>64413</v>
      </c>
      <c r="G575" s="8">
        <v>0</v>
      </c>
      <c r="H575" s="8">
        <v>1</v>
      </c>
      <c r="I575" s="8">
        <f>Table1[[#This Row],[kids]]+Table1[[#This Row],[teens]]</f>
        <v>1</v>
      </c>
      <c r="J575" s="9">
        <v>41487</v>
      </c>
      <c r="K575" s="8">
        <v>27</v>
      </c>
      <c r="L575" s="6">
        <v>200</v>
      </c>
      <c r="M575" s="5">
        <v>5</v>
      </c>
      <c r="N575" s="5">
        <v>44</v>
      </c>
      <c r="O575" s="5">
        <v>0</v>
      </c>
      <c r="P575" s="5">
        <v>10</v>
      </c>
      <c r="Q575" s="5">
        <v>20</v>
      </c>
      <c r="R575" s="8">
        <v>1</v>
      </c>
      <c r="S575" s="8">
        <v>5</v>
      </c>
      <c r="T575" s="8">
        <v>1</v>
      </c>
      <c r="U575" s="8">
        <v>5</v>
      </c>
      <c r="V575" s="8">
        <v>5</v>
      </c>
      <c r="W575" t="s">
        <v>473</v>
      </c>
      <c r="X575" t="s">
        <v>473</v>
      </c>
      <c r="Y575" t="s">
        <v>473</v>
      </c>
      <c r="Z575" t="s">
        <v>473</v>
      </c>
      <c r="AA575" t="s">
        <v>473</v>
      </c>
      <c r="AB575" t="s">
        <v>473</v>
      </c>
      <c r="AC575" s="10">
        <v>3</v>
      </c>
      <c r="AD575" s="10">
        <v>11</v>
      </c>
      <c r="AE575" t="s">
        <v>473</v>
      </c>
    </row>
    <row r="576" spans="1:31" x14ac:dyDescent="0.25">
      <c r="A576">
        <v>7369</v>
      </c>
      <c r="B576">
        <v>1981</v>
      </c>
      <c r="C576" t="s">
        <v>36</v>
      </c>
      <c r="D576" t="s">
        <v>34</v>
      </c>
      <c r="E576" t="str">
        <f>IF(OR(Table1[[#This Row],[marital_status]]="Married", Table1[[#This Row],[marital_status]]="Together"), "Partnered", "Single")</f>
        <v>Partnered</v>
      </c>
      <c r="F576" s="7">
        <v>36959</v>
      </c>
      <c r="G576" s="8">
        <v>1</v>
      </c>
      <c r="H576" s="8">
        <v>0</v>
      </c>
      <c r="I576" s="8">
        <f>Table1[[#This Row],[kids]]+Table1[[#This Row],[teens]]</f>
        <v>1</v>
      </c>
      <c r="J576" s="9">
        <v>41549</v>
      </c>
      <c r="K576" s="8">
        <v>56</v>
      </c>
      <c r="L576" s="6">
        <v>25</v>
      </c>
      <c r="M576" s="5">
        <v>6</v>
      </c>
      <c r="N576" s="5">
        <v>25</v>
      </c>
      <c r="O576" s="5">
        <v>6</v>
      </c>
      <c r="P576" s="5">
        <v>0</v>
      </c>
      <c r="Q576" s="5">
        <v>0</v>
      </c>
      <c r="R576" s="8">
        <v>2</v>
      </c>
      <c r="S576" s="8">
        <v>2</v>
      </c>
      <c r="T576" s="8">
        <v>0</v>
      </c>
      <c r="U576" s="8">
        <v>3</v>
      </c>
      <c r="V576" s="8">
        <v>8</v>
      </c>
      <c r="W576" t="s">
        <v>473</v>
      </c>
      <c r="X576" t="s">
        <v>473</v>
      </c>
      <c r="Y576" t="s">
        <v>473</v>
      </c>
      <c r="Z576" t="s">
        <v>473</v>
      </c>
      <c r="AA576" t="s">
        <v>473</v>
      </c>
      <c r="AB576" t="s">
        <v>473</v>
      </c>
      <c r="AC576" s="10">
        <v>3</v>
      </c>
      <c r="AD576" s="10">
        <v>11</v>
      </c>
      <c r="AE576" t="s">
        <v>473</v>
      </c>
    </row>
    <row r="577" spans="1:31" x14ac:dyDescent="0.25">
      <c r="A577">
        <v>2574</v>
      </c>
      <c r="B577">
        <v>1977</v>
      </c>
      <c r="C577" t="s">
        <v>33</v>
      </c>
      <c r="D577" t="s">
        <v>34</v>
      </c>
      <c r="E577" t="str">
        <f>IF(OR(Table1[[#This Row],[marital_status]]="Married", Table1[[#This Row],[marital_status]]="Together"), "Partnered", "Single")</f>
        <v>Partnered</v>
      </c>
      <c r="F577" s="7">
        <v>61996</v>
      </c>
      <c r="G577" s="8">
        <v>0</v>
      </c>
      <c r="H577" s="8">
        <v>1</v>
      </c>
      <c r="I577" s="8">
        <f>Table1[[#This Row],[kids]]+Table1[[#This Row],[teens]]</f>
        <v>1</v>
      </c>
      <c r="J577" s="9">
        <v>41305</v>
      </c>
      <c r="K577" s="8">
        <v>27</v>
      </c>
      <c r="L577" s="6">
        <v>1050</v>
      </c>
      <c r="M577" s="5">
        <v>12</v>
      </c>
      <c r="N577" s="5">
        <v>144</v>
      </c>
      <c r="O577" s="5">
        <v>0</v>
      </c>
      <c r="P577" s="5">
        <v>0</v>
      </c>
      <c r="Q577" s="5">
        <v>24</v>
      </c>
      <c r="R577" s="8">
        <v>3</v>
      </c>
      <c r="S577" s="8">
        <v>6</v>
      </c>
      <c r="T577" s="8">
        <v>4</v>
      </c>
      <c r="U577" s="8">
        <v>8</v>
      </c>
      <c r="V577" s="8">
        <v>5</v>
      </c>
      <c r="W577" t="s">
        <v>473</v>
      </c>
      <c r="X577" t="s">
        <v>474</v>
      </c>
      <c r="Y577" t="s">
        <v>473</v>
      </c>
      <c r="Z577" t="s">
        <v>474</v>
      </c>
      <c r="AA577" t="s">
        <v>474</v>
      </c>
      <c r="AB577" t="s">
        <v>473</v>
      </c>
      <c r="AC577" s="10">
        <v>3</v>
      </c>
      <c r="AD577" s="10">
        <v>11</v>
      </c>
      <c r="AE577" t="s">
        <v>474</v>
      </c>
    </row>
    <row r="578" spans="1:31" x14ac:dyDescent="0.25">
      <c r="A578">
        <v>8159</v>
      </c>
      <c r="B578">
        <v>1968</v>
      </c>
      <c r="C578" t="s">
        <v>466</v>
      </c>
      <c r="D578" t="s">
        <v>34</v>
      </c>
      <c r="E578" t="str">
        <f>IF(OR(Table1[[#This Row],[marital_status]]="Married", Table1[[#This Row],[marital_status]]="Together"), "Partnered", "Single")</f>
        <v>Partnered</v>
      </c>
      <c r="F578" s="7">
        <v>51287</v>
      </c>
      <c r="G578" s="8">
        <v>1</v>
      </c>
      <c r="H578" s="8">
        <v>1</v>
      </c>
      <c r="I578" s="8">
        <f>Table1[[#This Row],[kids]]+Table1[[#This Row],[teens]]</f>
        <v>2</v>
      </c>
      <c r="J578" s="9">
        <v>41730</v>
      </c>
      <c r="K578" s="8">
        <v>10</v>
      </c>
      <c r="L578" s="6">
        <v>117</v>
      </c>
      <c r="M578" s="5">
        <v>0</v>
      </c>
      <c r="N578" s="5">
        <v>22</v>
      </c>
      <c r="O578" s="5">
        <v>13</v>
      </c>
      <c r="P578" s="5">
        <v>0</v>
      </c>
      <c r="Q578" s="5">
        <v>30</v>
      </c>
      <c r="R578" s="8">
        <v>3</v>
      </c>
      <c r="S578" s="8">
        <v>4</v>
      </c>
      <c r="T578" s="8">
        <v>1</v>
      </c>
      <c r="U578" s="8">
        <v>3</v>
      </c>
      <c r="V578" s="8">
        <v>7</v>
      </c>
      <c r="W578" t="s">
        <v>473</v>
      </c>
      <c r="X578" t="s">
        <v>473</v>
      </c>
      <c r="Y578" t="s">
        <v>473</v>
      </c>
      <c r="Z578" t="s">
        <v>473</v>
      </c>
      <c r="AA578" t="s">
        <v>473</v>
      </c>
      <c r="AB578" t="s">
        <v>473</v>
      </c>
      <c r="AC578" s="10">
        <v>3</v>
      </c>
      <c r="AD578" s="10">
        <v>11</v>
      </c>
      <c r="AE578" t="s">
        <v>473</v>
      </c>
    </row>
    <row r="579" spans="1:31" x14ac:dyDescent="0.25">
      <c r="A579">
        <v>1160</v>
      </c>
      <c r="B579">
        <v>1970</v>
      </c>
      <c r="C579" t="s">
        <v>466</v>
      </c>
      <c r="D579" t="s">
        <v>34</v>
      </c>
      <c r="E579" t="str">
        <f>IF(OR(Table1[[#This Row],[marital_status]]="Married", Table1[[#This Row],[marital_status]]="Together"), "Partnered", "Single")</f>
        <v>Partnered</v>
      </c>
      <c r="F579" s="7">
        <v>13260</v>
      </c>
      <c r="G579" s="8">
        <v>1</v>
      </c>
      <c r="H579" s="8">
        <v>1</v>
      </c>
      <c r="I579" s="8">
        <f>Table1[[#This Row],[kids]]+Table1[[#This Row],[teens]]</f>
        <v>2</v>
      </c>
      <c r="J579" s="9">
        <v>41509</v>
      </c>
      <c r="K579" s="8">
        <v>48</v>
      </c>
      <c r="L579" s="6">
        <v>9</v>
      </c>
      <c r="M579" s="5">
        <v>4</v>
      </c>
      <c r="N579" s="5">
        <v>17</v>
      </c>
      <c r="O579" s="5">
        <v>10</v>
      </c>
      <c r="P579" s="5">
        <v>2</v>
      </c>
      <c r="Q579" s="5">
        <v>7</v>
      </c>
      <c r="R579" s="8">
        <v>4</v>
      </c>
      <c r="S579" s="8">
        <v>3</v>
      </c>
      <c r="T579" s="8">
        <v>0</v>
      </c>
      <c r="U579" s="8">
        <v>3</v>
      </c>
      <c r="V579" s="8">
        <v>8</v>
      </c>
      <c r="W579" t="s">
        <v>473</v>
      </c>
      <c r="X579" t="s">
        <v>473</v>
      </c>
      <c r="Y579" t="s">
        <v>473</v>
      </c>
      <c r="Z579" t="s">
        <v>473</v>
      </c>
      <c r="AA579" t="s">
        <v>473</v>
      </c>
      <c r="AB579" t="s">
        <v>473</v>
      </c>
      <c r="AC579" s="10">
        <v>3</v>
      </c>
      <c r="AD579" s="10">
        <v>11</v>
      </c>
      <c r="AE579" t="s">
        <v>473</v>
      </c>
    </row>
    <row r="580" spans="1:31" x14ac:dyDescent="0.25">
      <c r="A580">
        <v>10242</v>
      </c>
      <c r="B580">
        <v>1966</v>
      </c>
      <c r="C580" t="s">
        <v>33</v>
      </c>
      <c r="D580" t="s">
        <v>31</v>
      </c>
      <c r="E580" t="str">
        <f>IF(OR(Table1[[#This Row],[marital_status]]="Married", Table1[[#This Row],[marital_status]]="Together"), "Partnered", "Single")</f>
        <v>Partnered</v>
      </c>
      <c r="F580" s="7">
        <v>47472</v>
      </c>
      <c r="G580" s="8">
        <v>1</v>
      </c>
      <c r="H580" s="8">
        <v>1</v>
      </c>
      <c r="I580" s="8">
        <f>Table1[[#This Row],[kids]]+Table1[[#This Row],[teens]]</f>
        <v>2</v>
      </c>
      <c r="J580" s="9">
        <v>41533</v>
      </c>
      <c r="K580" s="8">
        <v>39</v>
      </c>
      <c r="L580" s="6">
        <v>56</v>
      </c>
      <c r="M580" s="5">
        <v>0</v>
      </c>
      <c r="N580" s="5">
        <v>11</v>
      </c>
      <c r="O580" s="5">
        <v>0</v>
      </c>
      <c r="P580" s="5">
        <v>0</v>
      </c>
      <c r="Q580" s="5">
        <v>8</v>
      </c>
      <c r="R580" s="8">
        <v>2</v>
      </c>
      <c r="S580" s="8">
        <v>2</v>
      </c>
      <c r="T580" s="8">
        <v>0</v>
      </c>
      <c r="U580" s="8">
        <v>4</v>
      </c>
      <c r="V580" s="8">
        <v>5</v>
      </c>
      <c r="W580" t="s">
        <v>473</v>
      </c>
      <c r="X580" t="s">
        <v>473</v>
      </c>
      <c r="Y580" t="s">
        <v>473</v>
      </c>
      <c r="Z580" t="s">
        <v>473</v>
      </c>
      <c r="AA580" t="s">
        <v>473</v>
      </c>
      <c r="AB580" t="s">
        <v>473</v>
      </c>
      <c r="AC580" s="10">
        <v>3</v>
      </c>
      <c r="AD580" s="10">
        <v>11</v>
      </c>
      <c r="AE580" t="s">
        <v>473</v>
      </c>
    </row>
    <row r="581" spans="1:31" x14ac:dyDescent="0.25">
      <c r="A581">
        <v>5253</v>
      </c>
      <c r="B581">
        <v>1956</v>
      </c>
      <c r="C581" t="s">
        <v>36</v>
      </c>
      <c r="D581" t="s">
        <v>31</v>
      </c>
      <c r="E581" t="str">
        <f>IF(OR(Table1[[#This Row],[marital_status]]="Married", Table1[[#This Row],[marital_status]]="Together"), "Partnered", "Single")</f>
        <v>Partnered</v>
      </c>
      <c r="F581" s="7">
        <v>54603</v>
      </c>
      <c r="G581" s="8">
        <v>1</v>
      </c>
      <c r="H581" s="8">
        <v>1</v>
      </c>
      <c r="I581" s="8">
        <f>Table1[[#This Row],[kids]]+Table1[[#This Row],[teens]]</f>
        <v>2</v>
      </c>
      <c r="J581" s="9">
        <v>41464</v>
      </c>
      <c r="K581" s="8">
        <v>85</v>
      </c>
      <c r="L581" s="6">
        <v>145</v>
      </c>
      <c r="M581" s="5">
        <v>13</v>
      </c>
      <c r="N581" s="5">
        <v>46</v>
      </c>
      <c r="O581" s="5">
        <v>17</v>
      </c>
      <c r="P581" s="5">
        <v>2</v>
      </c>
      <c r="Q581" s="5">
        <v>4</v>
      </c>
      <c r="R581" s="8">
        <v>6</v>
      </c>
      <c r="S581" s="8">
        <v>4</v>
      </c>
      <c r="T581" s="8">
        <v>2</v>
      </c>
      <c r="U581" s="8">
        <v>4</v>
      </c>
      <c r="V581" s="8">
        <v>7</v>
      </c>
      <c r="W581" t="s">
        <v>473</v>
      </c>
      <c r="X581" t="s">
        <v>473</v>
      </c>
      <c r="Y581" t="s">
        <v>473</v>
      </c>
      <c r="Z581" t="s">
        <v>473</v>
      </c>
      <c r="AA581" t="s">
        <v>473</v>
      </c>
      <c r="AB581" t="s">
        <v>473</v>
      </c>
      <c r="AC581" s="10">
        <v>3</v>
      </c>
      <c r="AD581" s="10">
        <v>11</v>
      </c>
      <c r="AE581" t="s">
        <v>473</v>
      </c>
    </row>
    <row r="582" spans="1:31" x14ac:dyDescent="0.25">
      <c r="A582">
        <v>5966</v>
      </c>
      <c r="B582">
        <v>1974</v>
      </c>
      <c r="C582" t="s">
        <v>33</v>
      </c>
      <c r="D582" t="s">
        <v>34</v>
      </c>
      <c r="E582" t="str">
        <f>IF(OR(Table1[[#This Row],[marital_status]]="Married", Table1[[#This Row],[marital_status]]="Together"), "Partnered", "Single")</f>
        <v>Partnered</v>
      </c>
      <c r="F582" s="7">
        <v>45207</v>
      </c>
      <c r="G582" s="8">
        <v>1</v>
      </c>
      <c r="H582" s="8">
        <v>1</v>
      </c>
      <c r="I582" s="8">
        <f>Table1[[#This Row],[kids]]+Table1[[#This Row],[teens]]</f>
        <v>2</v>
      </c>
      <c r="J582" s="9">
        <v>41223</v>
      </c>
      <c r="K582" s="8">
        <v>64</v>
      </c>
      <c r="L582" s="6">
        <v>203</v>
      </c>
      <c r="M582" s="5">
        <v>0</v>
      </c>
      <c r="N582" s="5">
        <v>10</v>
      </c>
      <c r="O582" s="5">
        <v>0</v>
      </c>
      <c r="P582" s="5">
        <v>0</v>
      </c>
      <c r="Q582" s="5">
        <v>2</v>
      </c>
      <c r="R582" s="8">
        <v>5</v>
      </c>
      <c r="S582" s="8">
        <v>3</v>
      </c>
      <c r="T582" s="8">
        <v>1</v>
      </c>
      <c r="U582" s="8">
        <v>6</v>
      </c>
      <c r="V582" s="8">
        <v>6</v>
      </c>
      <c r="W582" t="s">
        <v>473</v>
      </c>
      <c r="X582" t="s">
        <v>474</v>
      </c>
      <c r="Y582" t="s">
        <v>473</v>
      </c>
      <c r="Z582" t="s">
        <v>473</v>
      </c>
      <c r="AA582" t="s">
        <v>473</v>
      </c>
      <c r="AB582" t="s">
        <v>473</v>
      </c>
      <c r="AC582" s="10">
        <v>3</v>
      </c>
      <c r="AD582" s="10">
        <v>11</v>
      </c>
      <c r="AE582" t="s">
        <v>473</v>
      </c>
    </row>
    <row r="583" spans="1:31" x14ac:dyDescent="0.25">
      <c r="A583">
        <v>5314</v>
      </c>
      <c r="B583">
        <v>1951</v>
      </c>
      <c r="C583" t="s">
        <v>466</v>
      </c>
      <c r="D583" t="s">
        <v>31</v>
      </c>
      <c r="E583" t="str">
        <f>IF(OR(Table1[[#This Row],[marital_status]]="Married", Table1[[#This Row],[marital_status]]="Together"), "Partnered", "Single")</f>
        <v>Partnered</v>
      </c>
      <c r="F583" s="7">
        <v>40689</v>
      </c>
      <c r="G583" s="8">
        <v>0</v>
      </c>
      <c r="H583" s="8">
        <v>1</v>
      </c>
      <c r="I583" s="8">
        <f>Table1[[#This Row],[kids]]+Table1[[#This Row],[teens]]</f>
        <v>1</v>
      </c>
      <c r="J583" s="9">
        <v>41351</v>
      </c>
      <c r="K583" s="8">
        <v>69</v>
      </c>
      <c r="L583" s="6">
        <v>270</v>
      </c>
      <c r="M583" s="5">
        <v>3</v>
      </c>
      <c r="N583" s="5">
        <v>27</v>
      </c>
      <c r="O583" s="5">
        <v>39</v>
      </c>
      <c r="P583" s="5">
        <v>6</v>
      </c>
      <c r="Q583" s="5">
        <v>99</v>
      </c>
      <c r="R583" s="8">
        <v>7</v>
      </c>
      <c r="S583" s="8">
        <v>7</v>
      </c>
      <c r="T583" s="8">
        <v>1</v>
      </c>
      <c r="U583" s="8">
        <v>5</v>
      </c>
      <c r="V583" s="8">
        <v>8</v>
      </c>
      <c r="W583" t="s">
        <v>473</v>
      </c>
      <c r="X583" t="s">
        <v>473</v>
      </c>
      <c r="Y583" t="s">
        <v>473</v>
      </c>
      <c r="Z583" t="s">
        <v>473</v>
      </c>
      <c r="AA583" t="s">
        <v>473</v>
      </c>
      <c r="AB583" t="s">
        <v>473</v>
      </c>
      <c r="AC583" s="10">
        <v>3</v>
      </c>
      <c r="AD583" s="10">
        <v>11</v>
      </c>
      <c r="AE583" t="s">
        <v>473</v>
      </c>
    </row>
    <row r="584" spans="1:31" x14ac:dyDescent="0.25">
      <c r="A584">
        <v>5081</v>
      </c>
      <c r="B584">
        <v>1967</v>
      </c>
      <c r="C584" t="s">
        <v>46</v>
      </c>
      <c r="D584" t="s">
        <v>31</v>
      </c>
      <c r="E584" t="str">
        <f>IF(OR(Table1[[#This Row],[marital_status]]="Married", Table1[[#This Row],[marital_status]]="Together"), "Partnered", "Single")</f>
        <v>Partnered</v>
      </c>
      <c r="F584" s="7">
        <v>47821</v>
      </c>
      <c r="G584" s="8">
        <v>1</v>
      </c>
      <c r="H584" s="8">
        <v>1</v>
      </c>
      <c r="I584" s="8">
        <f>Table1[[#This Row],[kids]]+Table1[[#This Row],[teens]]</f>
        <v>2</v>
      </c>
      <c r="J584" s="9">
        <v>41567</v>
      </c>
      <c r="K584" s="8">
        <v>54</v>
      </c>
      <c r="L584" s="6">
        <v>9</v>
      </c>
      <c r="M584" s="5">
        <v>0</v>
      </c>
      <c r="N584" s="5">
        <v>16</v>
      </c>
      <c r="O584" s="5">
        <v>6</v>
      </c>
      <c r="P584" s="5">
        <v>6</v>
      </c>
      <c r="Q584" s="5">
        <v>10</v>
      </c>
      <c r="R584" s="8">
        <v>1</v>
      </c>
      <c r="S584" s="8">
        <v>1</v>
      </c>
      <c r="T584" s="8">
        <v>0</v>
      </c>
      <c r="U584" s="8">
        <v>3</v>
      </c>
      <c r="V584" s="8">
        <v>8</v>
      </c>
      <c r="W584" t="s">
        <v>473</v>
      </c>
      <c r="X584" t="s">
        <v>473</v>
      </c>
      <c r="Y584" t="s">
        <v>473</v>
      </c>
      <c r="Z584" t="s">
        <v>473</v>
      </c>
      <c r="AA584" t="s">
        <v>473</v>
      </c>
      <c r="AB584" t="s">
        <v>473</v>
      </c>
      <c r="AC584" s="10">
        <v>3</v>
      </c>
      <c r="AD584" s="10">
        <v>11</v>
      </c>
      <c r="AE584" t="s">
        <v>473</v>
      </c>
    </row>
    <row r="585" spans="1:31" x14ac:dyDescent="0.25">
      <c r="A585">
        <v>5123</v>
      </c>
      <c r="B585">
        <v>1951</v>
      </c>
      <c r="C585" t="s">
        <v>36</v>
      </c>
      <c r="D585" t="s">
        <v>34</v>
      </c>
      <c r="E585" t="str">
        <f>IF(OR(Table1[[#This Row],[marital_status]]="Married", Table1[[#This Row],[marital_status]]="Together"), "Partnered", "Single")</f>
        <v>Partnered</v>
      </c>
      <c r="F585" s="7">
        <v>27450</v>
      </c>
      <c r="G585" s="8">
        <v>0</v>
      </c>
      <c r="H585" s="8">
        <v>0</v>
      </c>
      <c r="I585" s="8">
        <f>Table1[[#This Row],[kids]]+Table1[[#This Row],[teens]]</f>
        <v>0</v>
      </c>
      <c r="J585" s="9">
        <v>41379</v>
      </c>
      <c r="K585" s="8">
        <v>57</v>
      </c>
      <c r="L585" s="6">
        <v>37</v>
      </c>
      <c r="M585" s="5">
        <v>12</v>
      </c>
      <c r="N585" s="5">
        <v>23</v>
      </c>
      <c r="O585" s="5">
        <v>8</v>
      </c>
      <c r="P585" s="5">
        <v>11</v>
      </c>
      <c r="Q585" s="5">
        <v>52</v>
      </c>
      <c r="R585" s="8">
        <v>1</v>
      </c>
      <c r="S585" s="8">
        <v>2</v>
      </c>
      <c r="T585" s="8">
        <v>1</v>
      </c>
      <c r="U585" s="8">
        <v>3</v>
      </c>
      <c r="V585" s="8">
        <v>7</v>
      </c>
      <c r="W585" t="s">
        <v>473</v>
      </c>
      <c r="X585" t="s">
        <v>473</v>
      </c>
      <c r="Y585" t="s">
        <v>473</v>
      </c>
      <c r="Z585" t="s">
        <v>473</v>
      </c>
      <c r="AA585" t="s">
        <v>473</v>
      </c>
      <c r="AB585" t="s">
        <v>473</v>
      </c>
      <c r="AC585" s="10">
        <v>3</v>
      </c>
      <c r="AD585" s="10">
        <v>11</v>
      </c>
      <c r="AE585" t="s">
        <v>473</v>
      </c>
    </row>
    <row r="586" spans="1:31" x14ac:dyDescent="0.25">
      <c r="A586">
        <v>5756</v>
      </c>
      <c r="B586">
        <v>1983</v>
      </c>
      <c r="C586" t="s">
        <v>466</v>
      </c>
      <c r="D586" t="s">
        <v>31</v>
      </c>
      <c r="E586" t="str">
        <f>IF(OR(Table1[[#This Row],[marital_status]]="Married", Table1[[#This Row],[marital_status]]="Together"), "Partnered", "Single")</f>
        <v>Partnered</v>
      </c>
      <c r="F586" s="7">
        <v>39453</v>
      </c>
      <c r="G586" s="8">
        <v>1</v>
      </c>
      <c r="H586" s="8">
        <v>0</v>
      </c>
      <c r="I586" s="8">
        <f>Table1[[#This Row],[kids]]+Table1[[#This Row],[teens]]</f>
        <v>1</v>
      </c>
      <c r="J586" s="9">
        <v>41732</v>
      </c>
      <c r="K586" s="8">
        <v>64</v>
      </c>
      <c r="L586" s="6">
        <v>46</v>
      </c>
      <c r="M586" s="5">
        <v>0</v>
      </c>
      <c r="N586" s="5">
        <v>7</v>
      </c>
      <c r="O586" s="5">
        <v>0</v>
      </c>
      <c r="P586" s="5">
        <v>0</v>
      </c>
      <c r="Q586" s="5">
        <v>2</v>
      </c>
      <c r="R586" s="8">
        <v>2</v>
      </c>
      <c r="S586" s="8">
        <v>2</v>
      </c>
      <c r="T586" s="8">
        <v>0</v>
      </c>
      <c r="U586" s="8">
        <v>3</v>
      </c>
      <c r="V586" s="8">
        <v>6</v>
      </c>
      <c r="W586" t="s">
        <v>473</v>
      </c>
      <c r="X586" t="s">
        <v>473</v>
      </c>
      <c r="Y586" t="s">
        <v>473</v>
      </c>
      <c r="Z586" t="s">
        <v>473</v>
      </c>
      <c r="AA586" t="s">
        <v>473</v>
      </c>
      <c r="AB586" t="s">
        <v>473</v>
      </c>
      <c r="AC586" s="10">
        <v>3</v>
      </c>
      <c r="AD586" s="10">
        <v>11</v>
      </c>
      <c r="AE586" t="s">
        <v>473</v>
      </c>
    </row>
    <row r="587" spans="1:31" x14ac:dyDescent="0.25">
      <c r="A587">
        <v>8036</v>
      </c>
      <c r="B587">
        <v>1971</v>
      </c>
      <c r="C587" t="s">
        <v>46</v>
      </c>
      <c r="D587" t="s">
        <v>31</v>
      </c>
      <c r="E587" t="str">
        <f>IF(OR(Table1[[#This Row],[marital_status]]="Married", Table1[[#This Row],[marital_status]]="Together"), "Partnered", "Single")</f>
        <v>Partnered</v>
      </c>
      <c r="F587" s="7">
        <v>26850</v>
      </c>
      <c r="G587" s="8">
        <v>1</v>
      </c>
      <c r="H587" s="8">
        <v>1</v>
      </c>
      <c r="I587" s="8">
        <f>Table1[[#This Row],[kids]]+Table1[[#This Row],[teens]]</f>
        <v>2</v>
      </c>
      <c r="J587" s="9">
        <v>41747</v>
      </c>
      <c r="K587" s="8">
        <v>10</v>
      </c>
      <c r="L587" s="6">
        <v>31</v>
      </c>
      <c r="M587" s="5">
        <v>1</v>
      </c>
      <c r="N587" s="5">
        <v>13</v>
      </c>
      <c r="O587" s="5">
        <v>7</v>
      </c>
      <c r="P587" s="5">
        <v>2</v>
      </c>
      <c r="Q587" s="5">
        <v>9</v>
      </c>
      <c r="R587" s="8">
        <v>4</v>
      </c>
      <c r="S587" s="8">
        <v>2</v>
      </c>
      <c r="T587" s="8">
        <v>1</v>
      </c>
      <c r="U587" s="8">
        <v>4</v>
      </c>
      <c r="V587" s="8">
        <v>4</v>
      </c>
      <c r="W587" t="s">
        <v>473</v>
      </c>
      <c r="X587" t="s">
        <v>473</v>
      </c>
      <c r="Y587" t="s">
        <v>473</v>
      </c>
      <c r="Z587" t="s">
        <v>473</v>
      </c>
      <c r="AA587" t="s">
        <v>473</v>
      </c>
      <c r="AB587" t="s">
        <v>473</v>
      </c>
      <c r="AC587" s="10">
        <v>3</v>
      </c>
      <c r="AD587" s="10">
        <v>11</v>
      </c>
      <c r="AE587" t="s">
        <v>473</v>
      </c>
    </row>
    <row r="588" spans="1:31" x14ac:dyDescent="0.25">
      <c r="A588">
        <v>9058</v>
      </c>
      <c r="B588">
        <v>1955</v>
      </c>
      <c r="C588" t="s">
        <v>466</v>
      </c>
      <c r="D588" t="s">
        <v>57</v>
      </c>
      <c r="E588" t="str">
        <f>IF(OR(Table1[[#This Row],[marital_status]]="Married", Table1[[#This Row],[marital_status]]="Together"), "Partnered", "Single")</f>
        <v>Single</v>
      </c>
      <c r="F588" s="7">
        <v>79800</v>
      </c>
      <c r="G588" s="8">
        <v>0</v>
      </c>
      <c r="H588" s="8">
        <v>0</v>
      </c>
      <c r="I588" s="8">
        <f>Table1[[#This Row],[kids]]+Table1[[#This Row],[teens]]</f>
        <v>0</v>
      </c>
      <c r="J588" s="9">
        <v>41175</v>
      </c>
      <c r="K588" s="8">
        <v>65</v>
      </c>
      <c r="L588" s="6">
        <v>1060</v>
      </c>
      <c r="M588" s="5">
        <v>21</v>
      </c>
      <c r="N588" s="5">
        <v>530</v>
      </c>
      <c r="O588" s="5">
        <v>32</v>
      </c>
      <c r="P588" s="5">
        <v>0</v>
      </c>
      <c r="Q588" s="5">
        <v>224</v>
      </c>
      <c r="R588" s="8">
        <v>1</v>
      </c>
      <c r="S588" s="8">
        <v>5</v>
      </c>
      <c r="T588" s="8">
        <v>11</v>
      </c>
      <c r="U588" s="8">
        <v>5</v>
      </c>
      <c r="V588" s="8">
        <v>3</v>
      </c>
      <c r="W588" t="s">
        <v>474</v>
      </c>
      <c r="X588" t="s">
        <v>473</v>
      </c>
      <c r="Y588" t="s">
        <v>474</v>
      </c>
      <c r="Z588" t="s">
        <v>474</v>
      </c>
      <c r="AA588" t="s">
        <v>473</v>
      </c>
      <c r="AB588" t="s">
        <v>473</v>
      </c>
      <c r="AC588" s="10">
        <v>3</v>
      </c>
      <c r="AD588" s="10">
        <v>11</v>
      </c>
      <c r="AE588" t="s">
        <v>474</v>
      </c>
    </row>
    <row r="589" spans="1:31" x14ac:dyDescent="0.25">
      <c r="A589">
        <v>5057</v>
      </c>
      <c r="B589">
        <v>1961</v>
      </c>
      <c r="C589" t="s">
        <v>36</v>
      </c>
      <c r="D589" t="s">
        <v>34</v>
      </c>
      <c r="E589" t="str">
        <f>IF(OR(Table1[[#This Row],[marital_status]]="Married", Table1[[#This Row],[marital_status]]="Together"), "Partnered", "Single")</f>
        <v>Partnered</v>
      </c>
      <c r="F589" s="7">
        <v>61794</v>
      </c>
      <c r="G589" s="8">
        <v>0</v>
      </c>
      <c r="H589" s="8">
        <v>1</v>
      </c>
      <c r="I589" s="8">
        <f>Table1[[#This Row],[kids]]+Table1[[#This Row],[teens]]</f>
        <v>1</v>
      </c>
      <c r="J589" s="9">
        <v>41531</v>
      </c>
      <c r="K589" s="8">
        <v>74</v>
      </c>
      <c r="L589" s="6">
        <v>264</v>
      </c>
      <c r="M589" s="5">
        <v>47</v>
      </c>
      <c r="N589" s="5">
        <v>188</v>
      </c>
      <c r="O589" s="5">
        <v>54</v>
      </c>
      <c r="P589" s="5">
        <v>47</v>
      </c>
      <c r="Q589" s="5">
        <v>11</v>
      </c>
      <c r="R589" s="8">
        <v>2</v>
      </c>
      <c r="S589" s="8">
        <v>4</v>
      </c>
      <c r="T589" s="8">
        <v>4</v>
      </c>
      <c r="U589" s="8">
        <v>10</v>
      </c>
      <c r="V589" s="8">
        <v>2</v>
      </c>
      <c r="W589" t="s">
        <v>473</v>
      </c>
      <c r="X589" t="s">
        <v>473</v>
      </c>
      <c r="Y589" t="s">
        <v>473</v>
      </c>
      <c r="Z589" t="s">
        <v>473</v>
      </c>
      <c r="AA589" t="s">
        <v>473</v>
      </c>
      <c r="AB589" t="s">
        <v>473</v>
      </c>
      <c r="AC589" s="10">
        <v>3</v>
      </c>
      <c r="AD589" s="10">
        <v>11</v>
      </c>
      <c r="AE589" t="s">
        <v>473</v>
      </c>
    </row>
    <row r="590" spans="1:31" x14ac:dyDescent="0.25">
      <c r="A590">
        <v>254</v>
      </c>
      <c r="B590">
        <v>1955</v>
      </c>
      <c r="C590" t="s">
        <v>466</v>
      </c>
      <c r="D590" t="s">
        <v>31</v>
      </c>
      <c r="E590" t="str">
        <f>IF(OR(Table1[[#This Row],[marital_status]]="Married", Table1[[#This Row],[marital_status]]="Together"), "Partnered", "Single")</f>
        <v>Partnered</v>
      </c>
      <c r="F590" s="7">
        <v>53863</v>
      </c>
      <c r="G590" s="8">
        <v>0</v>
      </c>
      <c r="H590" s="8">
        <v>1</v>
      </c>
      <c r="I590" s="8">
        <f>Table1[[#This Row],[kids]]+Table1[[#This Row],[teens]]</f>
        <v>1</v>
      </c>
      <c r="J590" s="9">
        <v>41776</v>
      </c>
      <c r="K590" s="8">
        <v>4</v>
      </c>
      <c r="L590" s="6">
        <v>399</v>
      </c>
      <c r="M590" s="5">
        <v>4</v>
      </c>
      <c r="N590" s="5">
        <v>30</v>
      </c>
      <c r="O590" s="5">
        <v>6</v>
      </c>
      <c r="P590" s="5">
        <v>4</v>
      </c>
      <c r="Q590" s="5">
        <v>30</v>
      </c>
      <c r="R590" s="8">
        <v>3</v>
      </c>
      <c r="S590" s="8">
        <v>7</v>
      </c>
      <c r="T590" s="8">
        <v>1</v>
      </c>
      <c r="U590" s="8">
        <v>7</v>
      </c>
      <c r="V590" s="8">
        <v>7</v>
      </c>
      <c r="W590" t="s">
        <v>473</v>
      </c>
      <c r="X590" t="s">
        <v>474</v>
      </c>
      <c r="Y590" t="s">
        <v>473</v>
      </c>
      <c r="Z590" t="s">
        <v>473</v>
      </c>
      <c r="AA590" t="s">
        <v>473</v>
      </c>
      <c r="AB590" t="s">
        <v>473</v>
      </c>
      <c r="AC590" s="10">
        <v>3</v>
      </c>
      <c r="AD590" s="10">
        <v>11</v>
      </c>
      <c r="AE590" t="s">
        <v>473</v>
      </c>
    </row>
    <row r="591" spans="1:31" x14ac:dyDescent="0.25">
      <c r="A591">
        <v>4179</v>
      </c>
      <c r="B591">
        <v>1959</v>
      </c>
      <c r="C591" t="s">
        <v>466</v>
      </c>
      <c r="D591" t="s">
        <v>31</v>
      </c>
      <c r="E591" t="str">
        <f>IF(OR(Table1[[#This Row],[marital_status]]="Married", Table1[[#This Row],[marital_status]]="Together"), "Partnered", "Single")</f>
        <v>Partnered</v>
      </c>
      <c r="F591" s="7">
        <v>24221</v>
      </c>
      <c r="G591" s="8">
        <v>0</v>
      </c>
      <c r="H591" s="8">
        <v>0</v>
      </c>
      <c r="I591" s="8">
        <f>Table1[[#This Row],[kids]]+Table1[[#This Row],[teens]]</f>
        <v>0</v>
      </c>
      <c r="J591" s="9">
        <v>41506</v>
      </c>
      <c r="K591" s="8">
        <v>94</v>
      </c>
      <c r="L591" s="6">
        <v>8</v>
      </c>
      <c r="M591" s="5">
        <v>9</v>
      </c>
      <c r="N591" s="5">
        <v>9</v>
      </c>
      <c r="O591" s="5">
        <v>2</v>
      </c>
      <c r="P591" s="5">
        <v>5</v>
      </c>
      <c r="Q591" s="5">
        <v>22</v>
      </c>
      <c r="R591" s="8">
        <v>1</v>
      </c>
      <c r="S591" s="8">
        <v>1</v>
      </c>
      <c r="T591" s="8">
        <v>1</v>
      </c>
      <c r="U591" s="8">
        <v>3</v>
      </c>
      <c r="V591" s="8">
        <v>4</v>
      </c>
      <c r="W591" t="s">
        <v>473</v>
      </c>
      <c r="X591" t="s">
        <v>473</v>
      </c>
      <c r="Y591" t="s">
        <v>473</v>
      </c>
      <c r="Z591" t="s">
        <v>473</v>
      </c>
      <c r="AA591" t="s">
        <v>473</v>
      </c>
      <c r="AB591" t="s">
        <v>473</v>
      </c>
      <c r="AC591" s="10">
        <v>3</v>
      </c>
      <c r="AD591" s="10">
        <v>11</v>
      </c>
      <c r="AE591" t="s">
        <v>473</v>
      </c>
    </row>
    <row r="592" spans="1:31" x14ac:dyDescent="0.25">
      <c r="A592">
        <v>3710</v>
      </c>
      <c r="B592">
        <v>1984</v>
      </c>
      <c r="C592" t="s">
        <v>33</v>
      </c>
      <c r="D592" t="s">
        <v>30</v>
      </c>
      <c r="E592" t="str">
        <f>IF(OR(Table1[[#This Row],[marital_status]]="Married", Table1[[#This Row],[marital_status]]="Together"), "Partnered", "Single")</f>
        <v>Single</v>
      </c>
      <c r="F592" s="7">
        <v>39684</v>
      </c>
      <c r="G592" s="8">
        <v>1</v>
      </c>
      <c r="H592" s="8">
        <v>0</v>
      </c>
      <c r="I592" s="8">
        <f>Table1[[#This Row],[kids]]+Table1[[#This Row],[teens]]</f>
        <v>1</v>
      </c>
      <c r="J592" s="9">
        <v>41194</v>
      </c>
      <c r="K592" s="8">
        <v>41</v>
      </c>
      <c r="L592" s="6">
        <v>19</v>
      </c>
      <c r="M592" s="5">
        <v>0</v>
      </c>
      <c r="N592" s="5">
        <v>35</v>
      </c>
      <c r="O592" s="5">
        <v>6</v>
      </c>
      <c r="P592" s="5">
        <v>4</v>
      </c>
      <c r="Q592" s="5">
        <v>17</v>
      </c>
      <c r="R592" s="8">
        <v>2</v>
      </c>
      <c r="S592" s="8">
        <v>2</v>
      </c>
      <c r="T592" s="8">
        <v>1</v>
      </c>
      <c r="U592" s="8">
        <v>2</v>
      </c>
      <c r="V592" s="8">
        <v>7</v>
      </c>
      <c r="W592" t="s">
        <v>473</v>
      </c>
      <c r="X592" t="s">
        <v>473</v>
      </c>
      <c r="Y592" t="s">
        <v>473</v>
      </c>
      <c r="Z592" t="s">
        <v>473</v>
      </c>
      <c r="AA592" t="s">
        <v>473</v>
      </c>
      <c r="AB592" t="s">
        <v>474</v>
      </c>
      <c r="AC592" s="10">
        <v>3</v>
      </c>
      <c r="AD592" s="10">
        <v>11</v>
      </c>
      <c r="AE592" t="s">
        <v>474</v>
      </c>
    </row>
    <row r="593" spans="1:31" x14ac:dyDescent="0.25">
      <c r="A593">
        <v>7627</v>
      </c>
      <c r="B593">
        <v>1975</v>
      </c>
      <c r="C593" t="s">
        <v>36</v>
      </c>
      <c r="D593" t="s">
        <v>34</v>
      </c>
      <c r="E593" t="str">
        <f>IF(OR(Table1[[#This Row],[marital_status]]="Married", Table1[[#This Row],[marital_status]]="Together"), "Partnered", "Single")</f>
        <v>Partnered</v>
      </c>
      <c r="F593" s="7">
        <v>92163</v>
      </c>
      <c r="G593" s="8">
        <v>0</v>
      </c>
      <c r="H593" s="8">
        <v>0</v>
      </c>
      <c r="I593" s="8">
        <f>Table1[[#This Row],[kids]]+Table1[[#This Row],[teens]]</f>
        <v>0</v>
      </c>
      <c r="J593" s="9">
        <v>41255</v>
      </c>
      <c r="K593" s="8">
        <v>25</v>
      </c>
      <c r="L593" s="6">
        <v>817</v>
      </c>
      <c r="M593" s="5">
        <v>183</v>
      </c>
      <c r="N593" s="5">
        <v>797</v>
      </c>
      <c r="O593" s="5">
        <v>106</v>
      </c>
      <c r="P593" s="5">
        <v>163</v>
      </c>
      <c r="Q593" s="5">
        <v>20</v>
      </c>
      <c r="R593" s="8">
        <v>0</v>
      </c>
      <c r="S593" s="8">
        <v>5</v>
      </c>
      <c r="T593" s="8">
        <v>11</v>
      </c>
      <c r="U593" s="8">
        <v>5</v>
      </c>
      <c r="V593" s="8">
        <v>2</v>
      </c>
      <c r="W593" t="s">
        <v>473</v>
      </c>
      <c r="X593" t="s">
        <v>473</v>
      </c>
      <c r="Y593" t="s">
        <v>474</v>
      </c>
      <c r="Z593" t="s">
        <v>474</v>
      </c>
      <c r="AA593" t="s">
        <v>473</v>
      </c>
      <c r="AB593" t="s">
        <v>473</v>
      </c>
      <c r="AC593" s="10">
        <v>3</v>
      </c>
      <c r="AD593" s="10">
        <v>11</v>
      </c>
      <c r="AE593" t="s">
        <v>474</v>
      </c>
    </row>
    <row r="594" spans="1:31" x14ac:dyDescent="0.25">
      <c r="A594">
        <v>4501</v>
      </c>
      <c r="B594">
        <v>1965</v>
      </c>
      <c r="C594" t="s">
        <v>36</v>
      </c>
      <c r="D594" t="s">
        <v>30</v>
      </c>
      <c r="E594" t="str">
        <f>IF(OR(Table1[[#This Row],[marital_status]]="Married", Table1[[#This Row],[marital_status]]="Together"), "Partnered", "Single")</f>
        <v>Single</v>
      </c>
      <c r="F594" s="7">
        <v>69882</v>
      </c>
      <c r="G594" s="8">
        <v>0</v>
      </c>
      <c r="H594" s="8">
        <v>0</v>
      </c>
      <c r="I594" s="8">
        <f>Table1[[#This Row],[kids]]+Table1[[#This Row],[teens]]</f>
        <v>0</v>
      </c>
      <c r="J594" s="9">
        <v>41588</v>
      </c>
      <c r="K594" s="8">
        <v>94</v>
      </c>
      <c r="L594" s="6">
        <v>292</v>
      </c>
      <c r="M594" s="5">
        <v>127</v>
      </c>
      <c r="N594" s="5">
        <v>635</v>
      </c>
      <c r="O594" s="5">
        <v>132</v>
      </c>
      <c r="P594" s="5">
        <v>127</v>
      </c>
      <c r="Q594" s="5">
        <v>165</v>
      </c>
      <c r="R594" s="8">
        <v>1</v>
      </c>
      <c r="S594" s="8">
        <v>3</v>
      </c>
      <c r="T594" s="8">
        <v>7</v>
      </c>
      <c r="U594" s="8">
        <v>9</v>
      </c>
      <c r="V594" s="8">
        <v>1</v>
      </c>
      <c r="W594" t="s">
        <v>473</v>
      </c>
      <c r="X594" t="s">
        <v>473</v>
      </c>
      <c r="Y594" t="s">
        <v>473</v>
      </c>
      <c r="Z594" t="s">
        <v>473</v>
      </c>
      <c r="AA594" t="s">
        <v>473</v>
      </c>
      <c r="AB594" t="s">
        <v>473</v>
      </c>
      <c r="AC594" s="10">
        <v>3</v>
      </c>
      <c r="AD594" s="10">
        <v>11</v>
      </c>
      <c r="AE594" t="s">
        <v>473</v>
      </c>
    </row>
    <row r="595" spans="1:31" x14ac:dyDescent="0.25">
      <c r="A595">
        <v>6424</v>
      </c>
      <c r="B595">
        <v>1977</v>
      </c>
      <c r="C595" t="s">
        <v>466</v>
      </c>
      <c r="D595" t="s">
        <v>31</v>
      </c>
      <c r="E595" t="str">
        <f>IF(OR(Table1[[#This Row],[marital_status]]="Married", Table1[[#This Row],[marital_status]]="Together"), "Partnered", "Single")</f>
        <v>Partnered</v>
      </c>
      <c r="F595" s="7">
        <v>33178</v>
      </c>
      <c r="G595" s="8">
        <v>1</v>
      </c>
      <c r="H595" s="8">
        <v>0</v>
      </c>
      <c r="I595" s="8">
        <f>Table1[[#This Row],[kids]]+Table1[[#This Row],[teens]]</f>
        <v>1</v>
      </c>
      <c r="J595" s="9">
        <v>41669</v>
      </c>
      <c r="K595" s="8">
        <v>9</v>
      </c>
      <c r="L595" s="6">
        <v>12</v>
      </c>
      <c r="M595" s="5">
        <v>6</v>
      </c>
      <c r="N595" s="5">
        <v>2</v>
      </c>
      <c r="O595" s="5">
        <v>11</v>
      </c>
      <c r="P595" s="5">
        <v>2</v>
      </c>
      <c r="Q595" s="5">
        <v>16</v>
      </c>
      <c r="R595" s="8">
        <v>1</v>
      </c>
      <c r="S595" s="8">
        <v>1</v>
      </c>
      <c r="T595" s="8">
        <v>0</v>
      </c>
      <c r="U595" s="8">
        <v>3</v>
      </c>
      <c r="V595" s="8">
        <v>4</v>
      </c>
      <c r="W595" t="s">
        <v>473</v>
      </c>
      <c r="X595" t="s">
        <v>473</v>
      </c>
      <c r="Y595" t="s">
        <v>473</v>
      </c>
      <c r="Z595" t="s">
        <v>473</v>
      </c>
      <c r="AA595" t="s">
        <v>473</v>
      </c>
      <c r="AB595" t="s">
        <v>473</v>
      </c>
      <c r="AC595" s="10">
        <v>3</v>
      </c>
      <c r="AD595" s="10">
        <v>11</v>
      </c>
      <c r="AE595" t="s">
        <v>473</v>
      </c>
    </row>
    <row r="596" spans="1:31" x14ac:dyDescent="0.25">
      <c r="A596">
        <v>3075</v>
      </c>
      <c r="B596">
        <v>1972</v>
      </c>
      <c r="C596" t="s">
        <v>33</v>
      </c>
      <c r="D596" t="s">
        <v>34</v>
      </c>
      <c r="E596" t="str">
        <f>IF(OR(Table1[[#This Row],[marital_status]]="Married", Table1[[#This Row],[marital_status]]="Together"), "Partnered", "Single")</f>
        <v>Partnered</v>
      </c>
      <c r="F596" s="7">
        <v>59973</v>
      </c>
      <c r="G596" s="8">
        <v>0</v>
      </c>
      <c r="H596" s="8">
        <v>0</v>
      </c>
      <c r="I596" s="8">
        <f>Table1[[#This Row],[kids]]+Table1[[#This Row],[teens]]</f>
        <v>0</v>
      </c>
      <c r="J596" s="9">
        <v>41528</v>
      </c>
      <c r="K596" s="8">
        <v>47</v>
      </c>
      <c r="L596" s="6">
        <v>130</v>
      </c>
      <c r="M596" s="5">
        <v>30</v>
      </c>
      <c r="N596" s="5">
        <v>168</v>
      </c>
      <c r="O596" s="5">
        <v>20</v>
      </c>
      <c r="P596" s="5">
        <v>34</v>
      </c>
      <c r="Q596" s="5">
        <v>0</v>
      </c>
      <c r="R596" s="8">
        <v>1</v>
      </c>
      <c r="S596" s="8">
        <v>3</v>
      </c>
      <c r="T596" s="8">
        <v>4</v>
      </c>
      <c r="U596" s="8">
        <v>7</v>
      </c>
      <c r="V596" s="8">
        <v>1</v>
      </c>
      <c r="W596" t="s">
        <v>473</v>
      </c>
      <c r="X596" t="s">
        <v>473</v>
      </c>
      <c r="Y596" t="s">
        <v>473</v>
      </c>
      <c r="Z596" t="s">
        <v>473</v>
      </c>
      <c r="AA596" t="s">
        <v>473</v>
      </c>
      <c r="AB596" t="s">
        <v>473</v>
      </c>
      <c r="AC596" s="10">
        <v>3</v>
      </c>
      <c r="AD596" s="10">
        <v>11</v>
      </c>
      <c r="AE596" t="s">
        <v>473</v>
      </c>
    </row>
    <row r="597" spans="1:31" x14ac:dyDescent="0.25">
      <c r="A597">
        <v>4992</v>
      </c>
      <c r="B597">
        <v>1975</v>
      </c>
      <c r="C597" t="s">
        <v>36</v>
      </c>
      <c r="D597" t="s">
        <v>31</v>
      </c>
      <c r="E597" t="str">
        <f>IF(OR(Table1[[#This Row],[marital_status]]="Married", Table1[[#This Row],[marital_status]]="Together"), "Partnered", "Single")</f>
        <v>Partnered</v>
      </c>
      <c r="F597" s="7">
        <v>17459</v>
      </c>
      <c r="G597" s="8">
        <v>1</v>
      </c>
      <c r="H597" s="8">
        <v>0</v>
      </c>
      <c r="I597" s="8">
        <f>Table1[[#This Row],[kids]]+Table1[[#This Row],[teens]]</f>
        <v>1</v>
      </c>
      <c r="J597" s="9">
        <v>41536</v>
      </c>
      <c r="K597" s="8">
        <v>12</v>
      </c>
      <c r="L597" s="6">
        <v>6</v>
      </c>
      <c r="M597" s="5">
        <v>4</v>
      </c>
      <c r="N597" s="5">
        <v>16</v>
      </c>
      <c r="O597" s="5">
        <v>3</v>
      </c>
      <c r="P597" s="5">
        <v>10</v>
      </c>
      <c r="Q597" s="5">
        <v>30</v>
      </c>
      <c r="R597" s="8">
        <v>3</v>
      </c>
      <c r="S597" s="8">
        <v>3</v>
      </c>
      <c r="T597" s="8">
        <v>1</v>
      </c>
      <c r="U597" s="8">
        <v>2</v>
      </c>
      <c r="V597" s="8">
        <v>7</v>
      </c>
      <c r="W597" t="s">
        <v>473</v>
      </c>
      <c r="X597" t="s">
        <v>473</v>
      </c>
      <c r="Y597" t="s">
        <v>473</v>
      </c>
      <c r="Z597" t="s">
        <v>473</v>
      </c>
      <c r="AA597" t="s">
        <v>473</v>
      </c>
      <c r="AB597" t="s">
        <v>473</v>
      </c>
      <c r="AC597" s="10">
        <v>3</v>
      </c>
      <c r="AD597" s="10">
        <v>11</v>
      </c>
      <c r="AE597" t="s">
        <v>474</v>
      </c>
    </row>
    <row r="598" spans="1:31" x14ac:dyDescent="0.25">
      <c r="A598">
        <v>5252</v>
      </c>
      <c r="B598">
        <v>1969</v>
      </c>
      <c r="C598" t="s">
        <v>466</v>
      </c>
      <c r="D598" t="s">
        <v>37</v>
      </c>
      <c r="E598" t="str">
        <f>IF(OR(Table1[[#This Row],[marital_status]]="Married", Table1[[#This Row],[marital_status]]="Together"), "Partnered", "Single")</f>
        <v>Single</v>
      </c>
      <c r="F598" s="7">
        <v>23910</v>
      </c>
      <c r="G598" s="8">
        <v>1</v>
      </c>
      <c r="H598" s="8">
        <v>0</v>
      </c>
      <c r="I598" s="8">
        <f>Table1[[#This Row],[kids]]+Table1[[#This Row],[teens]]</f>
        <v>1</v>
      </c>
      <c r="J598" s="9">
        <v>41208</v>
      </c>
      <c r="K598" s="8">
        <v>80</v>
      </c>
      <c r="L598" s="6">
        <v>16</v>
      </c>
      <c r="M598" s="5">
        <v>12</v>
      </c>
      <c r="N598" s="5">
        <v>18</v>
      </c>
      <c r="O598" s="5">
        <v>7</v>
      </c>
      <c r="P598" s="5">
        <v>1</v>
      </c>
      <c r="Q598" s="5">
        <v>13</v>
      </c>
      <c r="R598" s="8">
        <v>1</v>
      </c>
      <c r="S598" s="8">
        <v>2</v>
      </c>
      <c r="T598" s="8">
        <v>0</v>
      </c>
      <c r="U598" s="8">
        <v>3</v>
      </c>
      <c r="V598" s="8">
        <v>7</v>
      </c>
      <c r="W598" t="s">
        <v>473</v>
      </c>
      <c r="X598" t="s">
        <v>473</v>
      </c>
      <c r="Y598" t="s">
        <v>473</v>
      </c>
      <c r="Z598" t="s">
        <v>473</v>
      </c>
      <c r="AA598" t="s">
        <v>473</v>
      </c>
      <c r="AB598" t="s">
        <v>473</v>
      </c>
      <c r="AC598" s="10">
        <v>3</v>
      </c>
      <c r="AD598" s="10">
        <v>11</v>
      </c>
      <c r="AE598" t="s">
        <v>473</v>
      </c>
    </row>
    <row r="599" spans="1:31" x14ac:dyDescent="0.25">
      <c r="A599">
        <v>7444</v>
      </c>
      <c r="B599">
        <v>1969</v>
      </c>
      <c r="C599" t="s">
        <v>36</v>
      </c>
      <c r="D599" t="s">
        <v>34</v>
      </c>
      <c r="E599" t="str">
        <f>IF(OR(Table1[[#This Row],[marital_status]]="Married", Table1[[#This Row],[marital_status]]="Together"), "Partnered", "Single")</f>
        <v>Partnered</v>
      </c>
      <c r="F599" s="7">
        <v>42169</v>
      </c>
      <c r="G599" s="8">
        <v>1</v>
      </c>
      <c r="H599" s="8">
        <v>1</v>
      </c>
      <c r="I599" s="8">
        <f>Table1[[#This Row],[kids]]+Table1[[#This Row],[teens]]</f>
        <v>2</v>
      </c>
      <c r="J599" s="9">
        <v>41566</v>
      </c>
      <c r="K599" s="8">
        <v>20</v>
      </c>
      <c r="L599" s="6">
        <v>19</v>
      </c>
      <c r="M599" s="5">
        <v>0</v>
      </c>
      <c r="N599" s="5">
        <v>9</v>
      </c>
      <c r="O599" s="5">
        <v>0</v>
      </c>
      <c r="P599" s="5">
        <v>0</v>
      </c>
      <c r="Q599" s="5">
        <v>2</v>
      </c>
      <c r="R599" s="8">
        <v>2</v>
      </c>
      <c r="S599" s="8">
        <v>1</v>
      </c>
      <c r="T599" s="8">
        <v>0</v>
      </c>
      <c r="U599" s="8">
        <v>3</v>
      </c>
      <c r="V599" s="8">
        <v>8</v>
      </c>
      <c r="W599" t="s">
        <v>473</v>
      </c>
      <c r="X599" t="s">
        <v>473</v>
      </c>
      <c r="Y599" t="s">
        <v>473</v>
      </c>
      <c r="Z599" t="s">
        <v>473</v>
      </c>
      <c r="AA599" t="s">
        <v>473</v>
      </c>
      <c r="AB599" t="s">
        <v>473</v>
      </c>
      <c r="AC599" s="10">
        <v>3</v>
      </c>
      <c r="AD599" s="10">
        <v>11</v>
      </c>
      <c r="AE599" t="s">
        <v>473</v>
      </c>
    </row>
    <row r="600" spans="1:31" x14ac:dyDescent="0.25">
      <c r="A600">
        <v>6919</v>
      </c>
      <c r="B600">
        <v>1978</v>
      </c>
      <c r="C600" t="s">
        <v>46</v>
      </c>
      <c r="D600" t="s">
        <v>34</v>
      </c>
      <c r="E600" t="str">
        <f>IF(OR(Table1[[#This Row],[marital_status]]="Married", Table1[[#This Row],[marital_status]]="Together"), "Partnered", "Single")</f>
        <v>Partnered</v>
      </c>
      <c r="F600" s="7">
        <v>26224</v>
      </c>
      <c r="G600" s="8">
        <v>1</v>
      </c>
      <c r="H600" s="8">
        <v>0</v>
      </c>
      <c r="I600" s="8">
        <f>Table1[[#This Row],[kids]]+Table1[[#This Row],[teens]]</f>
        <v>1</v>
      </c>
      <c r="J600" s="9">
        <v>41429</v>
      </c>
      <c r="K600" s="8">
        <v>39</v>
      </c>
      <c r="L600" s="6">
        <v>4</v>
      </c>
      <c r="M600" s="5">
        <v>7</v>
      </c>
      <c r="N600" s="5">
        <v>15</v>
      </c>
      <c r="O600" s="5">
        <v>13</v>
      </c>
      <c r="P600" s="5">
        <v>9</v>
      </c>
      <c r="Q600" s="5">
        <v>15</v>
      </c>
      <c r="R600" s="8">
        <v>3</v>
      </c>
      <c r="S600" s="8">
        <v>2</v>
      </c>
      <c r="T600" s="8">
        <v>1</v>
      </c>
      <c r="U600" s="8">
        <v>3</v>
      </c>
      <c r="V600" s="8">
        <v>6</v>
      </c>
      <c r="W600" t="s">
        <v>473</v>
      </c>
      <c r="X600" t="s">
        <v>473</v>
      </c>
      <c r="Y600" t="s">
        <v>473</v>
      </c>
      <c r="Z600" t="s">
        <v>473</v>
      </c>
      <c r="AA600" t="s">
        <v>473</v>
      </c>
      <c r="AB600" t="s">
        <v>473</v>
      </c>
      <c r="AC600" s="10">
        <v>3</v>
      </c>
      <c r="AD600" s="10">
        <v>11</v>
      </c>
      <c r="AE600" t="s">
        <v>473</v>
      </c>
    </row>
    <row r="601" spans="1:31" x14ac:dyDescent="0.25">
      <c r="A601">
        <v>3537</v>
      </c>
      <c r="B601">
        <v>1981</v>
      </c>
      <c r="C601" t="s">
        <v>466</v>
      </c>
      <c r="D601" t="s">
        <v>31</v>
      </c>
      <c r="E601" t="str">
        <f>IF(OR(Table1[[#This Row],[marital_status]]="Married", Table1[[#This Row],[marital_status]]="Together"), "Partnered", "Single")</f>
        <v>Partnered</v>
      </c>
      <c r="F601" s="7">
        <v>31089</v>
      </c>
      <c r="G601" s="8">
        <v>1</v>
      </c>
      <c r="H601" s="8">
        <v>0</v>
      </c>
      <c r="I601" s="8">
        <f>Table1[[#This Row],[kids]]+Table1[[#This Row],[teens]]</f>
        <v>1</v>
      </c>
      <c r="J601" s="9">
        <v>41138</v>
      </c>
      <c r="K601" s="8">
        <v>57</v>
      </c>
      <c r="L601" s="6">
        <v>31</v>
      </c>
      <c r="M601" s="5">
        <v>3</v>
      </c>
      <c r="N601" s="5">
        <v>31</v>
      </c>
      <c r="O601" s="5">
        <v>2</v>
      </c>
      <c r="P601" s="5">
        <v>8</v>
      </c>
      <c r="Q601" s="5">
        <v>4</v>
      </c>
      <c r="R601" s="8">
        <v>3</v>
      </c>
      <c r="S601" s="8">
        <v>3</v>
      </c>
      <c r="T601" s="8">
        <v>0</v>
      </c>
      <c r="U601" s="8">
        <v>4</v>
      </c>
      <c r="V601" s="8">
        <v>8</v>
      </c>
      <c r="W601" t="s">
        <v>473</v>
      </c>
      <c r="X601" t="s">
        <v>473</v>
      </c>
      <c r="Y601" t="s">
        <v>473</v>
      </c>
      <c r="Z601" t="s">
        <v>473</v>
      </c>
      <c r="AA601" t="s">
        <v>473</v>
      </c>
      <c r="AB601" t="s">
        <v>473</v>
      </c>
      <c r="AC601" s="10">
        <v>3</v>
      </c>
      <c r="AD601" s="10">
        <v>11</v>
      </c>
      <c r="AE601" t="s">
        <v>473</v>
      </c>
    </row>
    <row r="602" spans="1:31" x14ac:dyDescent="0.25">
      <c r="A602">
        <v>10277</v>
      </c>
      <c r="B602">
        <v>1961</v>
      </c>
      <c r="C602" t="s">
        <v>466</v>
      </c>
      <c r="D602" t="s">
        <v>30</v>
      </c>
      <c r="E602" t="str">
        <f>IF(OR(Table1[[#This Row],[marital_status]]="Married", Table1[[#This Row],[marital_status]]="Together"), "Partnered", "Single")</f>
        <v>Single</v>
      </c>
      <c r="F602" s="7">
        <v>30081</v>
      </c>
      <c r="G602" s="8">
        <v>0</v>
      </c>
      <c r="H602" s="8">
        <v>1</v>
      </c>
      <c r="I602" s="8">
        <f>Table1[[#This Row],[kids]]+Table1[[#This Row],[teens]]</f>
        <v>1</v>
      </c>
      <c r="J602" s="9">
        <v>41326</v>
      </c>
      <c r="K602" s="8">
        <v>27</v>
      </c>
      <c r="L602" s="6">
        <v>36</v>
      </c>
      <c r="M602" s="5">
        <v>0</v>
      </c>
      <c r="N602" s="5">
        <v>2</v>
      </c>
      <c r="O602" s="5">
        <v>0</v>
      </c>
      <c r="P602" s="5">
        <v>0</v>
      </c>
      <c r="Q602" s="5">
        <v>4</v>
      </c>
      <c r="R602" s="8">
        <v>1</v>
      </c>
      <c r="S602" s="8">
        <v>1</v>
      </c>
      <c r="T602" s="8">
        <v>0</v>
      </c>
      <c r="U602" s="8">
        <v>3</v>
      </c>
      <c r="V602" s="8">
        <v>7</v>
      </c>
      <c r="W602" t="s">
        <v>473</v>
      </c>
      <c r="X602" t="s">
        <v>473</v>
      </c>
      <c r="Y602" t="s">
        <v>473</v>
      </c>
      <c r="Z602" t="s">
        <v>473</v>
      </c>
      <c r="AA602" t="s">
        <v>473</v>
      </c>
      <c r="AB602" t="s">
        <v>473</v>
      </c>
      <c r="AC602" s="10">
        <v>3</v>
      </c>
      <c r="AD602" s="10">
        <v>11</v>
      </c>
      <c r="AE602" t="s">
        <v>473</v>
      </c>
    </row>
    <row r="603" spans="1:31" x14ac:dyDescent="0.25">
      <c r="A603">
        <v>2453</v>
      </c>
      <c r="B603">
        <v>1960</v>
      </c>
      <c r="C603" t="s">
        <v>466</v>
      </c>
      <c r="D603" t="s">
        <v>31</v>
      </c>
      <c r="E603" t="str">
        <f>IF(OR(Table1[[#This Row],[marital_status]]="Married", Table1[[#This Row],[marital_status]]="Together"), "Partnered", "Single")</f>
        <v>Partnered</v>
      </c>
      <c r="F603" s="7">
        <v>62807</v>
      </c>
      <c r="G603" s="8">
        <v>0</v>
      </c>
      <c r="H603" s="8">
        <v>1</v>
      </c>
      <c r="I603" s="8">
        <f>Table1[[#This Row],[kids]]+Table1[[#This Row],[teens]]</f>
        <v>1</v>
      </c>
      <c r="J603" s="9">
        <v>41152</v>
      </c>
      <c r="K603" s="8">
        <v>83</v>
      </c>
      <c r="L603" s="6">
        <v>526</v>
      </c>
      <c r="M603" s="5">
        <v>28</v>
      </c>
      <c r="N603" s="5">
        <v>135</v>
      </c>
      <c r="O603" s="5">
        <v>10</v>
      </c>
      <c r="P603" s="5">
        <v>21</v>
      </c>
      <c r="Q603" s="5">
        <v>99</v>
      </c>
      <c r="R603" s="8">
        <v>3</v>
      </c>
      <c r="S603" s="8">
        <v>5</v>
      </c>
      <c r="T603" s="8">
        <v>3</v>
      </c>
      <c r="U603" s="8">
        <v>12</v>
      </c>
      <c r="V603" s="8">
        <v>5</v>
      </c>
      <c r="W603" t="s">
        <v>473</v>
      </c>
      <c r="X603" t="s">
        <v>473</v>
      </c>
      <c r="Y603" t="s">
        <v>473</v>
      </c>
      <c r="Z603" t="s">
        <v>473</v>
      </c>
      <c r="AA603" t="s">
        <v>473</v>
      </c>
      <c r="AB603" t="s">
        <v>473</v>
      </c>
      <c r="AC603" s="10">
        <v>3</v>
      </c>
      <c r="AD603" s="10">
        <v>11</v>
      </c>
      <c r="AE603" t="s">
        <v>473</v>
      </c>
    </row>
    <row r="604" spans="1:31" x14ac:dyDescent="0.25">
      <c r="A604">
        <v>7972</v>
      </c>
      <c r="B604">
        <v>1955</v>
      </c>
      <c r="C604" t="s">
        <v>466</v>
      </c>
      <c r="D604" t="s">
        <v>30</v>
      </c>
      <c r="E604" t="str">
        <f>IF(OR(Table1[[#This Row],[marital_status]]="Married", Table1[[#This Row],[marital_status]]="Together"), "Partnered", "Single")</f>
        <v>Single</v>
      </c>
      <c r="F604" s="7">
        <v>72906</v>
      </c>
      <c r="G604" s="8">
        <v>0</v>
      </c>
      <c r="H604" s="8">
        <v>0</v>
      </c>
      <c r="I604" s="8">
        <f>Table1[[#This Row],[kids]]+Table1[[#This Row],[teens]]</f>
        <v>0</v>
      </c>
      <c r="J604" s="9">
        <v>41534</v>
      </c>
      <c r="K604" s="8">
        <v>79</v>
      </c>
      <c r="L604" s="6">
        <v>400</v>
      </c>
      <c r="M604" s="5">
        <v>32</v>
      </c>
      <c r="N604" s="5">
        <v>519</v>
      </c>
      <c r="O604" s="5">
        <v>71</v>
      </c>
      <c r="P604" s="5">
        <v>75</v>
      </c>
      <c r="Q604" s="5">
        <v>54</v>
      </c>
      <c r="R604" s="8">
        <v>1</v>
      </c>
      <c r="S604" s="8">
        <v>3</v>
      </c>
      <c r="T604" s="8">
        <v>4</v>
      </c>
      <c r="U604" s="8">
        <v>9</v>
      </c>
      <c r="V604" s="8">
        <v>1</v>
      </c>
      <c r="W604" t="s">
        <v>473</v>
      </c>
      <c r="X604" t="s">
        <v>473</v>
      </c>
      <c r="Y604" t="s">
        <v>473</v>
      </c>
      <c r="Z604" t="s">
        <v>473</v>
      </c>
      <c r="AA604" t="s">
        <v>473</v>
      </c>
      <c r="AB604" t="s">
        <v>473</v>
      </c>
      <c r="AC604" s="10">
        <v>3</v>
      </c>
      <c r="AD604" s="10">
        <v>11</v>
      </c>
      <c r="AE604" t="s">
        <v>473</v>
      </c>
    </row>
    <row r="605" spans="1:31" x14ac:dyDescent="0.25">
      <c r="A605">
        <v>895</v>
      </c>
      <c r="B605">
        <v>1948</v>
      </c>
      <c r="C605" t="s">
        <v>33</v>
      </c>
      <c r="D605" t="s">
        <v>34</v>
      </c>
      <c r="E605" t="str">
        <f>IF(OR(Table1[[#This Row],[marital_status]]="Married", Table1[[#This Row],[marital_status]]="Together"), "Partnered", "Single")</f>
        <v>Partnered</v>
      </c>
      <c r="F605" s="7">
        <v>61467</v>
      </c>
      <c r="G605" s="8">
        <v>0</v>
      </c>
      <c r="H605" s="8">
        <v>2</v>
      </c>
      <c r="I605" s="8">
        <f>Table1[[#This Row],[kids]]+Table1[[#This Row],[teens]]</f>
        <v>2</v>
      </c>
      <c r="J605" s="9">
        <v>41252</v>
      </c>
      <c r="K605" s="8">
        <v>69</v>
      </c>
      <c r="L605" s="6">
        <v>410</v>
      </c>
      <c r="M605" s="5">
        <v>16</v>
      </c>
      <c r="N605" s="5">
        <v>114</v>
      </c>
      <c r="O605" s="5">
        <v>0</v>
      </c>
      <c r="P605" s="5">
        <v>5</v>
      </c>
      <c r="Q605" s="5">
        <v>49</v>
      </c>
      <c r="R605" s="8">
        <v>3</v>
      </c>
      <c r="S605" s="8">
        <v>5</v>
      </c>
      <c r="T605" s="8">
        <v>2</v>
      </c>
      <c r="U605" s="8">
        <v>10</v>
      </c>
      <c r="V605" s="8">
        <v>5</v>
      </c>
      <c r="W605" t="s">
        <v>473</v>
      </c>
      <c r="X605" t="s">
        <v>473</v>
      </c>
      <c r="Y605" t="s">
        <v>473</v>
      </c>
      <c r="Z605" t="s">
        <v>473</v>
      </c>
      <c r="AA605" t="s">
        <v>473</v>
      </c>
      <c r="AB605" t="s">
        <v>473</v>
      </c>
      <c r="AC605" s="10">
        <v>3</v>
      </c>
      <c r="AD605" s="10">
        <v>11</v>
      </c>
      <c r="AE605" t="s">
        <v>473</v>
      </c>
    </row>
    <row r="606" spans="1:31" x14ac:dyDescent="0.25">
      <c r="A606">
        <v>1177</v>
      </c>
      <c r="B606">
        <v>1966</v>
      </c>
      <c r="C606" t="s">
        <v>36</v>
      </c>
      <c r="D606" t="s">
        <v>31</v>
      </c>
      <c r="E606" t="str">
        <f>IF(OR(Table1[[#This Row],[marital_status]]="Married", Table1[[#This Row],[marital_status]]="Together"), "Partnered", "Single")</f>
        <v>Partnered</v>
      </c>
      <c r="F606" s="7">
        <v>49618</v>
      </c>
      <c r="G606" s="8">
        <v>1</v>
      </c>
      <c r="H606" s="8">
        <v>1</v>
      </c>
      <c r="I606" s="8">
        <f>Table1[[#This Row],[kids]]+Table1[[#This Row],[teens]]</f>
        <v>2</v>
      </c>
      <c r="J606" s="9">
        <v>41300</v>
      </c>
      <c r="K606" s="8">
        <v>77</v>
      </c>
      <c r="L606" s="6">
        <v>80</v>
      </c>
      <c r="M606" s="5">
        <v>3</v>
      </c>
      <c r="N606" s="5">
        <v>26</v>
      </c>
      <c r="O606" s="5">
        <v>4</v>
      </c>
      <c r="P606" s="5">
        <v>2</v>
      </c>
      <c r="Q606" s="5">
        <v>14</v>
      </c>
      <c r="R606" s="8">
        <v>4</v>
      </c>
      <c r="S606" s="8">
        <v>3</v>
      </c>
      <c r="T606" s="8">
        <v>1</v>
      </c>
      <c r="U606" s="8">
        <v>3</v>
      </c>
      <c r="V606" s="8">
        <v>7</v>
      </c>
      <c r="W606" t="s">
        <v>473</v>
      </c>
      <c r="X606" t="s">
        <v>473</v>
      </c>
      <c r="Y606" t="s">
        <v>473</v>
      </c>
      <c r="Z606" t="s">
        <v>473</v>
      </c>
      <c r="AA606" t="s">
        <v>473</v>
      </c>
      <c r="AB606" t="s">
        <v>473</v>
      </c>
      <c r="AC606" s="10">
        <v>3</v>
      </c>
      <c r="AD606" s="10">
        <v>11</v>
      </c>
      <c r="AE606" t="s">
        <v>473</v>
      </c>
    </row>
    <row r="607" spans="1:31" x14ac:dyDescent="0.25">
      <c r="A607">
        <v>7141</v>
      </c>
      <c r="B607">
        <v>1986</v>
      </c>
      <c r="C607" t="s">
        <v>36</v>
      </c>
      <c r="D607" t="s">
        <v>30</v>
      </c>
      <c r="E607" t="str">
        <f>IF(OR(Table1[[#This Row],[marital_status]]="Married", Table1[[#This Row],[marital_status]]="Together"), "Partnered", "Single")</f>
        <v>Single</v>
      </c>
      <c r="F607" s="7">
        <v>21888</v>
      </c>
      <c r="G607" s="8">
        <v>1</v>
      </c>
      <c r="H607" s="8">
        <v>0</v>
      </c>
      <c r="I607" s="8">
        <f>Table1[[#This Row],[kids]]+Table1[[#This Row],[teens]]</f>
        <v>1</v>
      </c>
      <c r="J607" s="9">
        <v>41272</v>
      </c>
      <c r="K607" s="8">
        <v>15</v>
      </c>
      <c r="L607" s="6">
        <v>88</v>
      </c>
      <c r="M607" s="5">
        <v>10</v>
      </c>
      <c r="N607" s="5">
        <v>46</v>
      </c>
      <c r="O607" s="5">
        <v>2</v>
      </c>
      <c r="P607" s="5">
        <v>3</v>
      </c>
      <c r="Q607" s="5">
        <v>64</v>
      </c>
      <c r="R607" s="8">
        <v>4</v>
      </c>
      <c r="S607" s="8">
        <v>5</v>
      </c>
      <c r="T607" s="8">
        <v>1</v>
      </c>
      <c r="U607" s="8">
        <v>2</v>
      </c>
      <c r="V607" s="8">
        <v>10</v>
      </c>
      <c r="W607" t="s">
        <v>473</v>
      </c>
      <c r="X607" t="s">
        <v>473</v>
      </c>
      <c r="Y607" t="s">
        <v>473</v>
      </c>
      <c r="Z607" t="s">
        <v>473</v>
      </c>
      <c r="AA607" t="s">
        <v>473</v>
      </c>
      <c r="AB607" t="s">
        <v>473</v>
      </c>
      <c r="AC607" s="10">
        <v>3</v>
      </c>
      <c r="AD607" s="10">
        <v>11</v>
      </c>
      <c r="AE607" t="s">
        <v>474</v>
      </c>
    </row>
    <row r="608" spans="1:31" x14ac:dyDescent="0.25">
      <c r="A608">
        <v>7232</v>
      </c>
      <c r="B608">
        <v>1973</v>
      </c>
      <c r="C608" t="s">
        <v>466</v>
      </c>
      <c r="D608" t="s">
        <v>57</v>
      </c>
      <c r="E608" t="str">
        <f>IF(OR(Table1[[#This Row],[marital_status]]="Married", Table1[[#This Row],[marital_status]]="Together"), "Partnered", "Single")</f>
        <v>Single</v>
      </c>
      <c r="F608" s="7">
        <v>42429</v>
      </c>
      <c r="G608" s="8">
        <v>0</v>
      </c>
      <c r="H608" s="8">
        <v>1</v>
      </c>
      <c r="I608" s="8">
        <f>Table1[[#This Row],[kids]]+Table1[[#This Row],[teens]]</f>
        <v>1</v>
      </c>
      <c r="J608" s="9">
        <v>41681</v>
      </c>
      <c r="K608" s="8">
        <v>99</v>
      </c>
      <c r="L608" s="6">
        <v>55</v>
      </c>
      <c r="M608" s="5">
        <v>0</v>
      </c>
      <c r="N608" s="5">
        <v>6</v>
      </c>
      <c r="O608" s="5">
        <v>2</v>
      </c>
      <c r="P608" s="5">
        <v>0</v>
      </c>
      <c r="Q608" s="5">
        <v>4</v>
      </c>
      <c r="R608" s="8">
        <v>2</v>
      </c>
      <c r="S608" s="8">
        <v>1</v>
      </c>
      <c r="T608" s="8">
        <v>1</v>
      </c>
      <c r="U608" s="8">
        <v>3</v>
      </c>
      <c r="V608" s="8">
        <v>5</v>
      </c>
      <c r="W608" t="s">
        <v>473</v>
      </c>
      <c r="X608" t="s">
        <v>473</v>
      </c>
      <c r="Y608" t="s">
        <v>473</v>
      </c>
      <c r="Z608" t="s">
        <v>473</v>
      </c>
      <c r="AA608" t="s">
        <v>473</v>
      </c>
      <c r="AB608" t="s">
        <v>473</v>
      </c>
      <c r="AC608" s="10">
        <v>3</v>
      </c>
      <c r="AD608" s="10">
        <v>11</v>
      </c>
      <c r="AE608" t="s">
        <v>473</v>
      </c>
    </row>
    <row r="609" spans="1:31" x14ac:dyDescent="0.25">
      <c r="A609">
        <v>8477</v>
      </c>
      <c r="B609">
        <v>1956</v>
      </c>
      <c r="C609" t="s">
        <v>466</v>
      </c>
      <c r="D609" t="s">
        <v>37</v>
      </c>
      <c r="E609" t="str">
        <f>IF(OR(Table1[[#This Row],[marital_status]]="Married", Table1[[#This Row],[marital_status]]="Together"), "Partnered", "Single")</f>
        <v>Single</v>
      </c>
      <c r="F609" s="7">
        <v>26150</v>
      </c>
      <c r="G609" s="8">
        <v>2</v>
      </c>
      <c r="H609" s="8">
        <v>1</v>
      </c>
      <c r="I609" s="8">
        <f>Table1[[#This Row],[kids]]+Table1[[#This Row],[teens]]</f>
        <v>3</v>
      </c>
      <c r="J609" s="9">
        <v>41344</v>
      </c>
      <c r="K609" s="8">
        <v>61</v>
      </c>
      <c r="L609" s="6">
        <v>5</v>
      </c>
      <c r="M609" s="5">
        <v>1</v>
      </c>
      <c r="N609" s="5">
        <v>13</v>
      </c>
      <c r="O609" s="5">
        <v>3</v>
      </c>
      <c r="P609" s="5">
        <v>5</v>
      </c>
      <c r="Q609" s="5">
        <v>1</v>
      </c>
      <c r="R609" s="8">
        <v>1</v>
      </c>
      <c r="S609" s="8">
        <v>1</v>
      </c>
      <c r="T609" s="8">
        <v>0</v>
      </c>
      <c r="U609" s="8">
        <v>3</v>
      </c>
      <c r="V609" s="8">
        <v>7</v>
      </c>
      <c r="W609" t="s">
        <v>473</v>
      </c>
      <c r="X609" t="s">
        <v>473</v>
      </c>
      <c r="Y609" t="s">
        <v>473</v>
      </c>
      <c r="Z609" t="s">
        <v>473</v>
      </c>
      <c r="AA609" t="s">
        <v>473</v>
      </c>
      <c r="AB609" t="s">
        <v>473</v>
      </c>
      <c r="AC609" s="10">
        <v>3</v>
      </c>
      <c r="AD609" s="10">
        <v>11</v>
      </c>
      <c r="AE609" t="s">
        <v>473</v>
      </c>
    </row>
    <row r="610" spans="1:31" x14ac:dyDescent="0.25">
      <c r="A610">
        <v>2457</v>
      </c>
      <c r="B610">
        <v>1975</v>
      </c>
      <c r="C610" t="s">
        <v>41</v>
      </c>
      <c r="D610" t="s">
        <v>34</v>
      </c>
      <c r="E610" t="str">
        <f>IF(OR(Table1[[#This Row],[marital_status]]="Married", Table1[[#This Row],[marital_status]]="Together"), "Partnered", "Single")</f>
        <v>Partnered</v>
      </c>
      <c r="F610" s="7">
        <v>30801</v>
      </c>
      <c r="G610" s="8">
        <v>0</v>
      </c>
      <c r="H610" s="8">
        <v>1</v>
      </c>
      <c r="I610" s="8">
        <f>Table1[[#This Row],[kids]]+Table1[[#This Row],[teens]]</f>
        <v>1</v>
      </c>
      <c r="J610" s="9">
        <v>41208</v>
      </c>
      <c r="K610" s="8">
        <v>23</v>
      </c>
      <c r="L610" s="6">
        <v>8</v>
      </c>
      <c r="M610" s="5">
        <v>4</v>
      </c>
      <c r="N610" s="5">
        <v>5</v>
      </c>
      <c r="O610" s="5">
        <v>15</v>
      </c>
      <c r="P610" s="5">
        <v>2</v>
      </c>
      <c r="Q610" s="5">
        <v>11</v>
      </c>
      <c r="R610" s="8">
        <v>2</v>
      </c>
      <c r="S610" s="8">
        <v>1</v>
      </c>
      <c r="T610" s="8">
        <v>0</v>
      </c>
      <c r="U610" s="8">
        <v>3</v>
      </c>
      <c r="V610" s="8">
        <v>7</v>
      </c>
      <c r="W610" t="s">
        <v>473</v>
      </c>
      <c r="X610" t="s">
        <v>473</v>
      </c>
      <c r="Y610" t="s">
        <v>473</v>
      </c>
      <c r="Z610" t="s">
        <v>473</v>
      </c>
      <c r="AA610" t="s">
        <v>473</v>
      </c>
      <c r="AB610" t="s">
        <v>473</v>
      </c>
      <c r="AC610" s="10">
        <v>3</v>
      </c>
      <c r="AD610" s="10">
        <v>11</v>
      </c>
      <c r="AE610" t="s">
        <v>473</v>
      </c>
    </row>
    <row r="611" spans="1:31" x14ac:dyDescent="0.25">
      <c r="A611">
        <v>988</v>
      </c>
      <c r="B611">
        <v>1965</v>
      </c>
      <c r="C611" t="s">
        <v>466</v>
      </c>
      <c r="D611" t="s">
        <v>34</v>
      </c>
      <c r="E611" t="str">
        <f>IF(OR(Table1[[#This Row],[marital_status]]="Married", Table1[[#This Row],[marital_status]]="Together"), "Partnered", "Single")</f>
        <v>Partnered</v>
      </c>
      <c r="F611" s="7">
        <v>81168</v>
      </c>
      <c r="G611" s="8">
        <v>0</v>
      </c>
      <c r="H611" s="8">
        <v>0</v>
      </c>
      <c r="I611" s="8">
        <f>Table1[[#This Row],[kids]]+Table1[[#This Row],[teens]]</f>
        <v>0</v>
      </c>
      <c r="J611" s="9">
        <v>41766</v>
      </c>
      <c r="K611" s="8">
        <v>84</v>
      </c>
      <c r="L611" s="6">
        <v>410</v>
      </c>
      <c r="M611" s="5">
        <v>0</v>
      </c>
      <c r="N611" s="5">
        <v>592</v>
      </c>
      <c r="O611" s="5">
        <v>147</v>
      </c>
      <c r="P611" s="5">
        <v>22</v>
      </c>
      <c r="Q611" s="5">
        <v>22</v>
      </c>
      <c r="R611" s="8">
        <v>1</v>
      </c>
      <c r="S611" s="8">
        <v>6</v>
      </c>
      <c r="T611" s="8">
        <v>4</v>
      </c>
      <c r="U611" s="8">
        <v>7</v>
      </c>
      <c r="V611" s="8">
        <v>3</v>
      </c>
      <c r="W611" t="s">
        <v>473</v>
      </c>
      <c r="X611" t="s">
        <v>473</v>
      </c>
      <c r="Y611" t="s">
        <v>473</v>
      </c>
      <c r="Z611" t="s">
        <v>474</v>
      </c>
      <c r="AA611" t="s">
        <v>473</v>
      </c>
      <c r="AB611" t="s">
        <v>473</v>
      </c>
      <c r="AC611" s="10">
        <v>3</v>
      </c>
      <c r="AD611" s="10">
        <v>11</v>
      </c>
      <c r="AE611" t="s">
        <v>473</v>
      </c>
    </row>
    <row r="612" spans="1:31" x14ac:dyDescent="0.25">
      <c r="A612">
        <v>7930</v>
      </c>
      <c r="B612">
        <v>1969</v>
      </c>
      <c r="C612" t="s">
        <v>36</v>
      </c>
      <c r="D612" t="s">
        <v>30</v>
      </c>
      <c r="E612" t="str">
        <f>IF(OR(Table1[[#This Row],[marital_status]]="Married", Table1[[#This Row],[marital_status]]="Together"), "Partnered", "Single")</f>
        <v>Single</v>
      </c>
      <c r="F612" s="7">
        <v>26877</v>
      </c>
      <c r="G612" s="8">
        <v>0</v>
      </c>
      <c r="H612" s="8">
        <v>0</v>
      </c>
      <c r="I612" s="8">
        <f>Table1[[#This Row],[kids]]+Table1[[#This Row],[teens]]</f>
        <v>0</v>
      </c>
      <c r="J612" s="9">
        <v>41505</v>
      </c>
      <c r="K612" s="8">
        <v>74</v>
      </c>
      <c r="L612" s="6">
        <v>101</v>
      </c>
      <c r="M612" s="5">
        <v>13</v>
      </c>
      <c r="N612" s="5">
        <v>76</v>
      </c>
      <c r="O612" s="5">
        <v>20</v>
      </c>
      <c r="P612" s="5">
        <v>18</v>
      </c>
      <c r="Q612" s="5">
        <v>40</v>
      </c>
      <c r="R612" s="8">
        <v>2</v>
      </c>
      <c r="S612" s="8">
        <v>3</v>
      </c>
      <c r="T612" s="8">
        <v>1</v>
      </c>
      <c r="U612" s="8">
        <v>6</v>
      </c>
      <c r="V612" s="8">
        <v>6</v>
      </c>
      <c r="W612" t="s">
        <v>473</v>
      </c>
      <c r="X612" t="s">
        <v>473</v>
      </c>
      <c r="Y612" t="s">
        <v>473</v>
      </c>
      <c r="Z612" t="s">
        <v>473</v>
      </c>
      <c r="AA612" t="s">
        <v>473</v>
      </c>
      <c r="AB612" t="s">
        <v>473</v>
      </c>
      <c r="AC612" s="10">
        <v>3</v>
      </c>
      <c r="AD612" s="10">
        <v>11</v>
      </c>
      <c r="AE612" t="s">
        <v>473</v>
      </c>
    </row>
    <row r="613" spans="1:31" x14ac:dyDescent="0.25">
      <c r="A613">
        <v>4587</v>
      </c>
      <c r="B613">
        <v>1944</v>
      </c>
      <c r="C613" t="s">
        <v>36</v>
      </c>
      <c r="D613" t="s">
        <v>57</v>
      </c>
      <c r="E613" t="str">
        <f>IF(OR(Table1[[#This Row],[marital_status]]="Married", Table1[[#This Row],[marital_status]]="Together"), "Partnered", "Single")</f>
        <v>Single</v>
      </c>
      <c r="F613" s="7">
        <v>45006</v>
      </c>
      <c r="G613" s="8">
        <v>0</v>
      </c>
      <c r="H613" s="8">
        <v>0</v>
      </c>
      <c r="I613" s="8">
        <f>Table1[[#This Row],[kids]]+Table1[[#This Row],[teens]]</f>
        <v>0</v>
      </c>
      <c r="J613" s="9">
        <v>41473</v>
      </c>
      <c r="K613" s="8">
        <v>90</v>
      </c>
      <c r="L613" s="6">
        <v>162</v>
      </c>
      <c r="M613" s="5">
        <v>25</v>
      </c>
      <c r="N613" s="5">
        <v>53</v>
      </c>
      <c r="O613" s="5">
        <v>16</v>
      </c>
      <c r="P613" s="5">
        <v>0</v>
      </c>
      <c r="Q613" s="5">
        <v>10</v>
      </c>
      <c r="R613" s="8">
        <v>1</v>
      </c>
      <c r="S613" s="8">
        <v>3</v>
      </c>
      <c r="T613" s="8">
        <v>1</v>
      </c>
      <c r="U613" s="8">
        <v>7</v>
      </c>
      <c r="V613" s="8">
        <v>3</v>
      </c>
      <c r="W613" t="s">
        <v>473</v>
      </c>
      <c r="X613" t="s">
        <v>473</v>
      </c>
      <c r="Y613" t="s">
        <v>473</v>
      </c>
      <c r="Z613" t="s">
        <v>473</v>
      </c>
      <c r="AA613" t="s">
        <v>473</v>
      </c>
      <c r="AB613" t="s">
        <v>473</v>
      </c>
      <c r="AC613" s="10">
        <v>3</v>
      </c>
      <c r="AD613" s="10">
        <v>11</v>
      </c>
      <c r="AE613" t="s">
        <v>473</v>
      </c>
    </row>
    <row r="614" spans="1:31" x14ac:dyDescent="0.25">
      <c r="A614">
        <v>6682</v>
      </c>
      <c r="B614">
        <v>1973</v>
      </c>
      <c r="C614" t="s">
        <v>41</v>
      </c>
      <c r="D614" t="s">
        <v>34</v>
      </c>
      <c r="E614" t="str">
        <f>IF(OR(Table1[[#This Row],[marital_status]]="Married", Table1[[#This Row],[marital_status]]="Together"), "Partnered", "Single")</f>
        <v>Partnered</v>
      </c>
      <c r="F614" s="7">
        <v>18978</v>
      </c>
      <c r="G614" s="8">
        <v>1</v>
      </c>
      <c r="H614" s="8">
        <v>0</v>
      </c>
      <c r="I614" s="8">
        <f>Table1[[#This Row],[kids]]+Table1[[#This Row],[teens]]</f>
        <v>1</v>
      </c>
      <c r="J614" s="9">
        <v>41254</v>
      </c>
      <c r="K614" s="8">
        <v>41</v>
      </c>
      <c r="L614" s="6">
        <v>2</v>
      </c>
      <c r="M614" s="5">
        <v>8</v>
      </c>
      <c r="N614" s="5">
        <v>1</v>
      </c>
      <c r="O614" s="5">
        <v>4</v>
      </c>
      <c r="P614" s="5">
        <v>7</v>
      </c>
      <c r="Q614" s="5">
        <v>15</v>
      </c>
      <c r="R614" s="8">
        <v>1</v>
      </c>
      <c r="S614" s="8">
        <v>1</v>
      </c>
      <c r="T614" s="8">
        <v>0</v>
      </c>
      <c r="U614" s="8">
        <v>3</v>
      </c>
      <c r="V614" s="8">
        <v>8</v>
      </c>
      <c r="W614" t="s">
        <v>473</v>
      </c>
      <c r="X614" t="s">
        <v>473</v>
      </c>
      <c r="Y614" t="s">
        <v>473</v>
      </c>
      <c r="Z614" t="s">
        <v>473</v>
      </c>
      <c r="AA614" t="s">
        <v>473</v>
      </c>
      <c r="AB614" t="s">
        <v>473</v>
      </c>
      <c r="AC614" s="10">
        <v>3</v>
      </c>
      <c r="AD614" s="10">
        <v>11</v>
      </c>
      <c r="AE614" t="s">
        <v>473</v>
      </c>
    </row>
    <row r="615" spans="1:31" x14ac:dyDescent="0.25">
      <c r="A615">
        <v>6222</v>
      </c>
      <c r="B615">
        <v>1967</v>
      </c>
      <c r="C615" t="s">
        <v>466</v>
      </c>
      <c r="D615" t="s">
        <v>34</v>
      </c>
      <c r="E615" t="str">
        <f>IF(OR(Table1[[#This Row],[marital_status]]="Married", Table1[[#This Row],[marital_status]]="Together"), "Partnered", "Single")</f>
        <v>Partnered</v>
      </c>
      <c r="F615" s="7">
        <v>22574</v>
      </c>
      <c r="G615" s="8">
        <v>2</v>
      </c>
      <c r="H615" s="8">
        <v>1</v>
      </c>
      <c r="I615" s="8">
        <f>Table1[[#This Row],[kids]]+Table1[[#This Row],[teens]]</f>
        <v>3</v>
      </c>
      <c r="J615" s="9">
        <v>41575</v>
      </c>
      <c r="K615" s="8">
        <v>28</v>
      </c>
      <c r="L615" s="6">
        <v>25</v>
      </c>
      <c r="M615" s="5">
        <v>0</v>
      </c>
      <c r="N615" s="5">
        <v>8</v>
      </c>
      <c r="O615" s="5">
        <v>2</v>
      </c>
      <c r="P615" s="5">
        <v>0</v>
      </c>
      <c r="Q615" s="5">
        <v>2</v>
      </c>
      <c r="R615" s="8">
        <v>2</v>
      </c>
      <c r="S615" s="8">
        <v>2</v>
      </c>
      <c r="T615" s="8">
        <v>0</v>
      </c>
      <c r="U615" s="8">
        <v>3</v>
      </c>
      <c r="V615" s="8">
        <v>7</v>
      </c>
      <c r="W615" t="s">
        <v>473</v>
      </c>
      <c r="X615" t="s">
        <v>473</v>
      </c>
      <c r="Y615" t="s">
        <v>473</v>
      </c>
      <c r="Z615" t="s">
        <v>473</v>
      </c>
      <c r="AA615" t="s">
        <v>473</v>
      </c>
      <c r="AB615" t="s">
        <v>473</v>
      </c>
      <c r="AC615" s="10">
        <v>3</v>
      </c>
      <c r="AD615" s="10">
        <v>11</v>
      </c>
      <c r="AE615" t="s">
        <v>473</v>
      </c>
    </row>
    <row r="616" spans="1:31" x14ac:dyDescent="0.25">
      <c r="A616">
        <v>10299</v>
      </c>
      <c r="B616">
        <v>1969</v>
      </c>
      <c r="C616" t="s">
        <v>33</v>
      </c>
      <c r="D616" t="s">
        <v>30</v>
      </c>
      <c r="E616" t="str">
        <f>IF(OR(Table1[[#This Row],[marital_status]]="Married", Table1[[#This Row],[marital_status]]="Together"), "Partnered", "Single")</f>
        <v>Single</v>
      </c>
      <c r="F616" s="7">
        <v>48240</v>
      </c>
      <c r="G616" s="8">
        <v>0</v>
      </c>
      <c r="H616" s="8">
        <v>0</v>
      </c>
      <c r="I616" s="8">
        <f>Table1[[#This Row],[kids]]+Table1[[#This Row],[teens]]</f>
        <v>0</v>
      </c>
      <c r="J616" s="9">
        <v>41222</v>
      </c>
      <c r="K616" s="8">
        <v>73</v>
      </c>
      <c r="L616" s="6">
        <v>389</v>
      </c>
      <c r="M616" s="5">
        <v>91</v>
      </c>
      <c r="N616" s="5">
        <v>248</v>
      </c>
      <c r="O616" s="5">
        <v>64</v>
      </c>
      <c r="P616" s="5">
        <v>49</v>
      </c>
      <c r="Q616" s="5">
        <v>41</v>
      </c>
      <c r="R616" s="8">
        <v>3</v>
      </c>
      <c r="S616" s="8">
        <v>6</v>
      </c>
      <c r="T616" s="8">
        <v>3</v>
      </c>
      <c r="U616" s="8">
        <v>13</v>
      </c>
      <c r="V616" s="8">
        <v>5</v>
      </c>
      <c r="W616" t="s">
        <v>473</v>
      </c>
      <c r="X616" t="s">
        <v>473</v>
      </c>
      <c r="Y616" t="s">
        <v>473</v>
      </c>
      <c r="Z616" t="s">
        <v>473</v>
      </c>
      <c r="AA616" t="s">
        <v>473</v>
      </c>
      <c r="AB616" t="s">
        <v>473</v>
      </c>
      <c r="AC616" s="10">
        <v>3</v>
      </c>
      <c r="AD616" s="10">
        <v>11</v>
      </c>
      <c r="AE616" t="s">
        <v>474</v>
      </c>
    </row>
    <row r="617" spans="1:31" x14ac:dyDescent="0.25">
      <c r="A617">
        <v>3083</v>
      </c>
      <c r="B617">
        <v>1974</v>
      </c>
      <c r="C617" t="s">
        <v>466</v>
      </c>
      <c r="D617" t="s">
        <v>34</v>
      </c>
      <c r="E617" t="str">
        <f>IF(OR(Table1[[#This Row],[marital_status]]="Married", Table1[[#This Row],[marital_status]]="Together"), "Partnered", "Single")</f>
        <v>Partnered</v>
      </c>
      <c r="F617" s="7">
        <v>45837</v>
      </c>
      <c r="G617" s="8">
        <v>1</v>
      </c>
      <c r="H617" s="8">
        <v>1</v>
      </c>
      <c r="I617" s="8">
        <f>Table1[[#This Row],[kids]]+Table1[[#This Row],[teens]]</f>
        <v>2</v>
      </c>
      <c r="J617" s="9">
        <v>41481</v>
      </c>
      <c r="K617" s="8">
        <v>88</v>
      </c>
      <c r="L617" s="6">
        <v>215</v>
      </c>
      <c r="M617" s="5">
        <v>13</v>
      </c>
      <c r="N617" s="5">
        <v>87</v>
      </c>
      <c r="O617" s="5">
        <v>17</v>
      </c>
      <c r="P617" s="5">
        <v>17</v>
      </c>
      <c r="Q617" s="5">
        <v>24</v>
      </c>
      <c r="R617" s="8">
        <v>5</v>
      </c>
      <c r="S617" s="8">
        <v>6</v>
      </c>
      <c r="T617" s="8">
        <v>2</v>
      </c>
      <c r="U617" s="8">
        <v>5</v>
      </c>
      <c r="V617" s="8">
        <v>7</v>
      </c>
      <c r="W617" t="s">
        <v>473</v>
      </c>
      <c r="X617" t="s">
        <v>473</v>
      </c>
      <c r="Y617" t="s">
        <v>473</v>
      </c>
      <c r="Z617" t="s">
        <v>473</v>
      </c>
      <c r="AA617" t="s">
        <v>473</v>
      </c>
      <c r="AB617" t="s">
        <v>473</v>
      </c>
      <c r="AC617" s="10">
        <v>3</v>
      </c>
      <c r="AD617" s="10">
        <v>11</v>
      </c>
      <c r="AE617" t="s">
        <v>473</v>
      </c>
    </row>
    <row r="618" spans="1:31" x14ac:dyDescent="0.25">
      <c r="A618">
        <v>8953</v>
      </c>
      <c r="B618">
        <v>1965</v>
      </c>
      <c r="C618" t="s">
        <v>36</v>
      </c>
      <c r="D618" t="s">
        <v>30</v>
      </c>
      <c r="E618" t="str">
        <f>IF(OR(Table1[[#This Row],[marital_status]]="Married", Table1[[#This Row],[marital_status]]="Together"), "Partnered", "Single")</f>
        <v>Single</v>
      </c>
      <c r="F618" s="7">
        <v>35791</v>
      </c>
      <c r="G618" s="8">
        <v>2</v>
      </c>
      <c r="H618" s="8">
        <v>1</v>
      </c>
      <c r="I618" s="8">
        <f>Table1[[#This Row],[kids]]+Table1[[#This Row],[teens]]</f>
        <v>3</v>
      </c>
      <c r="J618" s="9">
        <v>41400</v>
      </c>
      <c r="K618" s="8">
        <v>94</v>
      </c>
      <c r="L618" s="6">
        <v>27</v>
      </c>
      <c r="M618" s="5">
        <v>0</v>
      </c>
      <c r="N618" s="5">
        <v>5</v>
      </c>
      <c r="O618" s="5">
        <v>0</v>
      </c>
      <c r="P618" s="5">
        <v>0</v>
      </c>
      <c r="Q618" s="5">
        <v>3</v>
      </c>
      <c r="R618" s="8">
        <v>2</v>
      </c>
      <c r="S618" s="8">
        <v>1</v>
      </c>
      <c r="T618" s="8">
        <v>0</v>
      </c>
      <c r="U618" s="8">
        <v>3</v>
      </c>
      <c r="V618" s="8">
        <v>8</v>
      </c>
      <c r="W618" t="s">
        <v>473</v>
      </c>
      <c r="X618" t="s">
        <v>473</v>
      </c>
      <c r="Y618" t="s">
        <v>473</v>
      </c>
      <c r="Z618" t="s">
        <v>473</v>
      </c>
      <c r="AA618" t="s">
        <v>473</v>
      </c>
      <c r="AB618" t="s">
        <v>473</v>
      </c>
      <c r="AC618" s="10">
        <v>3</v>
      </c>
      <c r="AD618" s="10">
        <v>11</v>
      </c>
      <c r="AE618" t="s">
        <v>473</v>
      </c>
    </row>
    <row r="619" spans="1:31" x14ac:dyDescent="0.25">
      <c r="A619">
        <v>1503</v>
      </c>
      <c r="B619">
        <v>1976</v>
      </c>
      <c r="C619" t="s">
        <v>33</v>
      </c>
      <c r="D619" t="s">
        <v>31</v>
      </c>
      <c r="E619" t="str">
        <f>IF(OR(Table1[[#This Row],[marital_status]]="Married", Table1[[#This Row],[marital_status]]="Together"), "Partnered", "Single")</f>
        <v>Partnered</v>
      </c>
      <c r="F619" s="7">
        <v>162397</v>
      </c>
      <c r="G619" s="8">
        <v>1</v>
      </c>
      <c r="H619" s="8">
        <v>1</v>
      </c>
      <c r="I619" s="8">
        <f>Table1[[#This Row],[kids]]+Table1[[#This Row],[teens]]</f>
        <v>2</v>
      </c>
      <c r="J619" s="9">
        <v>41428</v>
      </c>
      <c r="K619" s="8">
        <v>31</v>
      </c>
      <c r="L619" s="6">
        <v>85</v>
      </c>
      <c r="M619" s="5">
        <v>1</v>
      </c>
      <c r="N619" s="5">
        <v>16</v>
      </c>
      <c r="O619" s="5">
        <v>2</v>
      </c>
      <c r="P619" s="5">
        <v>1</v>
      </c>
      <c r="Q619" s="5">
        <v>2</v>
      </c>
      <c r="R619" s="8">
        <v>0</v>
      </c>
      <c r="S619" s="8">
        <v>0</v>
      </c>
      <c r="T619" s="8">
        <v>0</v>
      </c>
      <c r="U619" s="8">
        <v>1</v>
      </c>
      <c r="V619" s="8">
        <v>1</v>
      </c>
      <c r="W619" t="s">
        <v>473</v>
      </c>
      <c r="X619" t="s">
        <v>473</v>
      </c>
      <c r="Y619" t="s">
        <v>473</v>
      </c>
      <c r="Z619" t="s">
        <v>473</v>
      </c>
      <c r="AA619" t="s">
        <v>473</v>
      </c>
      <c r="AB619" t="s">
        <v>473</v>
      </c>
      <c r="AC619" s="10">
        <v>3</v>
      </c>
      <c r="AD619" s="10">
        <v>11</v>
      </c>
      <c r="AE619" t="s">
        <v>473</v>
      </c>
    </row>
    <row r="620" spans="1:31" x14ac:dyDescent="0.25">
      <c r="A620">
        <v>8650</v>
      </c>
      <c r="B620">
        <v>1978</v>
      </c>
      <c r="C620" t="s">
        <v>466</v>
      </c>
      <c r="D620" t="s">
        <v>57</v>
      </c>
      <c r="E620" t="str">
        <f>IF(OR(Table1[[#This Row],[marital_status]]="Married", Table1[[#This Row],[marital_status]]="Together"), "Partnered", "Single")</f>
        <v>Single</v>
      </c>
      <c r="F620" s="7">
        <v>54162</v>
      </c>
      <c r="G620" s="8">
        <v>1</v>
      </c>
      <c r="H620" s="8">
        <v>1</v>
      </c>
      <c r="I620" s="8">
        <f>Table1[[#This Row],[kids]]+Table1[[#This Row],[teens]]</f>
        <v>2</v>
      </c>
      <c r="J620" s="9">
        <v>41351</v>
      </c>
      <c r="K620" s="8">
        <v>31</v>
      </c>
      <c r="L620" s="6">
        <v>5</v>
      </c>
      <c r="M620" s="5">
        <v>6</v>
      </c>
      <c r="N620" s="5">
        <v>10</v>
      </c>
      <c r="O620" s="5">
        <v>6</v>
      </c>
      <c r="P620" s="5">
        <v>5</v>
      </c>
      <c r="Q620" s="5">
        <v>10</v>
      </c>
      <c r="R620" s="8">
        <v>1</v>
      </c>
      <c r="S620" s="8">
        <v>1</v>
      </c>
      <c r="T620" s="8">
        <v>0</v>
      </c>
      <c r="U620" s="8">
        <v>3</v>
      </c>
      <c r="V620" s="8">
        <v>4</v>
      </c>
      <c r="W620" t="s">
        <v>473</v>
      </c>
      <c r="X620" t="s">
        <v>473</v>
      </c>
      <c r="Y620" t="s">
        <v>473</v>
      </c>
      <c r="Z620" t="s">
        <v>473</v>
      </c>
      <c r="AA620" t="s">
        <v>473</v>
      </c>
      <c r="AB620" t="s">
        <v>473</v>
      </c>
      <c r="AC620" s="10">
        <v>3</v>
      </c>
      <c r="AD620" s="10">
        <v>11</v>
      </c>
      <c r="AE620" t="s">
        <v>473</v>
      </c>
    </row>
    <row r="621" spans="1:31" x14ac:dyDescent="0.25">
      <c r="A621">
        <v>10862</v>
      </c>
      <c r="B621">
        <v>1960</v>
      </c>
      <c r="C621" t="s">
        <v>36</v>
      </c>
      <c r="D621" t="s">
        <v>34</v>
      </c>
      <c r="E621" t="str">
        <f>IF(OR(Table1[[#This Row],[marital_status]]="Married", Table1[[#This Row],[marital_status]]="Together"), "Partnered", "Single")</f>
        <v>Partnered</v>
      </c>
      <c r="F621" s="7">
        <v>30522</v>
      </c>
      <c r="G621" s="8">
        <v>0</v>
      </c>
      <c r="H621" s="8">
        <v>1</v>
      </c>
      <c r="I621" s="8">
        <f>Table1[[#This Row],[kids]]+Table1[[#This Row],[teens]]</f>
        <v>1</v>
      </c>
      <c r="J621" s="9">
        <v>41138</v>
      </c>
      <c r="K621" s="8">
        <v>6</v>
      </c>
      <c r="L621" s="6">
        <v>179</v>
      </c>
      <c r="M621" s="5">
        <v>8</v>
      </c>
      <c r="N621" s="5">
        <v>83</v>
      </c>
      <c r="O621" s="5">
        <v>19</v>
      </c>
      <c r="P621" s="5">
        <v>11</v>
      </c>
      <c r="Q621" s="5">
        <v>26</v>
      </c>
      <c r="R621" s="8">
        <v>5</v>
      </c>
      <c r="S621" s="8">
        <v>1</v>
      </c>
      <c r="T621" s="8">
        <v>2</v>
      </c>
      <c r="U621" s="8">
        <v>9</v>
      </c>
      <c r="V621" s="8">
        <v>2</v>
      </c>
      <c r="W621" t="s">
        <v>473</v>
      </c>
      <c r="X621" t="s">
        <v>473</v>
      </c>
      <c r="Y621" t="s">
        <v>473</v>
      </c>
      <c r="Z621" t="s">
        <v>473</v>
      </c>
      <c r="AA621" t="s">
        <v>473</v>
      </c>
      <c r="AB621" t="s">
        <v>473</v>
      </c>
      <c r="AC621" s="10">
        <v>3</v>
      </c>
      <c r="AD621" s="10">
        <v>11</v>
      </c>
      <c r="AE621" t="s">
        <v>473</v>
      </c>
    </row>
    <row r="622" spans="1:31" x14ac:dyDescent="0.25">
      <c r="A622">
        <v>2782</v>
      </c>
      <c r="B622">
        <v>1961</v>
      </c>
      <c r="C622" t="s">
        <v>33</v>
      </c>
      <c r="D622" t="s">
        <v>34</v>
      </c>
      <c r="E622" t="str">
        <f>IF(OR(Table1[[#This Row],[marital_status]]="Married", Table1[[#This Row],[marital_status]]="Together"), "Partnered", "Single")</f>
        <v>Partnered</v>
      </c>
      <c r="F622" s="7">
        <v>54456</v>
      </c>
      <c r="G622" s="8">
        <v>0</v>
      </c>
      <c r="H622" s="8">
        <v>1</v>
      </c>
      <c r="I622" s="8">
        <f>Table1[[#This Row],[kids]]+Table1[[#This Row],[teens]]</f>
        <v>1</v>
      </c>
      <c r="J622" s="9">
        <v>41466</v>
      </c>
      <c r="K622" s="8">
        <v>23</v>
      </c>
      <c r="L622" s="6">
        <v>352</v>
      </c>
      <c r="M622" s="5">
        <v>0</v>
      </c>
      <c r="N622" s="5">
        <v>27</v>
      </c>
      <c r="O622" s="5">
        <v>10</v>
      </c>
      <c r="P622" s="5">
        <v>0</v>
      </c>
      <c r="Q622" s="5">
        <v>15</v>
      </c>
      <c r="R622" s="8">
        <v>3</v>
      </c>
      <c r="S622" s="8">
        <v>6</v>
      </c>
      <c r="T622" s="8">
        <v>1</v>
      </c>
      <c r="U622" s="8">
        <v>7</v>
      </c>
      <c r="V622" s="8">
        <v>6</v>
      </c>
      <c r="W622" t="s">
        <v>473</v>
      </c>
      <c r="X622" t="s">
        <v>473</v>
      </c>
      <c r="Y622" t="s">
        <v>473</v>
      </c>
      <c r="Z622" t="s">
        <v>473</v>
      </c>
      <c r="AA622" t="s">
        <v>473</v>
      </c>
      <c r="AB622" t="s">
        <v>473</v>
      </c>
      <c r="AC622" s="10">
        <v>3</v>
      </c>
      <c r="AD622" s="10">
        <v>11</v>
      </c>
      <c r="AE622" t="s">
        <v>473</v>
      </c>
    </row>
    <row r="623" spans="1:31" x14ac:dyDescent="0.25">
      <c r="A623">
        <v>6941</v>
      </c>
      <c r="B623">
        <v>1971</v>
      </c>
      <c r="C623" t="s">
        <v>466</v>
      </c>
      <c r="D623" t="s">
        <v>30</v>
      </c>
      <c r="E623" t="str">
        <f>IF(OR(Table1[[#This Row],[marital_status]]="Married", Table1[[#This Row],[marital_status]]="Together"), "Partnered", "Single")</f>
        <v>Single</v>
      </c>
      <c r="F623" s="7">
        <v>31632</v>
      </c>
      <c r="G623" s="8">
        <v>0</v>
      </c>
      <c r="H623" s="8">
        <v>0</v>
      </c>
      <c r="I623" s="8">
        <f>Table1[[#This Row],[kids]]+Table1[[#This Row],[teens]]</f>
        <v>0</v>
      </c>
      <c r="J623" s="9">
        <v>41469</v>
      </c>
      <c r="K623" s="8">
        <v>92</v>
      </c>
      <c r="L623" s="6">
        <v>17</v>
      </c>
      <c r="M623" s="5">
        <v>8</v>
      </c>
      <c r="N623" s="5">
        <v>12</v>
      </c>
      <c r="O623" s="5">
        <v>11</v>
      </c>
      <c r="P623" s="5">
        <v>15</v>
      </c>
      <c r="Q623" s="5">
        <v>32</v>
      </c>
      <c r="R623" s="8">
        <v>1</v>
      </c>
      <c r="S623" s="8">
        <v>2</v>
      </c>
      <c r="T623" s="8">
        <v>1</v>
      </c>
      <c r="U623" s="8">
        <v>2</v>
      </c>
      <c r="V623" s="8">
        <v>7</v>
      </c>
      <c r="W623" t="s">
        <v>473</v>
      </c>
      <c r="X623" t="s">
        <v>473</v>
      </c>
      <c r="Y623" t="s">
        <v>473</v>
      </c>
      <c r="Z623" t="s">
        <v>473</v>
      </c>
      <c r="AA623" t="s">
        <v>473</v>
      </c>
      <c r="AB623" t="s">
        <v>473</v>
      </c>
      <c r="AC623" s="10">
        <v>3</v>
      </c>
      <c r="AD623" s="10">
        <v>11</v>
      </c>
      <c r="AE623" t="s">
        <v>473</v>
      </c>
    </row>
    <row r="624" spans="1:31" x14ac:dyDescent="0.25">
      <c r="A624">
        <v>10972</v>
      </c>
      <c r="B624">
        <v>1949</v>
      </c>
      <c r="C624" t="s">
        <v>466</v>
      </c>
      <c r="D624" t="s">
        <v>57</v>
      </c>
      <c r="E624" t="str">
        <f>IF(OR(Table1[[#This Row],[marital_status]]="Married", Table1[[#This Row],[marital_status]]="Together"), "Partnered", "Single")</f>
        <v>Single</v>
      </c>
      <c r="F624" s="7">
        <v>72298</v>
      </c>
      <c r="G624" s="8">
        <v>0</v>
      </c>
      <c r="H624" s="8">
        <v>0</v>
      </c>
      <c r="I624" s="8">
        <f>Table1[[#This Row],[kids]]+Table1[[#This Row],[teens]]</f>
        <v>0</v>
      </c>
      <c r="J624" s="9">
        <v>41708</v>
      </c>
      <c r="K624" s="8">
        <v>52</v>
      </c>
      <c r="L624" s="6">
        <v>625</v>
      </c>
      <c r="M624" s="5">
        <v>35</v>
      </c>
      <c r="N624" s="5">
        <v>169</v>
      </c>
      <c r="O624" s="5">
        <v>58</v>
      </c>
      <c r="P624" s="5">
        <v>17</v>
      </c>
      <c r="Q624" s="5">
        <v>35</v>
      </c>
      <c r="R624" s="8">
        <v>1</v>
      </c>
      <c r="S624" s="8">
        <v>4</v>
      </c>
      <c r="T624" s="8">
        <v>3</v>
      </c>
      <c r="U624" s="8">
        <v>6</v>
      </c>
      <c r="V624" s="8">
        <v>1</v>
      </c>
      <c r="W624" t="s">
        <v>473</v>
      </c>
      <c r="X624" t="s">
        <v>474</v>
      </c>
      <c r="Y624" t="s">
        <v>474</v>
      </c>
      <c r="Z624" t="s">
        <v>473</v>
      </c>
      <c r="AA624" t="s">
        <v>473</v>
      </c>
      <c r="AB624" t="s">
        <v>473</v>
      </c>
      <c r="AC624" s="10">
        <v>3</v>
      </c>
      <c r="AD624" s="10">
        <v>11</v>
      </c>
      <c r="AE624" t="s">
        <v>473</v>
      </c>
    </row>
    <row r="625" spans="1:31" x14ac:dyDescent="0.25">
      <c r="A625">
        <v>10708</v>
      </c>
      <c r="B625">
        <v>1978</v>
      </c>
      <c r="C625" t="s">
        <v>46</v>
      </c>
      <c r="D625" t="s">
        <v>30</v>
      </c>
      <c r="E625" t="str">
        <f>IF(OR(Table1[[#This Row],[marital_status]]="Married", Table1[[#This Row],[marital_status]]="Together"), "Partnered", "Single")</f>
        <v>Single</v>
      </c>
      <c r="F625" s="7">
        <v>36975</v>
      </c>
      <c r="G625" s="8">
        <v>1</v>
      </c>
      <c r="H625" s="8">
        <v>0</v>
      </c>
      <c r="I625" s="8">
        <f>Table1[[#This Row],[kids]]+Table1[[#This Row],[teens]]</f>
        <v>1</v>
      </c>
      <c r="J625" s="9">
        <v>41636</v>
      </c>
      <c r="K625" s="8">
        <v>50</v>
      </c>
      <c r="L625" s="6">
        <v>10</v>
      </c>
      <c r="M625" s="5">
        <v>6</v>
      </c>
      <c r="N625" s="5">
        <v>11</v>
      </c>
      <c r="O625" s="5">
        <v>0</v>
      </c>
      <c r="P625" s="5">
        <v>4</v>
      </c>
      <c r="Q625" s="5">
        <v>2</v>
      </c>
      <c r="R625" s="8">
        <v>1</v>
      </c>
      <c r="S625" s="8">
        <v>1</v>
      </c>
      <c r="T625" s="8">
        <v>0</v>
      </c>
      <c r="U625" s="8">
        <v>3</v>
      </c>
      <c r="V625" s="8">
        <v>7</v>
      </c>
      <c r="W625" t="s">
        <v>473</v>
      </c>
      <c r="X625" t="s">
        <v>473</v>
      </c>
      <c r="Y625" t="s">
        <v>473</v>
      </c>
      <c r="Z625" t="s">
        <v>473</v>
      </c>
      <c r="AA625" t="s">
        <v>473</v>
      </c>
      <c r="AB625" t="s">
        <v>473</v>
      </c>
      <c r="AC625" s="10">
        <v>3</v>
      </c>
      <c r="AD625" s="10">
        <v>11</v>
      </c>
      <c r="AE625" t="s">
        <v>473</v>
      </c>
    </row>
    <row r="626" spans="1:31" x14ac:dyDescent="0.25">
      <c r="A626">
        <v>6583</v>
      </c>
      <c r="B626">
        <v>1955</v>
      </c>
      <c r="C626" t="s">
        <v>46</v>
      </c>
      <c r="D626" t="s">
        <v>34</v>
      </c>
      <c r="E626" t="str">
        <f>IF(OR(Table1[[#This Row],[marital_status]]="Married", Table1[[#This Row],[marital_status]]="Together"), "Partnered", "Single")</f>
        <v>Partnered</v>
      </c>
      <c r="F626" s="7">
        <v>72635</v>
      </c>
      <c r="G626" s="8">
        <v>0</v>
      </c>
      <c r="H626" s="8">
        <v>0</v>
      </c>
      <c r="I626" s="8">
        <f>Table1[[#This Row],[kids]]+Table1[[#This Row],[teens]]</f>
        <v>0</v>
      </c>
      <c r="J626" s="9">
        <v>41428</v>
      </c>
      <c r="K626" s="8">
        <v>54</v>
      </c>
      <c r="L626" s="6">
        <v>390</v>
      </c>
      <c r="M626" s="5">
        <v>22</v>
      </c>
      <c r="N626" s="5">
        <v>323</v>
      </c>
      <c r="O626" s="5">
        <v>104</v>
      </c>
      <c r="P626" s="5">
        <v>35</v>
      </c>
      <c r="Q626" s="5">
        <v>107</v>
      </c>
      <c r="R626" s="8">
        <v>1</v>
      </c>
      <c r="S626" s="8">
        <v>6</v>
      </c>
      <c r="T626" s="8">
        <v>8</v>
      </c>
      <c r="U626" s="8">
        <v>6</v>
      </c>
      <c r="V626" s="8">
        <v>3</v>
      </c>
      <c r="W626" t="s">
        <v>473</v>
      </c>
      <c r="X626" t="s">
        <v>473</v>
      </c>
      <c r="Y626" t="s">
        <v>473</v>
      </c>
      <c r="Z626" t="s">
        <v>474</v>
      </c>
      <c r="AA626" t="s">
        <v>473</v>
      </c>
      <c r="AB626" t="s">
        <v>473</v>
      </c>
      <c r="AC626" s="10">
        <v>3</v>
      </c>
      <c r="AD626" s="10">
        <v>11</v>
      </c>
      <c r="AE626" t="s">
        <v>473</v>
      </c>
    </row>
    <row r="627" spans="1:31" x14ac:dyDescent="0.25">
      <c r="A627">
        <v>3641</v>
      </c>
      <c r="B627">
        <v>1976</v>
      </c>
      <c r="C627" t="s">
        <v>466</v>
      </c>
      <c r="D627" t="s">
        <v>34</v>
      </c>
      <c r="E627" t="str">
        <f>IF(OR(Table1[[#This Row],[marital_status]]="Married", Table1[[#This Row],[marital_status]]="Together"), "Partnered", "Single")</f>
        <v>Partnered</v>
      </c>
      <c r="F627" s="7">
        <v>13624</v>
      </c>
      <c r="G627" s="8">
        <v>1</v>
      </c>
      <c r="H627" s="8">
        <v>0</v>
      </c>
      <c r="I627" s="8">
        <f>Table1[[#This Row],[kids]]+Table1[[#This Row],[teens]]</f>
        <v>1</v>
      </c>
      <c r="J627" s="9">
        <v>41294</v>
      </c>
      <c r="K627" s="8">
        <v>93</v>
      </c>
      <c r="L627" s="6">
        <v>10</v>
      </c>
      <c r="M627" s="5">
        <v>2</v>
      </c>
      <c r="N627" s="5">
        <v>15</v>
      </c>
      <c r="O627" s="5">
        <v>2</v>
      </c>
      <c r="P627" s="5">
        <v>1</v>
      </c>
      <c r="Q627" s="5">
        <v>6</v>
      </c>
      <c r="R627" s="8">
        <v>2</v>
      </c>
      <c r="S627" s="8">
        <v>2</v>
      </c>
      <c r="T627" s="8">
        <v>0</v>
      </c>
      <c r="U627" s="8">
        <v>3</v>
      </c>
      <c r="V627" s="8">
        <v>6</v>
      </c>
      <c r="W627" t="s">
        <v>473</v>
      </c>
      <c r="X627" t="s">
        <v>473</v>
      </c>
      <c r="Y627" t="s">
        <v>473</v>
      </c>
      <c r="Z627" t="s">
        <v>473</v>
      </c>
      <c r="AA627" t="s">
        <v>473</v>
      </c>
      <c r="AB627" t="s">
        <v>473</v>
      </c>
      <c r="AC627" s="10">
        <v>3</v>
      </c>
      <c r="AD627" s="10">
        <v>11</v>
      </c>
      <c r="AE627" t="s">
        <v>473</v>
      </c>
    </row>
    <row r="628" spans="1:31" x14ac:dyDescent="0.25">
      <c r="A628">
        <v>10156</v>
      </c>
      <c r="B628">
        <v>1975</v>
      </c>
      <c r="C628" t="s">
        <v>466</v>
      </c>
      <c r="D628" t="s">
        <v>30</v>
      </c>
      <c r="E628" t="str">
        <f>IF(OR(Table1[[#This Row],[marital_status]]="Married", Table1[[#This Row],[marital_status]]="Together"), "Partnered", "Single")</f>
        <v>Single</v>
      </c>
      <c r="F628" s="7">
        <v>84196</v>
      </c>
      <c r="G628" s="8">
        <v>0</v>
      </c>
      <c r="H628" s="8">
        <v>1</v>
      </c>
      <c r="I628" s="8">
        <f>Table1[[#This Row],[kids]]+Table1[[#This Row],[teens]]</f>
        <v>1</v>
      </c>
      <c r="J628" s="9">
        <v>41428</v>
      </c>
      <c r="K628" s="8">
        <v>56</v>
      </c>
      <c r="L628" s="6">
        <v>215</v>
      </c>
      <c r="M628" s="5">
        <v>63</v>
      </c>
      <c r="N628" s="5">
        <v>507</v>
      </c>
      <c r="O628" s="5">
        <v>231</v>
      </c>
      <c r="P628" s="5">
        <v>31</v>
      </c>
      <c r="Q628" s="5">
        <v>190</v>
      </c>
      <c r="R628" s="8">
        <v>1</v>
      </c>
      <c r="S628" s="8">
        <v>8</v>
      </c>
      <c r="T628" s="8">
        <v>4</v>
      </c>
      <c r="U628" s="8">
        <v>7</v>
      </c>
      <c r="V628" s="8">
        <v>3</v>
      </c>
      <c r="W628" t="s">
        <v>473</v>
      </c>
      <c r="X628" t="s">
        <v>473</v>
      </c>
      <c r="Y628" t="s">
        <v>473</v>
      </c>
      <c r="Z628" t="s">
        <v>473</v>
      </c>
      <c r="AA628" t="s">
        <v>473</v>
      </c>
      <c r="AB628" t="s">
        <v>473</v>
      </c>
      <c r="AC628" s="10">
        <v>3</v>
      </c>
      <c r="AD628" s="10">
        <v>11</v>
      </c>
      <c r="AE628" t="s">
        <v>473</v>
      </c>
    </row>
    <row r="629" spans="1:31" x14ac:dyDescent="0.25">
      <c r="A629">
        <v>4299</v>
      </c>
      <c r="B629">
        <v>1960</v>
      </c>
      <c r="C629" t="s">
        <v>466</v>
      </c>
      <c r="D629" t="s">
        <v>31</v>
      </c>
      <c r="E629" t="str">
        <f>IF(OR(Table1[[#This Row],[marital_status]]="Married", Table1[[#This Row],[marital_status]]="Together"), "Partnered", "Single")</f>
        <v>Partnered</v>
      </c>
      <c r="F629" s="7">
        <v>70971</v>
      </c>
      <c r="G629" s="8">
        <v>0</v>
      </c>
      <c r="H629" s="8">
        <v>1</v>
      </c>
      <c r="I629" s="8">
        <f>Table1[[#This Row],[kids]]+Table1[[#This Row],[teens]]</f>
        <v>1</v>
      </c>
      <c r="J629" s="9">
        <v>41173</v>
      </c>
      <c r="K629" s="8">
        <v>28</v>
      </c>
      <c r="L629" s="6">
        <v>1001</v>
      </c>
      <c r="M629" s="5">
        <v>17</v>
      </c>
      <c r="N629" s="5">
        <v>572</v>
      </c>
      <c r="O629" s="5">
        <v>93</v>
      </c>
      <c r="P629" s="5">
        <v>125</v>
      </c>
      <c r="Q629" s="5">
        <v>17</v>
      </c>
      <c r="R629" s="8">
        <v>7</v>
      </c>
      <c r="S629" s="8">
        <v>11</v>
      </c>
      <c r="T629" s="8">
        <v>11</v>
      </c>
      <c r="U629" s="8">
        <v>5</v>
      </c>
      <c r="V629" s="8">
        <v>7</v>
      </c>
      <c r="W629" t="s">
        <v>473</v>
      </c>
      <c r="X629" t="s">
        <v>473</v>
      </c>
      <c r="Y629" t="s">
        <v>473</v>
      </c>
      <c r="Z629" t="s">
        <v>473</v>
      </c>
      <c r="AA629" t="s">
        <v>473</v>
      </c>
      <c r="AB629" t="s">
        <v>473</v>
      </c>
      <c r="AC629" s="10">
        <v>3</v>
      </c>
      <c r="AD629" s="10">
        <v>11</v>
      </c>
      <c r="AE629" t="s">
        <v>474</v>
      </c>
    </row>
    <row r="630" spans="1:31" x14ac:dyDescent="0.25">
      <c r="A630">
        <v>3469</v>
      </c>
      <c r="B630">
        <v>1977</v>
      </c>
      <c r="C630" t="s">
        <v>33</v>
      </c>
      <c r="D630" t="s">
        <v>37</v>
      </c>
      <c r="E630" t="str">
        <f>IF(OR(Table1[[#This Row],[marital_status]]="Married", Table1[[#This Row],[marital_status]]="Together"), "Partnered", "Single")</f>
        <v>Single</v>
      </c>
      <c r="F630" s="7">
        <v>34487</v>
      </c>
      <c r="G630" s="8">
        <v>1</v>
      </c>
      <c r="H630" s="8">
        <v>1</v>
      </c>
      <c r="I630" s="8">
        <f>Table1[[#This Row],[kids]]+Table1[[#This Row],[teens]]</f>
        <v>2</v>
      </c>
      <c r="J630" s="9">
        <v>41158</v>
      </c>
      <c r="K630" s="8">
        <v>94</v>
      </c>
      <c r="L630" s="6">
        <v>19</v>
      </c>
      <c r="M630" s="5">
        <v>18</v>
      </c>
      <c r="N630" s="5">
        <v>33</v>
      </c>
      <c r="O630" s="5">
        <v>24</v>
      </c>
      <c r="P630" s="5">
        <v>1</v>
      </c>
      <c r="Q630" s="5">
        <v>8</v>
      </c>
      <c r="R630" s="8">
        <v>3</v>
      </c>
      <c r="S630" s="8">
        <v>3</v>
      </c>
      <c r="T630" s="8">
        <v>0</v>
      </c>
      <c r="U630" s="8">
        <v>3</v>
      </c>
      <c r="V630" s="8">
        <v>9</v>
      </c>
      <c r="W630" t="s">
        <v>473</v>
      </c>
      <c r="X630" t="s">
        <v>473</v>
      </c>
      <c r="Y630" t="s">
        <v>473</v>
      </c>
      <c r="Z630" t="s">
        <v>473</v>
      </c>
      <c r="AA630" t="s">
        <v>473</v>
      </c>
      <c r="AB630" t="s">
        <v>473</v>
      </c>
      <c r="AC630" s="10">
        <v>3</v>
      </c>
      <c r="AD630" s="10">
        <v>11</v>
      </c>
      <c r="AE630" t="s">
        <v>473</v>
      </c>
    </row>
    <row r="631" spans="1:31" x14ac:dyDescent="0.25">
      <c r="A631">
        <v>5063</v>
      </c>
      <c r="B631">
        <v>1977</v>
      </c>
      <c r="C631" t="s">
        <v>466</v>
      </c>
      <c r="D631" t="s">
        <v>30</v>
      </c>
      <c r="E631" t="str">
        <f>IF(OR(Table1[[#This Row],[marital_status]]="Married", Table1[[#This Row],[marital_status]]="Together"), "Partnered", "Single")</f>
        <v>Single</v>
      </c>
      <c r="F631" s="7">
        <v>28769</v>
      </c>
      <c r="G631" s="8">
        <v>1</v>
      </c>
      <c r="H631" s="8">
        <v>0</v>
      </c>
      <c r="I631" s="8">
        <f>Table1[[#This Row],[kids]]+Table1[[#This Row],[teens]]</f>
        <v>1</v>
      </c>
      <c r="J631" s="9">
        <v>41261</v>
      </c>
      <c r="K631" s="8">
        <v>76</v>
      </c>
      <c r="L631" s="6">
        <v>41</v>
      </c>
      <c r="M631" s="5">
        <v>5</v>
      </c>
      <c r="N631" s="5">
        <v>129</v>
      </c>
      <c r="O631" s="5">
        <v>10</v>
      </c>
      <c r="P631" s="5">
        <v>3</v>
      </c>
      <c r="Q631" s="5">
        <v>3</v>
      </c>
      <c r="R631" s="8">
        <v>3</v>
      </c>
      <c r="S631" s="8">
        <v>4</v>
      </c>
      <c r="T631" s="8">
        <v>1</v>
      </c>
      <c r="U631" s="8">
        <v>4</v>
      </c>
      <c r="V631" s="8">
        <v>9</v>
      </c>
      <c r="W631" t="s">
        <v>473</v>
      </c>
      <c r="X631" t="s">
        <v>473</v>
      </c>
      <c r="Y631" t="s">
        <v>473</v>
      </c>
      <c r="Z631" t="s">
        <v>473</v>
      </c>
      <c r="AA631" t="s">
        <v>473</v>
      </c>
      <c r="AB631" t="s">
        <v>473</v>
      </c>
      <c r="AC631" s="10">
        <v>3</v>
      </c>
      <c r="AD631" s="10">
        <v>11</v>
      </c>
      <c r="AE631" t="s">
        <v>473</v>
      </c>
    </row>
    <row r="632" spans="1:31" x14ac:dyDescent="0.25">
      <c r="A632">
        <v>10727</v>
      </c>
      <c r="B632">
        <v>1970</v>
      </c>
      <c r="C632" t="s">
        <v>33</v>
      </c>
      <c r="D632" t="s">
        <v>34</v>
      </c>
      <c r="E632" t="str">
        <f>IF(OR(Table1[[#This Row],[marital_status]]="Married", Table1[[#This Row],[marital_status]]="Together"), "Partnered", "Single")</f>
        <v>Partnered</v>
      </c>
      <c r="F632" s="7">
        <v>69084</v>
      </c>
      <c r="G632" s="8">
        <v>1</v>
      </c>
      <c r="H632" s="8">
        <v>0</v>
      </c>
      <c r="I632" s="8">
        <f>Table1[[#This Row],[kids]]+Table1[[#This Row],[teens]]</f>
        <v>1</v>
      </c>
      <c r="J632" s="9">
        <v>41597</v>
      </c>
      <c r="K632" s="8">
        <v>43</v>
      </c>
      <c r="L632" s="6">
        <v>1181</v>
      </c>
      <c r="M632" s="5">
        <v>107</v>
      </c>
      <c r="N632" s="5">
        <v>199</v>
      </c>
      <c r="O632" s="5">
        <v>39</v>
      </c>
      <c r="P632" s="5">
        <v>30</v>
      </c>
      <c r="Q632" s="5">
        <v>30</v>
      </c>
      <c r="R632" s="8">
        <v>2</v>
      </c>
      <c r="S632" s="8">
        <v>7</v>
      </c>
      <c r="T632" s="8">
        <v>3</v>
      </c>
      <c r="U632" s="8">
        <v>13</v>
      </c>
      <c r="V632" s="8">
        <v>8</v>
      </c>
      <c r="W632" t="s">
        <v>473</v>
      </c>
      <c r="X632" t="s">
        <v>473</v>
      </c>
      <c r="Y632" t="s">
        <v>473</v>
      </c>
      <c r="Z632" t="s">
        <v>473</v>
      </c>
      <c r="AA632" t="s">
        <v>473</v>
      </c>
      <c r="AB632" t="s">
        <v>473</v>
      </c>
      <c r="AC632" s="10">
        <v>3</v>
      </c>
      <c r="AD632" s="10">
        <v>11</v>
      </c>
      <c r="AE632" t="s">
        <v>473</v>
      </c>
    </row>
    <row r="633" spans="1:31" x14ac:dyDescent="0.25">
      <c r="A633">
        <v>9624</v>
      </c>
      <c r="B633">
        <v>1958</v>
      </c>
      <c r="C633" t="s">
        <v>33</v>
      </c>
      <c r="D633" t="s">
        <v>31</v>
      </c>
      <c r="E633" t="str">
        <f>IF(OR(Table1[[#This Row],[marital_status]]="Married", Table1[[#This Row],[marital_status]]="Together"), "Partnered", "Single")</f>
        <v>Partnered</v>
      </c>
      <c r="F633" s="7">
        <v>65488</v>
      </c>
      <c r="G633" s="8">
        <v>0</v>
      </c>
      <c r="H633" s="8">
        <v>0</v>
      </c>
      <c r="I633" s="8">
        <f>Table1[[#This Row],[kids]]+Table1[[#This Row],[teens]]</f>
        <v>0</v>
      </c>
      <c r="J633" s="9">
        <v>41803</v>
      </c>
      <c r="K633" s="8">
        <v>46</v>
      </c>
      <c r="L633" s="6">
        <v>603</v>
      </c>
      <c r="M633" s="5">
        <v>45</v>
      </c>
      <c r="N633" s="5">
        <v>207</v>
      </c>
      <c r="O633" s="5">
        <v>36</v>
      </c>
      <c r="P633" s="5">
        <v>18</v>
      </c>
      <c r="Q633" s="5">
        <v>54</v>
      </c>
      <c r="R633" s="8">
        <v>1</v>
      </c>
      <c r="S633" s="8">
        <v>3</v>
      </c>
      <c r="T633" s="8">
        <v>4</v>
      </c>
      <c r="U633" s="8">
        <v>6</v>
      </c>
      <c r="V633" s="8">
        <v>1</v>
      </c>
      <c r="W633" t="s">
        <v>473</v>
      </c>
      <c r="X633" t="s">
        <v>473</v>
      </c>
      <c r="Y633" t="s">
        <v>473</v>
      </c>
      <c r="Z633" t="s">
        <v>473</v>
      </c>
      <c r="AA633" t="s">
        <v>473</v>
      </c>
      <c r="AB633" t="s">
        <v>473</v>
      </c>
      <c r="AC633" s="10">
        <v>3</v>
      </c>
      <c r="AD633" s="10">
        <v>11</v>
      </c>
      <c r="AE633" t="s">
        <v>473</v>
      </c>
    </row>
    <row r="634" spans="1:31" x14ac:dyDescent="0.25">
      <c r="A634">
        <v>5156</v>
      </c>
      <c r="B634">
        <v>1970</v>
      </c>
      <c r="C634" t="s">
        <v>46</v>
      </c>
      <c r="D634" t="s">
        <v>34</v>
      </c>
      <c r="E634" t="str">
        <f>IF(OR(Table1[[#This Row],[marital_status]]="Married", Table1[[#This Row],[marital_status]]="Together"), "Partnered", "Single")</f>
        <v>Partnered</v>
      </c>
      <c r="F634" s="7">
        <v>62466</v>
      </c>
      <c r="G634" s="8">
        <v>0</v>
      </c>
      <c r="H634" s="8">
        <v>1</v>
      </c>
      <c r="I634" s="8">
        <f>Table1[[#This Row],[kids]]+Table1[[#This Row],[teens]]</f>
        <v>1</v>
      </c>
      <c r="J634" s="9">
        <v>41654</v>
      </c>
      <c r="K634" s="8">
        <v>13</v>
      </c>
      <c r="L634" s="6">
        <v>129</v>
      </c>
      <c r="M634" s="5">
        <v>129</v>
      </c>
      <c r="N634" s="5">
        <v>259</v>
      </c>
      <c r="O634" s="5">
        <v>168</v>
      </c>
      <c r="P634" s="5">
        <v>121</v>
      </c>
      <c r="Q634" s="5">
        <v>83</v>
      </c>
      <c r="R634" s="8">
        <v>5</v>
      </c>
      <c r="S634" s="8">
        <v>6</v>
      </c>
      <c r="T634" s="8">
        <v>3</v>
      </c>
      <c r="U634" s="8">
        <v>12</v>
      </c>
      <c r="V634" s="8">
        <v>4</v>
      </c>
      <c r="W634" t="s">
        <v>473</v>
      </c>
      <c r="X634" t="s">
        <v>473</v>
      </c>
      <c r="Y634" t="s">
        <v>473</v>
      </c>
      <c r="Z634" t="s">
        <v>473</v>
      </c>
      <c r="AA634" t="s">
        <v>473</v>
      </c>
      <c r="AB634" t="s">
        <v>473</v>
      </c>
      <c r="AC634" s="10">
        <v>3</v>
      </c>
      <c r="AD634" s="10">
        <v>11</v>
      </c>
      <c r="AE634" t="s">
        <v>473</v>
      </c>
    </row>
    <row r="635" spans="1:31" x14ac:dyDescent="0.25">
      <c r="A635">
        <v>4376</v>
      </c>
      <c r="B635">
        <v>1960</v>
      </c>
      <c r="C635" t="s">
        <v>46</v>
      </c>
      <c r="D635" t="s">
        <v>30</v>
      </c>
      <c r="E635" t="str">
        <f>IF(OR(Table1[[#This Row],[marital_status]]="Married", Table1[[#This Row],[marital_status]]="Together"), "Partnered", "Single")</f>
        <v>Single</v>
      </c>
      <c r="F635" s="7">
        <v>32218</v>
      </c>
      <c r="G635" s="8">
        <v>0</v>
      </c>
      <c r="H635" s="8">
        <v>0</v>
      </c>
      <c r="I635" s="8">
        <f>Table1[[#This Row],[kids]]+Table1[[#This Row],[teens]]</f>
        <v>0</v>
      </c>
      <c r="J635" s="9">
        <v>41685</v>
      </c>
      <c r="K635" s="8">
        <v>27</v>
      </c>
      <c r="L635" s="6">
        <v>10</v>
      </c>
      <c r="M635" s="5">
        <v>24</v>
      </c>
      <c r="N635" s="5">
        <v>15</v>
      </c>
      <c r="O635" s="5">
        <v>13</v>
      </c>
      <c r="P635" s="5">
        <v>1</v>
      </c>
      <c r="Q635" s="5">
        <v>30</v>
      </c>
      <c r="R635" s="8">
        <v>1</v>
      </c>
      <c r="S635" s="8">
        <v>2</v>
      </c>
      <c r="T635" s="8">
        <v>1</v>
      </c>
      <c r="U635" s="8">
        <v>3</v>
      </c>
      <c r="V635" s="8">
        <v>7</v>
      </c>
      <c r="W635" t="s">
        <v>474</v>
      </c>
      <c r="X635" t="s">
        <v>473</v>
      </c>
      <c r="Y635" t="s">
        <v>473</v>
      </c>
      <c r="Z635" t="s">
        <v>473</v>
      </c>
      <c r="AA635" t="s">
        <v>473</v>
      </c>
      <c r="AB635" t="s">
        <v>473</v>
      </c>
      <c r="AC635" s="10">
        <v>3</v>
      </c>
      <c r="AD635" s="10">
        <v>11</v>
      </c>
      <c r="AE635" t="s">
        <v>474</v>
      </c>
    </row>
    <row r="636" spans="1:31" x14ac:dyDescent="0.25">
      <c r="A636">
        <v>8923</v>
      </c>
      <c r="B636">
        <v>1973</v>
      </c>
      <c r="C636" t="s">
        <v>466</v>
      </c>
      <c r="D636" t="s">
        <v>30</v>
      </c>
      <c r="E636" t="str">
        <f>IF(OR(Table1[[#This Row],[marital_status]]="Married", Table1[[#This Row],[marital_status]]="Together"), "Partnered", "Single")</f>
        <v>Single</v>
      </c>
      <c r="F636" s="7">
        <v>83917</v>
      </c>
      <c r="G636" s="8">
        <v>0</v>
      </c>
      <c r="H636" s="8">
        <v>0</v>
      </c>
      <c r="I636" s="8">
        <f>Table1[[#This Row],[kids]]+Table1[[#This Row],[teens]]</f>
        <v>0</v>
      </c>
      <c r="J636" s="9">
        <v>41382</v>
      </c>
      <c r="K636" s="8">
        <v>12</v>
      </c>
      <c r="L636" s="6">
        <v>514</v>
      </c>
      <c r="M636" s="5">
        <v>22</v>
      </c>
      <c r="N636" s="5">
        <v>732</v>
      </c>
      <c r="O636" s="5">
        <v>42</v>
      </c>
      <c r="P636" s="5">
        <v>198</v>
      </c>
      <c r="Q636" s="5">
        <v>79</v>
      </c>
      <c r="R636" s="8">
        <v>1</v>
      </c>
      <c r="S636" s="8">
        <v>6</v>
      </c>
      <c r="T636" s="8">
        <v>7</v>
      </c>
      <c r="U636" s="8">
        <v>7</v>
      </c>
      <c r="V636" s="8">
        <v>3</v>
      </c>
      <c r="W636" t="s">
        <v>473</v>
      </c>
      <c r="X636" t="s">
        <v>473</v>
      </c>
      <c r="Y636" t="s">
        <v>473</v>
      </c>
      <c r="Z636" t="s">
        <v>473</v>
      </c>
      <c r="AA636" t="s">
        <v>473</v>
      </c>
      <c r="AB636" t="s">
        <v>473</v>
      </c>
      <c r="AC636" s="10">
        <v>3</v>
      </c>
      <c r="AD636" s="10">
        <v>11</v>
      </c>
      <c r="AE636" t="s">
        <v>474</v>
      </c>
    </row>
    <row r="637" spans="1:31" x14ac:dyDescent="0.25">
      <c r="A637">
        <v>8461</v>
      </c>
      <c r="B637">
        <v>1962</v>
      </c>
      <c r="C637" t="s">
        <v>466</v>
      </c>
      <c r="D637" t="s">
        <v>37</v>
      </c>
      <c r="E637" t="str">
        <f>IF(OR(Table1[[#This Row],[marital_status]]="Married", Table1[[#This Row],[marital_status]]="Together"), "Partnered", "Single")</f>
        <v>Single</v>
      </c>
      <c r="F637" s="7">
        <v>46102</v>
      </c>
      <c r="G637" s="8">
        <v>2</v>
      </c>
      <c r="H637" s="8">
        <v>1</v>
      </c>
      <c r="I637" s="8">
        <f>Table1[[#This Row],[kids]]+Table1[[#This Row],[teens]]</f>
        <v>3</v>
      </c>
      <c r="J637" s="9">
        <v>41708</v>
      </c>
      <c r="K637" s="8">
        <v>3</v>
      </c>
      <c r="L637" s="6">
        <v>14</v>
      </c>
      <c r="M637" s="5">
        <v>0</v>
      </c>
      <c r="N637" s="5">
        <v>1</v>
      </c>
      <c r="O637" s="5">
        <v>0</v>
      </c>
      <c r="P637" s="5">
        <v>0</v>
      </c>
      <c r="Q637" s="5">
        <v>1</v>
      </c>
      <c r="R637" s="8">
        <v>1</v>
      </c>
      <c r="S637" s="8">
        <v>1</v>
      </c>
      <c r="T637" s="8">
        <v>0</v>
      </c>
      <c r="U637" s="8">
        <v>2</v>
      </c>
      <c r="V637" s="8">
        <v>7</v>
      </c>
      <c r="W637" t="s">
        <v>473</v>
      </c>
      <c r="X637" t="s">
        <v>473</v>
      </c>
      <c r="Y637" t="s">
        <v>473</v>
      </c>
      <c r="Z637" t="s">
        <v>473</v>
      </c>
      <c r="AA637" t="s">
        <v>473</v>
      </c>
      <c r="AB637" t="s">
        <v>473</v>
      </c>
      <c r="AC637" s="10">
        <v>3</v>
      </c>
      <c r="AD637" s="10">
        <v>11</v>
      </c>
      <c r="AE637" t="s">
        <v>473</v>
      </c>
    </row>
    <row r="638" spans="1:31" x14ac:dyDescent="0.25">
      <c r="A638">
        <v>6945</v>
      </c>
      <c r="B638">
        <v>1952</v>
      </c>
      <c r="C638" t="s">
        <v>466</v>
      </c>
      <c r="D638" t="s">
        <v>30</v>
      </c>
      <c r="E638" t="str">
        <f>IF(OR(Table1[[#This Row],[marital_status]]="Married", Table1[[#This Row],[marital_status]]="Together"), "Partnered", "Single")</f>
        <v>Single</v>
      </c>
      <c r="F638" s="7">
        <v>84574</v>
      </c>
      <c r="G638" s="8">
        <v>0</v>
      </c>
      <c r="H638" s="8">
        <v>0</v>
      </c>
      <c r="I638" s="8">
        <f>Table1[[#This Row],[kids]]+Table1[[#This Row],[teens]]</f>
        <v>0</v>
      </c>
      <c r="J638" s="9">
        <v>41429</v>
      </c>
      <c r="K638" s="8">
        <v>72</v>
      </c>
      <c r="L638" s="6">
        <v>387</v>
      </c>
      <c r="M638" s="5">
        <v>20</v>
      </c>
      <c r="N638" s="5">
        <v>713</v>
      </c>
      <c r="O638" s="5">
        <v>38</v>
      </c>
      <c r="P638" s="5">
        <v>54</v>
      </c>
      <c r="Q638" s="5">
        <v>163</v>
      </c>
      <c r="R638" s="8">
        <v>1</v>
      </c>
      <c r="S638" s="8">
        <v>9</v>
      </c>
      <c r="T638" s="8">
        <v>11</v>
      </c>
      <c r="U638" s="8">
        <v>11</v>
      </c>
      <c r="V638" s="8">
        <v>5</v>
      </c>
      <c r="W638" t="s">
        <v>473</v>
      </c>
      <c r="X638" t="s">
        <v>473</v>
      </c>
      <c r="Y638" t="s">
        <v>473</v>
      </c>
      <c r="Z638" t="s">
        <v>473</v>
      </c>
      <c r="AA638" t="s">
        <v>473</v>
      </c>
      <c r="AB638" t="s">
        <v>473</v>
      </c>
      <c r="AC638" s="10">
        <v>3</v>
      </c>
      <c r="AD638" s="10">
        <v>11</v>
      </c>
      <c r="AE638" t="s">
        <v>473</v>
      </c>
    </row>
    <row r="639" spans="1:31" x14ac:dyDescent="0.25">
      <c r="A639">
        <v>944</v>
      </c>
      <c r="B639">
        <v>1962</v>
      </c>
      <c r="C639" t="s">
        <v>466</v>
      </c>
      <c r="D639" t="s">
        <v>34</v>
      </c>
      <c r="E639" t="str">
        <f>IF(OR(Table1[[#This Row],[marital_status]]="Married", Table1[[#This Row],[marital_status]]="Together"), "Partnered", "Single")</f>
        <v>Partnered</v>
      </c>
      <c r="F639" s="7">
        <v>56181</v>
      </c>
      <c r="G639" s="8">
        <v>0</v>
      </c>
      <c r="H639" s="8">
        <v>1</v>
      </c>
      <c r="I639" s="8">
        <f>Table1[[#This Row],[kids]]+Table1[[#This Row],[teens]]</f>
        <v>1</v>
      </c>
      <c r="J639" s="9">
        <v>41282</v>
      </c>
      <c r="K639" s="8">
        <v>6</v>
      </c>
      <c r="L639" s="6">
        <v>121</v>
      </c>
      <c r="M639" s="5">
        <v>103</v>
      </c>
      <c r="N639" s="5">
        <v>69</v>
      </c>
      <c r="O639" s="5">
        <v>8</v>
      </c>
      <c r="P639" s="5">
        <v>44</v>
      </c>
      <c r="Q639" s="5">
        <v>48</v>
      </c>
      <c r="R639" s="8">
        <v>1</v>
      </c>
      <c r="S639" s="8">
        <v>4</v>
      </c>
      <c r="T639" s="8">
        <v>2</v>
      </c>
      <c r="U639" s="8">
        <v>7</v>
      </c>
      <c r="V639" s="8">
        <v>4</v>
      </c>
      <c r="W639" t="s">
        <v>473</v>
      </c>
      <c r="X639" t="s">
        <v>473</v>
      </c>
      <c r="Y639" t="s">
        <v>473</v>
      </c>
      <c r="Z639" t="s">
        <v>473</v>
      </c>
      <c r="AA639" t="s">
        <v>473</v>
      </c>
      <c r="AB639" t="s">
        <v>473</v>
      </c>
      <c r="AC639" s="10">
        <v>3</v>
      </c>
      <c r="AD639" s="10">
        <v>11</v>
      </c>
      <c r="AE639" t="s">
        <v>473</v>
      </c>
    </row>
    <row r="640" spans="1:31" x14ac:dyDescent="0.25">
      <c r="A640">
        <v>1907</v>
      </c>
      <c r="B640">
        <v>1950</v>
      </c>
      <c r="C640" t="s">
        <v>36</v>
      </c>
      <c r="D640" t="s">
        <v>37</v>
      </c>
      <c r="E640" t="str">
        <f>IF(OR(Table1[[#This Row],[marital_status]]="Married", Table1[[#This Row],[marital_status]]="Together"), "Partnered", "Single")</f>
        <v>Single</v>
      </c>
      <c r="F640" s="7">
        <v>63120</v>
      </c>
      <c r="G640" s="8">
        <v>0</v>
      </c>
      <c r="H640" s="8">
        <v>1</v>
      </c>
      <c r="I640" s="8">
        <f>Table1[[#This Row],[kids]]+Table1[[#This Row],[teens]]</f>
        <v>1</v>
      </c>
      <c r="J640" s="9">
        <v>41180</v>
      </c>
      <c r="K640" s="8">
        <v>53</v>
      </c>
      <c r="L640" s="6">
        <v>965</v>
      </c>
      <c r="M640" s="5">
        <v>69</v>
      </c>
      <c r="N640" s="5">
        <v>279</v>
      </c>
      <c r="O640" s="5">
        <v>54</v>
      </c>
      <c r="P640" s="5">
        <v>41</v>
      </c>
      <c r="Q640" s="5">
        <v>69</v>
      </c>
      <c r="R640" s="8">
        <v>5</v>
      </c>
      <c r="S640" s="8">
        <v>8</v>
      </c>
      <c r="T640" s="8">
        <v>4</v>
      </c>
      <c r="U640" s="8">
        <v>9</v>
      </c>
      <c r="V640" s="8">
        <v>7</v>
      </c>
      <c r="W640" t="s">
        <v>473</v>
      </c>
      <c r="X640" t="s">
        <v>473</v>
      </c>
      <c r="Y640" t="s">
        <v>473</v>
      </c>
      <c r="Z640" t="s">
        <v>473</v>
      </c>
      <c r="AA640" t="s">
        <v>473</v>
      </c>
      <c r="AB640" t="s">
        <v>473</v>
      </c>
      <c r="AC640" s="10">
        <v>3</v>
      </c>
      <c r="AD640" s="10">
        <v>11</v>
      </c>
      <c r="AE640" t="s">
        <v>474</v>
      </c>
    </row>
    <row r="641" spans="1:31" x14ac:dyDescent="0.25">
      <c r="A641">
        <v>701</v>
      </c>
      <c r="B641">
        <v>1971</v>
      </c>
      <c r="C641" t="s">
        <v>466</v>
      </c>
      <c r="D641" t="s">
        <v>34</v>
      </c>
      <c r="E641" t="str">
        <f>IF(OR(Table1[[#This Row],[marital_status]]="Married", Table1[[#This Row],[marital_status]]="Together"), "Partnered", "Single")</f>
        <v>Partnered</v>
      </c>
      <c r="F641" s="7">
        <v>73691</v>
      </c>
      <c r="G641" s="8">
        <v>0</v>
      </c>
      <c r="H641" s="8">
        <v>1</v>
      </c>
      <c r="I641" s="8">
        <f>Table1[[#This Row],[kids]]+Table1[[#This Row],[teens]]</f>
        <v>1</v>
      </c>
      <c r="J641" s="9">
        <v>41584</v>
      </c>
      <c r="K641" s="8">
        <v>58</v>
      </c>
      <c r="L641" s="6">
        <v>707</v>
      </c>
      <c r="M641" s="5">
        <v>21</v>
      </c>
      <c r="N641" s="5">
        <v>250</v>
      </c>
      <c r="O641" s="5">
        <v>85</v>
      </c>
      <c r="P641" s="5">
        <v>43</v>
      </c>
      <c r="Q641" s="5">
        <v>73</v>
      </c>
      <c r="R641" s="8">
        <v>2</v>
      </c>
      <c r="S641" s="8">
        <v>6</v>
      </c>
      <c r="T641" s="8">
        <v>2</v>
      </c>
      <c r="U641" s="8">
        <v>8</v>
      </c>
      <c r="V641" s="8">
        <v>2</v>
      </c>
      <c r="W641" t="s">
        <v>474</v>
      </c>
      <c r="X641" t="s">
        <v>473</v>
      </c>
      <c r="Y641" t="s">
        <v>473</v>
      </c>
      <c r="Z641" t="s">
        <v>473</v>
      </c>
      <c r="AA641" t="s">
        <v>473</v>
      </c>
      <c r="AB641" t="s">
        <v>473</v>
      </c>
      <c r="AC641" s="10">
        <v>3</v>
      </c>
      <c r="AD641" s="10">
        <v>11</v>
      </c>
      <c r="AE641" t="s">
        <v>473</v>
      </c>
    </row>
    <row r="642" spans="1:31" x14ac:dyDescent="0.25">
      <c r="A642">
        <v>3856</v>
      </c>
      <c r="B642">
        <v>1960</v>
      </c>
      <c r="C642" t="s">
        <v>466</v>
      </c>
      <c r="D642" t="s">
        <v>31</v>
      </c>
      <c r="E642" t="str">
        <f>IF(OR(Table1[[#This Row],[marital_status]]="Married", Table1[[#This Row],[marital_status]]="Together"), "Partnered", "Single")</f>
        <v>Partnered</v>
      </c>
      <c r="F642" s="7">
        <v>63381</v>
      </c>
      <c r="G642" s="8">
        <v>0</v>
      </c>
      <c r="H642" s="8">
        <v>1</v>
      </c>
      <c r="I642" s="8">
        <f>Table1[[#This Row],[kids]]+Table1[[#This Row],[teens]]</f>
        <v>1</v>
      </c>
      <c r="J642" s="9">
        <v>41187</v>
      </c>
      <c r="K642" s="8">
        <v>78</v>
      </c>
      <c r="L642" s="6">
        <v>571</v>
      </c>
      <c r="M642" s="5">
        <v>50</v>
      </c>
      <c r="N642" s="5">
        <v>142</v>
      </c>
      <c r="O642" s="5">
        <v>33</v>
      </c>
      <c r="P642" s="5">
        <v>50</v>
      </c>
      <c r="Q642" s="5">
        <v>159</v>
      </c>
      <c r="R642" s="8">
        <v>4</v>
      </c>
      <c r="S642" s="8">
        <v>4</v>
      </c>
      <c r="T642" s="8">
        <v>5</v>
      </c>
      <c r="U642" s="8">
        <v>13</v>
      </c>
      <c r="V642" s="8">
        <v>2</v>
      </c>
      <c r="W642" t="s">
        <v>473</v>
      </c>
      <c r="X642" t="s">
        <v>473</v>
      </c>
      <c r="Y642" t="s">
        <v>473</v>
      </c>
      <c r="Z642" t="s">
        <v>473</v>
      </c>
      <c r="AA642" t="s">
        <v>473</v>
      </c>
      <c r="AB642" t="s">
        <v>473</v>
      </c>
      <c r="AC642" s="10">
        <v>3</v>
      </c>
      <c r="AD642" s="10">
        <v>11</v>
      </c>
      <c r="AE642" t="s">
        <v>473</v>
      </c>
    </row>
    <row r="643" spans="1:31" x14ac:dyDescent="0.25">
      <c r="A643">
        <v>4149</v>
      </c>
      <c r="B643">
        <v>1948</v>
      </c>
      <c r="C643" t="s">
        <v>33</v>
      </c>
      <c r="D643" t="s">
        <v>31</v>
      </c>
      <c r="E643" t="str">
        <f>IF(OR(Table1[[#This Row],[marital_status]]="Married", Table1[[#This Row],[marital_status]]="Together"), "Partnered", "Single")</f>
        <v>Partnered</v>
      </c>
      <c r="F643" s="7">
        <v>76140</v>
      </c>
      <c r="G643" s="8">
        <v>0</v>
      </c>
      <c r="H643" s="8">
        <v>0</v>
      </c>
      <c r="I643" s="8">
        <f>Table1[[#This Row],[kids]]+Table1[[#This Row],[teens]]</f>
        <v>0</v>
      </c>
      <c r="J643" s="9">
        <v>41772</v>
      </c>
      <c r="K643" s="8">
        <v>57</v>
      </c>
      <c r="L643" s="6">
        <v>586</v>
      </c>
      <c r="M643" s="5">
        <v>66</v>
      </c>
      <c r="N643" s="5">
        <v>653</v>
      </c>
      <c r="O643" s="5">
        <v>17</v>
      </c>
      <c r="P643" s="5">
        <v>0</v>
      </c>
      <c r="Q643" s="5">
        <v>26</v>
      </c>
      <c r="R643" s="8">
        <v>1</v>
      </c>
      <c r="S643" s="8">
        <v>5</v>
      </c>
      <c r="T643" s="8">
        <v>9</v>
      </c>
      <c r="U643" s="8">
        <v>6</v>
      </c>
      <c r="V643" s="8">
        <v>2</v>
      </c>
      <c r="W643" t="s">
        <v>473</v>
      </c>
      <c r="X643" t="s">
        <v>473</v>
      </c>
      <c r="Y643" t="s">
        <v>473</v>
      </c>
      <c r="Z643" t="s">
        <v>473</v>
      </c>
      <c r="AA643" t="s">
        <v>473</v>
      </c>
      <c r="AB643" t="s">
        <v>473</v>
      </c>
      <c r="AC643" s="10">
        <v>3</v>
      </c>
      <c r="AD643" s="10">
        <v>11</v>
      </c>
      <c r="AE643" t="s">
        <v>473</v>
      </c>
    </row>
    <row r="644" spans="1:31" x14ac:dyDescent="0.25">
      <c r="A644">
        <v>2131</v>
      </c>
      <c r="B644">
        <v>1959</v>
      </c>
      <c r="C644" t="s">
        <v>33</v>
      </c>
      <c r="D644" t="s">
        <v>37</v>
      </c>
      <c r="E644" t="str">
        <f>IF(OR(Table1[[#This Row],[marital_status]]="Married", Table1[[#This Row],[marital_status]]="Together"), "Partnered", "Single")</f>
        <v>Single</v>
      </c>
      <c r="F644" s="7">
        <v>62859</v>
      </c>
      <c r="G644" s="8">
        <v>0</v>
      </c>
      <c r="H644" s="8">
        <v>1</v>
      </c>
      <c r="I644" s="8">
        <f>Table1[[#This Row],[kids]]+Table1[[#This Row],[teens]]</f>
        <v>1</v>
      </c>
      <c r="J644" s="9">
        <v>41273</v>
      </c>
      <c r="K644" s="8">
        <v>37</v>
      </c>
      <c r="L644" s="6">
        <v>1063</v>
      </c>
      <c r="M644" s="5">
        <v>89</v>
      </c>
      <c r="N644" s="5">
        <v>102</v>
      </c>
      <c r="O644" s="5">
        <v>16</v>
      </c>
      <c r="P644" s="5">
        <v>12</v>
      </c>
      <c r="Q644" s="5">
        <v>25</v>
      </c>
      <c r="R644" s="8">
        <v>4</v>
      </c>
      <c r="S644" s="8">
        <v>9</v>
      </c>
      <c r="T644" s="8">
        <v>4</v>
      </c>
      <c r="U644" s="8">
        <v>6</v>
      </c>
      <c r="V644" s="8">
        <v>6</v>
      </c>
      <c r="W644" t="s">
        <v>473</v>
      </c>
      <c r="X644" t="s">
        <v>473</v>
      </c>
      <c r="Y644" t="s">
        <v>473</v>
      </c>
      <c r="Z644" t="s">
        <v>473</v>
      </c>
      <c r="AA644" t="s">
        <v>473</v>
      </c>
      <c r="AB644" t="s">
        <v>473</v>
      </c>
      <c r="AC644" s="10">
        <v>3</v>
      </c>
      <c r="AD644" s="10">
        <v>11</v>
      </c>
      <c r="AE644" t="s">
        <v>473</v>
      </c>
    </row>
    <row r="645" spans="1:31" x14ac:dyDescent="0.25">
      <c r="A645">
        <v>2942</v>
      </c>
      <c r="B645">
        <v>1964</v>
      </c>
      <c r="C645" t="s">
        <v>466</v>
      </c>
      <c r="D645" t="s">
        <v>30</v>
      </c>
      <c r="E645" t="str">
        <f>IF(OR(Table1[[#This Row],[marital_status]]="Married", Table1[[#This Row],[marital_status]]="Together"), "Partnered", "Single")</f>
        <v>Single</v>
      </c>
      <c r="F645" s="7">
        <v>45906</v>
      </c>
      <c r="G645" s="8">
        <v>0</v>
      </c>
      <c r="H645" s="8">
        <v>1</v>
      </c>
      <c r="I645" s="8">
        <f>Table1[[#This Row],[kids]]+Table1[[#This Row],[teens]]</f>
        <v>1</v>
      </c>
      <c r="J645" s="9">
        <v>41401</v>
      </c>
      <c r="K645" s="8">
        <v>20</v>
      </c>
      <c r="L645" s="6">
        <v>305</v>
      </c>
      <c r="M645" s="5">
        <v>3</v>
      </c>
      <c r="N645" s="5">
        <v>27</v>
      </c>
      <c r="O645" s="5">
        <v>4</v>
      </c>
      <c r="P645" s="5">
        <v>3</v>
      </c>
      <c r="Q645" s="5">
        <v>144</v>
      </c>
      <c r="R645" s="8">
        <v>2</v>
      </c>
      <c r="S645" s="8">
        <v>5</v>
      </c>
      <c r="T645" s="8">
        <v>4</v>
      </c>
      <c r="U645" s="8">
        <v>4</v>
      </c>
      <c r="V645" s="8">
        <v>5</v>
      </c>
      <c r="W645" t="s">
        <v>474</v>
      </c>
      <c r="X645" t="s">
        <v>473</v>
      </c>
      <c r="Y645" t="s">
        <v>473</v>
      </c>
      <c r="Z645" t="s">
        <v>473</v>
      </c>
      <c r="AA645" t="s">
        <v>473</v>
      </c>
      <c r="AB645" t="s">
        <v>473</v>
      </c>
      <c r="AC645" s="10">
        <v>3</v>
      </c>
      <c r="AD645" s="10">
        <v>11</v>
      </c>
      <c r="AE645" t="s">
        <v>473</v>
      </c>
    </row>
    <row r="646" spans="1:31" x14ac:dyDescent="0.25">
      <c r="A646">
        <v>1173</v>
      </c>
      <c r="B646">
        <v>1947</v>
      </c>
      <c r="C646" t="s">
        <v>36</v>
      </c>
      <c r="D646" t="s">
        <v>31</v>
      </c>
      <c r="E646" t="str">
        <f>IF(OR(Table1[[#This Row],[marital_status]]="Married", Table1[[#This Row],[marital_status]]="Together"), "Partnered", "Single")</f>
        <v>Partnered</v>
      </c>
      <c r="F646" s="7">
        <v>77632</v>
      </c>
      <c r="G646" s="8">
        <v>0</v>
      </c>
      <c r="H646" s="8">
        <v>0</v>
      </c>
      <c r="I646" s="8">
        <f>Table1[[#This Row],[kids]]+Table1[[#This Row],[teens]]</f>
        <v>0</v>
      </c>
      <c r="J646" s="9">
        <v>41343</v>
      </c>
      <c r="K646" s="8">
        <v>73</v>
      </c>
      <c r="L646" s="6">
        <v>1200</v>
      </c>
      <c r="M646" s="5">
        <v>105</v>
      </c>
      <c r="N646" s="5">
        <v>758</v>
      </c>
      <c r="O646" s="5">
        <v>0</v>
      </c>
      <c r="P646" s="5">
        <v>42</v>
      </c>
      <c r="Q646" s="5">
        <v>147</v>
      </c>
      <c r="R646" s="8">
        <v>1</v>
      </c>
      <c r="S646" s="8">
        <v>4</v>
      </c>
      <c r="T646" s="8">
        <v>2</v>
      </c>
      <c r="U646" s="8">
        <v>6</v>
      </c>
      <c r="V646" s="8">
        <v>2</v>
      </c>
      <c r="W646" t="s">
        <v>473</v>
      </c>
      <c r="X646" t="s">
        <v>474</v>
      </c>
      <c r="Y646" t="s">
        <v>474</v>
      </c>
      <c r="Z646" t="s">
        <v>473</v>
      </c>
      <c r="AA646" t="s">
        <v>473</v>
      </c>
      <c r="AB646" t="s">
        <v>473</v>
      </c>
      <c r="AC646" s="10">
        <v>3</v>
      </c>
      <c r="AD646" s="10">
        <v>11</v>
      </c>
      <c r="AE646" t="s">
        <v>474</v>
      </c>
    </row>
    <row r="647" spans="1:31" x14ac:dyDescent="0.25">
      <c r="A647">
        <v>4381</v>
      </c>
      <c r="B647">
        <v>1971</v>
      </c>
      <c r="C647" t="s">
        <v>33</v>
      </c>
      <c r="D647" t="s">
        <v>34</v>
      </c>
      <c r="E647" t="str">
        <f>IF(OR(Table1[[#This Row],[marital_status]]="Married", Table1[[#This Row],[marital_status]]="Together"), "Partnered", "Single")</f>
        <v>Partnered</v>
      </c>
      <c r="F647" s="7">
        <v>46463</v>
      </c>
      <c r="G647" s="8">
        <v>1</v>
      </c>
      <c r="H647" s="8">
        <v>1</v>
      </c>
      <c r="I647" s="8">
        <f>Table1[[#This Row],[kids]]+Table1[[#This Row],[teens]]</f>
        <v>2</v>
      </c>
      <c r="J647" s="9">
        <v>41504</v>
      </c>
      <c r="K647" s="8">
        <v>56</v>
      </c>
      <c r="L647" s="6">
        <v>163</v>
      </c>
      <c r="M647" s="5">
        <v>2</v>
      </c>
      <c r="N647" s="5">
        <v>40</v>
      </c>
      <c r="O647" s="5">
        <v>8</v>
      </c>
      <c r="P647" s="5">
        <v>11</v>
      </c>
      <c r="Q647" s="5">
        <v>11</v>
      </c>
      <c r="R647" s="8">
        <v>7</v>
      </c>
      <c r="S647" s="8">
        <v>3</v>
      </c>
      <c r="T647" s="8">
        <v>1</v>
      </c>
      <c r="U647" s="8">
        <v>6</v>
      </c>
      <c r="V647" s="8">
        <v>6</v>
      </c>
      <c r="W647" t="s">
        <v>473</v>
      </c>
      <c r="X647" t="s">
        <v>473</v>
      </c>
      <c r="Y647" t="s">
        <v>473</v>
      </c>
      <c r="Z647" t="s">
        <v>473</v>
      </c>
      <c r="AA647" t="s">
        <v>473</v>
      </c>
      <c r="AB647" t="s">
        <v>473</v>
      </c>
      <c r="AC647" s="10">
        <v>3</v>
      </c>
      <c r="AD647" s="10">
        <v>11</v>
      </c>
      <c r="AE647" t="s">
        <v>473</v>
      </c>
    </row>
    <row r="648" spans="1:31" x14ac:dyDescent="0.25">
      <c r="A648">
        <v>4611</v>
      </c>
      <c r="B648">
        <v>1970</v>
      </c>
      <c r="C648" t="s">
        <v>466</v>
      </c>
      <c r="D648" t="s">
        <v>31</v>
      </c>
      <c r="E648" t="str">
        <f>IF(OR(Table1[[#This Row],[marital_status]]="Married", Table1[[#This Row],[marital_status]]="Together"), "Partnered", "Single")</f>
        <v>Partnered</v>
      </c>
      <c r="F648" s="7">
        <v>105471</v>
      </c>
      <c r="G648" s="8">
        <v>0</v>
      </c>
      <c r="H648" s="8">
        <v>0</v>
      </c>
      <c r="I648" s="8">
        <f>Table1[[#This Row],[kids]]+Table1[[#This Row],[teens]]</f>
        <v>0</v>
      </c>
      <c r="J648" s="9">
        <v>41295</v>
      </c>
      <c r="K648" s="8">
        <v>36</v>
      </c>
      <c r="L648" s="6">
        <v>1009</v>
      </c>
      <c r="M648" s="5">
        <v>181</v>
      </c>
      <c r="N648" s="5">
        <v>104</v>
      </c>
      <c r="O648" s="5">
        <v>202</v>
      </c>
      <c r="P648" s="5">
        <v>21</v>
      </c>
      <c r="Q648" s="5">
        <v>207</v>
      </c>
      <c r="R648" s="8">
        <v>0</v>
      </c>
      <c r="S648" s="8">
        <v>9</v>
      </c>
      <c r="T648" s="8">
        <v>8</v>
      </c>
      <c r="U648" s="8">
        <v>13</v>
      </c>
      <c r="V648" s="8">
        <v>3</v>
      </c>
      <c r="W648" t="s">
        <v>473</v>
      </c>
      <c r="X648" t="s">
        <v>473</v>
      </c>
      <c r="Y648" t="s">
        <v>474</v>
      </c>
      <c r="Z648" t="s">
        <v>474</v>
      </c>
      <c r="AA648" t="s">
        <v>473</v>
      </c>
      <c r="AB648" t="s">
        <v>473</v>
      </c>
      <c r="AC648" s="10">
        <v>3</v>
      </c>
      <c r="AD648" s="10">
        <v>11</v>
      </c>
      <c r="AE648" t="s">
        <v>474</v>
      </c>
    </row>
    <row r="649" spans="1:31" x14ac:dyDescent="0.25">
      <c r="A649">
        <v>3376</v>
      </c>
      <c r="B649">
        <v>1970</v>
      </c>
      <c r="C649" t="s">
        <v>36</v>
      </c>
      <c r="D649" t="s">
        <v>37</v>
      </c>
      <c r="E649" t="str">
        <f>IF(OR(Table1[[#This Row],[marital_status]]="Married", Table1[[#This Row],[marital_status]]="Together"), "Partnered", "Single")</f>
        <v>Single</v>
      </c>
      <c r="F649" s="7">
        <v>55282</v>
      </c>
      <c r="G649" s="8">
        <v>1</v>
      </c>
      <c r="H649" s="8">
        <v>0</v>
      </c>
      <c r="I649" s="8">
        <f>Table1[[#This Row],[kids]]+Table1[[#This Row],[teens]]</f>
        <v>1</v>
      </c>
      <c r="J649" s="9">
        <v>41621</v>
      </c>
      <c r="K649" s="8">
        <v>9</v>
      </c>
      <c r="L649" s="6">
        <v>125</v>
      </c>
      <c r="M649" s="5">
        <v>6</v>
      </c>
      <c r="N649" s="5">
        <v>73</v>
      </c>
      <c r="O649" s="5">
        <v>8</v>
      </c>
      <c r="P649" s="5">
        <v>4</v>
      </c>
      <c r="Q649" s="5">
        <v>19</v>
      </c>
      <c r="R649" s="8">
        <v>1</v>
      </c>
      <c r="S649" s="8">
        <v>3</v>
      </c>
      <c r="T649" s="8">
        <v>1</v>
      </c>
      <c r="U649" s="8">
        <v>6</v>
      </c>
      <c r="V649" s="8">
        <v>4</v>
      </c>
      <c r="W649" t="s">
        <v>473</v>
      </c>
      <c r="X649" t="s">
        <v>473</v>
      </c>
      <c r="Y649" t="s">
        <v>473</v>
      </c>
      <c r="Z649" t="s">
        <v>473</v>
      </c>
      <c r="AA649" t="s">
        <v>473</v>
      </c>
      <c r="AB649" t="s">
        <v>473</v>
      </c>
      <c r="AC649" s="10">
        <v>3</v>
      </c>
      <c r="AD649" s="10">
        <v>11</v>
      </c>
      <c r="AE649" t="s">
        <v>473</v>
      </c>
    </row>
    <row r="650" spans="1:31" x14ac:dyDescent="0.25">
      <c r="A650">
        <v>4679</v>
      </c>
      <c r="B650">
        <v>1977</v>
      </c>
      <c r="C650" t="s">
        <v>36</v>
      </c>
      <c r="D650" t="s">
        <v>34</v>
      </c>
      <c r="E650" t="str">
        <f>IF(OR(Table1[[#This Row],[marital_status]]="Married", Table1[[#This Row],[marital_status]]="Together"), "Partnered", "Single")</f>
        <v>Partnered</v>
      </c>
      <c r="F650" s="7">
        <v>78710</v>
      </c>
      <c r="G650" s="8">
        <v>0</v>
      </c>
      <c r="H650" s="8">
        <v>1</v>
      </c>
      <c r="I650" s="8">
        <f>Table1[[#This Row],[kids]]+Table1[[#This Row],[teens]]</f>
        <v>1</v>
      </c>
      <c r="J650" s="9">
        <v>41782</v>
      </c>
      <c r="K650" s="8">
        <v>42</v>
      </c>
      <c r="L650" s="6">
        <v>721</v>
      </c>
      <c r="M650" s="5">
        <v>0</v>
      </c>
      <c r="N650" s="5">
        <v>152</v>
      </c>
      <c r="O650" s="5">
        <v>119</v>
      </c>
      <c r="P650" s="5">
        <v>50</v>
      </c>
      <c r="Q650" s="5">
        <v>50</v>
      </c>
      <c r="R650" s="8">
        <v>3</v>
      </c>
      <c r="S650" s="8">
        <v>7</v>
      </c>
      <c r="T650" s="8">
        <v>6</v>
      </c>
      <c r="U650" s="8">
        <v>12</v>
      </c>
      <c r="V650" s="8">
        <v>4</v>
      </c>
      <c r="W650" t="s">
        <v>473</v>
      </c>
      <c r="X650" t="s">
        <v>473</v>
      </c>
      <c r="Y650" t="s">
        <v>473</v>
      </c>
      <c r="Z650" t="s">
        <v>473</v>
      </c>
      <c r="AA650" t="s">
        <v>473</v>
      </c>
      <c r="AB650" t="s">
        <v>473</v>
      </c>
      <c r="AC650" s="10">
        <v>3</v>
      </c>
      <c r="AD650" s="10">
        <v>11</v>
      </c>
      <c r="AE650" t="s">
        <v>473</v>
      </c>
    </row>
    <row r="651" spans="1:31" x14ac:dyDescent="0.25">
      <c r="A651">
        <v>10928</v>
      </c>
      <c r="B651">
        <v>1958</v>
      </c>
      <c r="C651" t="s">
        <v>466</v>
      </c>
      <c r="D651" t="s">
        <v>31</v>
      </c>
      <c r="E651" t="str">
        <f>IF(OR(Table1[[#This Row],[marital_status]]="Married", Table1[[#This Row],[marital_status]]="Together"), "Partnered", "Single")</f>
        <v>Partnered</v>
      </c>
      <c r="F651" s="7">
        <v>66886</v>
      </c>
      <c r="G651" s="8">
        <v>0</v>
      </c>
      <c r="H651" s="8">
        <v>1</v>
      </c>
      <c r="I651" s="8">
        <f>Table1[[#This Row],[kids]]+Table1[[#This Row],[teens]]</f>
        <v>1</v>
      </c>
      <c r="J651" s="9">
        <v>41533</v>
      </c>
      <c r="K651" s="8">
        <v>28</v>
      </c>
      <c r="L651" s="6">
        <v>315</v>
      </c>
      <c r="M651" s="5">
        <v>4</v>
      </c>
      <c r="N651" s="5">
        <v>62</v>
      </c>
      <c r="O651" s="5">
        <v>41</v>
      </c>
      <c r="P651" s="5">
        <v>31</v>
      </c>
      <c r="Q651" s="5">
        <v>146</v>
      </c>
      <c r="R651" s="8">
        <v>2</v>
      </c>
      <c r="S651" s="8">
        <v>7</v>
      </c>
      <c r="T651" s="8">
        <v>1</v>
      </c>
      <c r="U651" s="8">
        <v>7</v>
      </c>
      <c r="V651" s="8">
        <v>5</v>
      </c>
      <c r="W651" t="s">
        <v>473</v>
      </c>
      <c r="X651" t="s">
        <v>473</v>
      </c>
      <c r="Y651" t="s">
        <v>473</v>
      </c>
      <c r="Z651" t="s">
        <v>473</v>
      </c>
      <c r="AA651" t="s">
        <v>473</v>
      </c>
      <c r="AB651" t="s">
        <v>473</v>
      </c>
      <c r="AC651" s="10">
        <v>3</v>
      </c>
      <c r="AD651" s="10">
        <v>11</v>
      </c>
      <c r="AE651" t="s">
        <v>473</v>
      </c>
    </row>
    <row r="652" spans="1:31" x14ac:dyDescent="0.25">
      <c r="A652">
        <v>4248</v>
      </c>
      <c r="B652">
        <v>1960</v>
      </c>
      <c r="C652" t="s">
        <v>36</v>
      </c>
      <c r="D652" t="s">
        <v>30</v>
      </c>
      <c r="E652" t="str">
        <f>IF(OR(Table1[[#This Row],[marital_status]]="Married", Table1[[#This Row],[marital_status]]="Together"), "Partnered", "Single")</f>
        <v>Single</v>
      </c>
      <c r="F652" s="7">
        <v>98777</v>
      </c>
      <c r="G652" s="8">
        <v>0</v>
      </c>
      <c r="H652" s="8">
        <v>0</v>
      </c>
      <c r="I652" s="8">
        <f>Table1[[#This Row],[kids]]+Table1[[#This Row],[teens]]</f>
        <v>0</v>
      </c>
      <c r="J652" s="9">
        <v>41687</v>
      </c>
      <c r="K652" s="8">
        <v>23</v>
      </c>
      <c r="L652" s="6">
        <v>1000</v>
      </c>
      <c r="M652" s="5">
        <v>19</v>
      </c>
      <c r="N652" s="5">
        <v>711</v>
      </c>
      <c r="O652" s="5">
        <v>125</v>
      </c>
      <c r="P652" s="5">
        <v>115</v>
      </c>
      <c r="Q652" s="5">
        <v>38</v>
      </c>
      <c r="R652" s="8">
        <v>0</v>
      </c>
      <c r="S652" s="8">
        <v>4</v>
      </c>
      <c r="T652" s="8">
        <v>6</v>
      </c>
      <c r="U652" s="8">
        <v>9</v>
      </c>
      <c r="V652" s="8">
        <v>1</v>
      </c>
      <c r="W652" t="s">
        <v>473</v>
      </c>
      <c r="X652" t="s">
        <v>474</v>
      </c>
      <c r="Y652" t="s">
        <v>473</v>
      </c>
      <c r="Z652" t="s">
        <v>473</v>
      </c>
      <c r="AA652" t="s">
        <v>473</v>
      </c>
      <c r="AB652" t="s">
        <v>473</v>
      </c>
      <c r="AC652" s="10">
        <v>3</v>
      </c>
      <c r="AD652" s="10">
        <v>11</v>
      </c>
      <c r="AE652" t="s">
        <v>473</v>
      </c>
    </row>
    <row r="653" spans="1:31" x14ac:dyDescent="0.25">
      <c r="A653">
        <v>6728</v>
      </c>
      <c r="B653">
        <v>1985</v>
      </c>
      <c r="C653" t="s">
        <v>466</v>
      </c>
      <c r="D653" t="s">
        <v>31</v>
      </c>
      <c r="E653" t="str">
        <f>IF(OR(Table1[[#This Row],[marital_status]]="Married", Table1[[#This Row],[marital_status]]="Together"), "Partnered", "Single")</f>
        <v>Partnered</v>
      </c>
      <c r="F653" s="7">
        <v>29103</v>
      </c>
      <c r="G653" s="8">
        <v>1</v>
      </c>
      <c r="H653" s="8">
        <v>0</v>
      </c>
      <c r="I653" s="8">
        <f>Table1[[#This Row],[kids]]+Table1[[#This Row],[teens]]</f>
        <v>1</v>
      </c>
      <c r="J653" s="9">
        <v>41148</v>
      </c>
      <c r="K653" s="8">
        <v>38</v>
      </c>
      <c r="L653" s="6">
        <v>16</v>
      </c>
      <c r="M653" s="5">
        <v>0</v>
      </c>
      <c r="N653" s="5">
        <v>17</v>
      </c>
      <c r="O653" s="5">
        <v>6</v>
      </c>
      <c r="P653" s="5">
        <v>3</v>
      </c>
      <c r="Q653" s="5">
        <v>6</v>
      </c>
      <c r="R653" s="8">
        <v>2</v>
      </c>
      <c r="S653" s="8">
        <v>1</v>
      </c>
      <c r="T653" s="8">
        <v>0</v>
      </c>
      <c r="U653" s="8">
        <v>3</v>
      </c>
      <c r="V653" s="8">
        <v>9</v>
      </c>
      <c r="W653" t="s">
        <v>473</v>
      </c>
      <c r="X653" t="s">
        <v>473</v>
      </c>
      <c r="Y653" t="s">
        <v>473</v>
      </c>
      <c r="Z653" t="s">
        <v>473</v>
      </c>
      <c r="AA653" t="s">
        <v>473</v>
      </c>
      <c r="AB653" t="s">
        <v>473</v>
      </c>
      <c r="AC653" s="10">
        <v>3</v>
      </c>
      <c r="AD653" s="10">
        <v>11</v>
      </c>
      <c r="AE653" t="s">
        <v>473</v>
      </c>
    </row>
    <row r="654" spans="1:31" x14ac:dyDescent="0.25">
      <c r="A654">
        <v>6661</v>
      </c>
      <c r="B654">
        <v>1974</v>
      </c>
      <c r="C654" t="s">
        <v>466</v>
      </c>
      <c r="D654" t="s">
        <v>34</v>
      </c>
      <c r="E654" t="str">
        <f>IF(OR(Table1[[#This Row],[marital_status]]="Married", Table1[[#This Row],[marital_status]]="Together"), "Partnered", "Single")</f>
        <v>Partnered</v>
      </c>
      <c r="F654" s="7">
        <v>67445</v>
      </c>
      <c r="G654" s="8">
        <v>0</v>
      </c>
      <c r="H654" s="8">
        <v>1</v>
      </c>
      <c r="I654" s="8">
        <f>Table1[[#This Row],[kids]]+Table1[[#This Row],[teens]]</f>
        <v>1</v>
      </c>
      <c r="J654" s="9">
        <v>41133</v>
      </c>
      <c r="K654" s="8">
        <v>63</v>
      </c>
      <c r="L654" s="6">
        <v>757</v>
      </c>
      <c r="M654" s="5">
        <v>80</v>
      </c>
      <c r="N654" s="5">
        <v>217</v>
      </c>
      <c r="O654" s="5">
        <v>29</v>
      </c>
      <c r="P654" s="5">
        <v>80</v>
      </c>
      <c r="Q654" s="5">
        <v>11</v>
      </c>
      <c r="R654" s="8">
        <v>5</v>
      </c>
      <c r="S654" s="8">
        <v>9</v>
      </c>
      <c r="T654" s="8">
        <v>6</v>
      </c>
      <c r="U654" s="8">
        <v>12</v>
      </c>
      <c r="V654" s="8">
        <v>6</v>
      </c>
      <c r="W654" t="s">
        <v>473</v>
      </c>
      <c r="X654" t="s">
        <v>473</v>
      </c>
      <c r="Y654" t="s">
        <v>473</v>
      </c>
      <c r="Z654" t="s">
        <v>473</v>
      </c>
      <c r="AA654" t="s">
        <v>473</v>
      </c>
      <c r="AB654" t="s">
        <v>473</v>
      </c>
      <c r="AC654" s="10">
        <v>3</v>
      </c>
      <c r="AD654" s="10">
        <v>11</v>
      </c>
      <c r="AE654" t="s">
        <v>473</v>
      </c>
    </row>
    <row r="655" spans="1:31" x14ac:dyDescent="0.25">
      <c r="A655">
        <v>4725</v>
      </c>
      <c r="B655">
        <v>1950</v>
      </c>
      <c r="C655" t="s">
        <v>33</v>
      </c>
      <c r="D655" t="s">
        <v>31</v>
      </c>
      <c r="E655" t="str">
        <f>IF(OR(Table1[[#This Row],[marital_status]]="Married", Table1[[#This Row],[marital_status]]="Together"), "Partnered", "Single")</f>
        <v>Partnered</v>
      </c>
      <c r="F655" s="7">
        <v>50616</v>
      </c>
      <c r="G655" s="8">
        <v>0</v>
      </c>
      <c r="H655" s="8">
        <v>1</v>
      </c>
      <c r="I655" s="8">
        <f>Table1[[#This Row],[kids]]+Table1[[#This Row],[teens]]</f>
        <v>1</v>
      </c>
      <c r="J655" s="9">
        <v>41742</v>
      </c>
      <c r="K655" s="8">
        <v>71</v>
      </c>
      <c r="L655" s="6">
        <v>30</v>
      </c>
      <c r="M655" s="5">
        <v>2</v>
      </c>
      <c r="N655" s="5">
        <v>25</v>
      </c>
      <c r="O655" s="5">
        <v>0</v>
      </c>
      <c r="P655" s="5">
        <v>1</v>
      </c>
      <c r="Q655" s="5">
        <v>9</v>
      </c>
      <c r="R655" s="8">
        <v>1</v>
      </c>
      <c r="S655" s="8">
        <v>1</v>
      </c>
      <c r="T655" s="8">
        <v>1</v>
      </c>
      <c r="U655" s="8">
        <v>4</v>
      </c>
      <c r="V655" s="8">
        <v>2</v>
      </c>
      <c r="W655" t="s">
        <v>473</v>
      </c>
      <c r="X655" t="s">
        <v>473</v>
      </c>
      <c r="Y655" t="s">
        <v>473</v>
      </c>
      <c r="Z655" t="s">
        <v>473</v>
      </c>
      <c r="AA655" t="s">
        <v>473</v>
      </c>
      <c r="AB655" t="s">
        <v>473</v>
      </c>
      <c r="AC655" s="10">
        <v>3</v>
      </c>
      <c r="AD655" s="10">
        <v>11</v>
      </c>
      <c r="AE655" t="s">
        <v>473</v>
      </c>
    </row>
    <row r="656" spans="1:31" x14ac:dyDescent="0.25">
      <c r="A656">
        <v>3277</v>
      </c>
      <c r="B656">
        <v>1955</v>
      </c>
      <c r="C656" t="s">
        <v>466</v>
      </c>
      <c r="D656" t="s">
        <v>37</v>
      </c>
      <c r="E656" t="str">
        <f>IF(OR(Table1[[#This Row],[marital_status]]="Married", Table1[[#This Row],[marital_status]]="Together"), "Partnered", "Single")</f>
        <v>Single</v>
      </c>
      <c r="F656" s="7">
        <v>49431</v>
      </c>
      <c r="G656" s="8">
        <v>0</v>
      </c>
      <c r="H656" s="8">
        <v>1</v>
      </c>
      <c r="I656" s="8">
        <f>Table1[[#This Row],[kids]]+Table1[[#This Row],[teens]]</f>
        <v>1</v>
      </c>
      <c r="J656" s="9">
        <v>41124</v>
      </c>
      <c r="K656" s="8">
        <v>9</v>
      </c>
      <c r="L656" s="6">
        <v>219</v>
      </c>
      <c r="M656" s="5">
        <v>3</v>
      </c>
      <c r="N656" s="5">
        <v>100</v>
      </c>
      <c r="O656" s="5">
        <v>26</v>
      </c>
      <c r="P656" s="5">
        <v>0</v>
      </c>
      <c r="Q656" s="5">
        <v>17</v>
      </c>
      <c r="R656" s="8">
        <v>2</v>
      </c>
      <c r="S656" s="8">
        <v>7</v>
      </c>
      <c r="T656" s="8">
        <v>1</v>
      </c>
      <c r="U656" s="8">
        <v>5</v>
      </c>
      <c r="V656" s="8">
        <v>8</v>
      </c>
      <c r="W656" t="s">
        <v>473</v>
      </c>
      <c r="X656" t="s">
        <v>473</v>
      </c>
      <c r="Y656" t="s">
        <v>473</v>
      </c>
      <c r="Z656" t="s">
        <v>473</v>
      </c>
      <c r="AA656" t="s">
        <v>473</v>
      </c>
      <c r="AB656" t="s">
        <v>473</v>
      </c>
      <c r="AC656" s="10">
        <v>3</v>
      </c>
      <c r="AD656" s="10">
        <v>11</v>
      </c>
      <c r="AE656" t="s">
        <v>473</v>
      </c>
    </row>
    <row r="657" spans="1:31" x14ac:dyDescent="0.25">
      <c r="A657">
        <v>5555</v>
      </c>
      <c r="B657">
        <v>1975</v>
      </c>
      <c r="C657" t="s">
        <v>466</v>
      </c>
      <c r="D657" t="s">
        <v>37</v>
      </c>
      <c r="E657" t="str">
        <f>IF(OR(Table1[[#This Row],[marital_status]]="Married", Table1[[#This Row],[marital_status]]="Together"), "Partnered", "Single")</f>
        <v>Single</v>
      </c>
      <c r="F657" s="7">
        <v>153924</v>
      </c>
      <c r="G657" s="8">
        <v>0</v>
      </c>
      <c r="H657" s="8">
        <v>0</v>
      </c>
      <c r="I657" s="8">
        <f>Table1[[#This Row],[kids]]+Table1[[#This Row],[teens]]</f>
        <v>0</v>
      </c>
      <c r="J657" s="9">
        <v>41677</v>
      </c>
      <c r="K657" s="8">
        <v>81</v>
      </c>
      <c r="L657" s="6">
        <v>1</v>
      </c>
      <c r="M657" s="5">
        <v>1</v>
      </c>
      <c r="N657" s="5">
        <v>1</v>
      </c>
      <c r="O657" s="5">
        <v>1</v>
      </c>
      <c r="P657" s="5">
        <v>1</v>
      </c>
      <c r="Q657" s="5">
        <v>1</v>
      </c>
      <c r="R657" s="8">
        <v>0</v>
      </c>
      <c r="S657" s="8">
        <v>0</v>
      </c>
      <c r="T657" s="8">
        <v>0</v>
      </c>
      <c r="U657" s="8">
        <v>0</v>
      </c>
      <c r="V657" s="8">
        <v>0</v>
      </c>
      <c r="W657" t="s">
        <v>473</v>
      </c>
      <c r="X657" t="s">
        <v>473</v>
      </c>
      <c r="Y657" t="s">
        <v>473</v>
      </c>
      <c r="Z657" t="s">
        <v>473</v>
      </c>
      <c r="AA657" t="s">
        <v>473</v>
      </c>
      <c r="AB657" t="s">
        <v>473</v>
      </c>
      <c r="AC657" s="10">
        <v>3</v>
      </c>
      <c r="AD657" s="10">
        <v>11</v>
      </c>
      <c r="AE657" t="s">
        <v>473</v>
      </c>
    </row>
    <row r="658" spans="1:31" x14ac:dyDescent="0.25">
      <c r="A658">
        <v>2564</v>
      </c>
      <c r="B658">
        <v>1953</v>
      </c>
      <c r="C658" t="s">
        <v>466</v>
      </c>
      <c r="D658" t="s">
        <v>31</v>
      </c>
      <c r="E658" t="str">
        <f>IF(OR(Table1[[#This Row],[marital_status]]="Married", Table1[[#This Row],[marital_status]]="Together"), "Partnered", "Single")</f>
        <v>Partnered</v>
      </c>
      <c r="F658" s="7">
        <v>61278</v>
      </c>
      <c r="G658" s="8">
        <v>0</v>
      </c>
      <c r="H658" s="8">
        <v>1</v>
      </c>
      <c r="I658" s="8">
        <f>Table1[[#This Row],[kids]]+Table1[[#This Row],[teens]]</f>
        <v>1</v>
      </c>
      <c r="J658" s="9">
        <v>41643</v>
      </c>
      <c r="K658" s="8">
        <v>87</v>
      </c>
      <c r="L658" s="6">
        <v>111</v>
      </c>
      <c r="M658" s="5">
        <v>3</v>
      </c>
      <c r="N658" s="5">
        <v>28</v>
      </c>
      <c r="O658" s="5">
        <v>2</v>
      </c>
      <c r="P658" s="5">
        <v>6</v>
      </c>
      <c r="Q658" s="5">
        <v>15</v>
      </c>
      <c r="R658" s="8">
        <v>2</v>
      </c>
      <c r="S658" s="8">
        <v>3</v>
      </c>
      <c r="T658" s="8">
        <v>1</v>
      </c>
      <c r="U658" s="8">
        <v>4</v>
      </c>
      <c r="V658" s="8">
        <v>6</v>
      </c>
      <c r="W658" t="s">
        <v>473</v>
      </c>
      <c r="X658" t="s">
        <v>473</v>
      </c>
      <c r="Y658" t="s">
        <v>473</v>
      </c>
      <c r="Z658" t="s">
        <v>473</v>
      </c>
      <c r="AA658" t="s">
        <v>473</v>
      </c>
      <c r="AB658" t="s">
        <v>473</v>
      </c>
      <c r="AC658" s="10">
        <v>3</v>
      </c>
      <c r="AD658" s="10">
        <v>11</v>
      </c>
      <c r="AE658" t="s">
        <v>473</v>
      </c>
    </row>
    <row r="659" spans="1:31" x14ac:dyDescent="0.25">
      <c r="A659">
        <v>946</v>
      </c>
      <c r="B659">
        <v>1958</v>
      </c>
      <c r="C659" t="s">
        <v>46</v>
      </c>
      <c r="D659" t="s">
        <v>31</v>
      </c>
      <c r="E659" t="str">
        <f>IF(OR(Table1[[#This Row],[marital_status]]="Married", Table1[[#This Row],[marital_status]]="Together"), "Partnered", "Single")</f>
        <v>Partnered</v>
      </c>
      <c r="F659" s="7">
        <v>26490</v>
      </c>
      <c r="G659" s="8">
        <v>0</v>
      </c>
      <c r="H659" s="8">
        <v>0</v>
      </c>
      <c r="I659" s="8">
        <f>Table1[[#This Row],[kids]]+Table1[[#This Row],[teens]]</f>
        <v>0</v>
      </c>
      <c r="J659" s="9">
        <v>41174</v>
      </c>
      <c r="K659" s="8">
        <v>92</v>
      </c>
      <c r="L659" s="6">
        <v>45</v>
      </c>
      <c r="M659" s="5">
        <v>47</v>
      </c>
      <c r="N659" s="5">
        <v>52</v>
      </c>
      <c r="O659" s="5">
        <v>21</v>
      </c>
      <c r="P659" s="5">
        <v>20</v>
      </c>
      <c r="Q659" s="5">
        <v>25</v>
      </c>
      <c r="R659" s="8">
        <v>2</v>
      </c>
      <c r="S659" s="8">
        <v>3</v>
      </c>
      <c r="T659" s="8">
        <v>1</v>
      </c>
      <c r="U659" s="8">
        <v>5</v>
      </c>
      <c r="V659" s="8">
        <v>6</v>
      </c>
      <c r="W659" t="s">
        <v>473</v>
      </c>
      <c r="X659" t="s">
        <v>473</v>
      </c>
      <c r="Y659" t="s">
        <v>473</v>
      </c>
      <c r="Z659" t="s">
        <v>473</v>
      </c>
      <c r="AA659" t="s">
        <v>473</v>
      </c>
      <c r="AB659" t="s">
        <v>473</v>
      </c>
      <c r="AC659" s="10">
        <v>3</v>
      </c>
      <c r="AD659" s="10">
        <v>11</v>
      </c>
      <c r="AE659" t="s">
        <v>473</v>
      </c>
    </row>
    <row r="660" spans="1:31" x14ac:dyDescent="0.25">
      <c r="A660">
        <v>3867</v>
      </c>
      <c r="B660">
        <v>1947</v>
      </c>
      <c r="C660" t="s">
        <v>33</v>
      </c>
      <c r="D660" t="s">
        <v>31</v>
      </c>
      <c r="E660" t="str">
        <f>IF(OR(Table1[[#This Row],[marital_status]]="Married", Table1[[#This Row],[marital_status]]="Together"), "Partnered", "Single")</f>
        <v>Partnered</v>
      </c>
      <c r="F660" s="7">
        <v>73059</v>
      </c>
      <c r="G660" s="8">
        <v>0</v>
      </c>
      <c r="H660" s="8">
        <v>1</v>
      </c>
      <c r="I660" s="8">
        <f>Table1[[#This Row],[kids]]+Table1[[#This Row],[teens]]</f>
        <v>1</v>
      </c>
      <c r="J660" s="9">
        <v>41517</v>
      </c>
      <c r="K660" s="8">
        <v>36</v>
      </c>
      <c r="L660" s="6">
        <v>410</v>
      </c>
      <c r="M660" s="5">
        <v>112</v>
      </c>
      <c r="N660" s="5">
        <v>420</v>
      </c>
      <c r="O660" s="5">
        <v>0</v>
      </c>
      <c r="P660" s="5">
        <v>82</v>
      </c>
      <c r="Q660" s="5">
        <v>71</v>
      </c>
      <c r="R660" s="8">
        <v>1</v>
      </c>
      <c r="S660" s="8">
        <v>9</v>
      </c>
      <c r="T660" s="8">
        <v>3</v>
      </c>
      <c r="U660" s="8">
        <v>13</v>
      </c>
      <c r="V660" s="8">
        <v>4</v>
      </c>
      <c r="W660" t="s">
        <v>473</v>
      </c>
      <c r="X660" t="s">
        <v>473</v>
      </c>
      <c r="Y660" t="s">
        <v>473</v>
      </c>
      <c r="Z660" t="s">
        <v>473</v>
      </c>
      <c r="AA660" t="s">
        <v>473</v>
      </c>
      <c r="AB660" t="s">
        <v>473</v>
      </c>
      <c r="AC660" s="10">
        <v>3</v>
      </c>
      <c r="AD660" s="10">
        <v>11</v>
      </c>
      <c r="AE660" t="s">
        <v>473</v>
      </c>
    </row>
    <row r="661" spans="1:31" x14ac:dyDescent="0.25">
      <c r="A661">
        <v>6940</v>
      </c>
      <c r="B661">
        <v>1966</v>
      </c>
      <c r="C661" t="s">
        <v>33</v>
      </c>
      <c r="D661" t="s">
        <v>30</v>
      </c>
      <c r="E661" t="str">
        <f>IF(OR(Table1[[#This Row],[marital_status]]="Married", Table1[[#This Row],[marital_status]]="Together"), "Partnered", "Single")</f>
        <v>Single</v>
      </c>
      <c r="F661" s="7">
        <v>46734</v>
      </c>
      <c r="G661" s="8">
        <v>1</v>
      </c>
      <c r="H661" s="8">
        <v>2</v>
      </c>
      <c r="I661" s="8">
        <f>Table1[[#This Row],[kids]]+Table1[[#This Row],[teens]]</f>
        <v>3</v>
      </c>
      <c r="J661" s="9">
        <v>41568</v>
      </c>
      <c r="K661" s="8">
        <v>86</v>
      </c>
      <c r="L661" s="6">
        <v>100</v>
      </c>
      <c r="M661" s="5">
        <v>1</v>
      </c>
      <c r="N661" s="5">
        <v>39</v>
      </c>
      <c r="O661" s="5">
        <v>6</v>
      </c>
      <c r="P661" s="5">
        <v>1</v>
      </c>
      <c r="Q661" s="5">
        <v>76</v>
      </c>
      <c r="R661" s="8">
        <v>4</v>
      </c>
      <c r="S661" s="8">
        <v>3</v>
      </c>
      <c r="T661" s="8">
        <v>2</v>
      </c>
      <c r="U661" s="8">
        <v>3</v>
      </c>
      <c r="V661" s="8">
        <v>6</v>
      </c>
      <c r="W661" t="s">
        <v>474</v>
      </c>
      <c r="X661" t="s">
        <v>473</v>
      </c>
      <c r="Y661" t="s">
        <v>473</v>
      </c>
      <c r="Z661" t="s">
        <v>473</v>
      </c>
      <c r="AA661" t="s">
        <v>473</v>
      </c>
      <c r="AB661" t="s">
        <v>473</v>
      </c>
      <c r="AC661" s="10">
        <v>3</v>
      </c>
      <c r="AD661" s="10">
        <v>11</v>
      </c>
      <c r="AE661" t="s">
        <v>473</v>
      </c>
    </row>
    <row r="662" spans="1:31" x14ac:dyDescent="0.25">
      <c r="A662">
        <v>55</v>
      </c>
      <c r="B662">
        <v>1963</v>
      </c>
      <c r="C662" t="s">
        <v>466</v>
      </c>
      <c r="D662" t="s">
        <v>31</v>
      </c>
      <c r="E662" t="str">
        <f>IF(OR(Table1[[#This Row],[marital_status]]="Married", Table1[[#This Row],[marital_status]]="Together"), "Partnered", "Single")</f>
        <v>Partnered</v>
      </c>
      <c r="F662" s="7">
        <v>56253</v>
      </c>
      <c r="G662" s="8">
        <v>0</v>
      </c>
      <c r="H662" s="8">
        <v>1</v>
      </c>
      <c r="I662" s="8">
        <f>Table1[[#This Row],[kids]]+Table1[[#This Row],[teens]]</f>
        <v>1</v>
      </c>
      <c r="J662" s="9">
        <v>41250</v>
      </c>
      <c r="K662" s="8">
        <v>83</v>
      </c>
      <c r="L662" s="6">
        <v>509</v>
      </c>
      <c r="M662" s="5">
        <v>0</v>
      </c>
      <c r="N662" s="5">
        <v>65</v>
      </c>
      <c r="O662" s="5">
        <v>7</v>
      </c>
      <c r="P662" s="5">
        <v>11</v>
      </c>
      <c r="Q662" s="5">
        <v>5</v>
      </c>
      <c r="R662" s="8">
        <v>4</v>
      </c>
      <c r="S662" s="8">
        <v>7</v>
      </c>
      <c r="T662" s="8">
        <v>2</v>
      </c>
      <c r="U662" s="8">
        <v>9</v>
      </c>
      <c r="V662" s="8">
        <v>6</v>
      </c>
      <c r="W662" t="s">
        <v>473</v>
      </c>
      <c r="X662" t="s">
        <v>473</v>
      </c>
      <c r="Y662" t="s">
        <v>473</v>
      </c>
      <c r="Z662" t="s">
        <v>473</v>
      </c>
      <c r="AA662" t="s">
        <v>473</v>
      </c>
      <c r="AB662" t="s">
        <v>473</v>
      </c>
      <c r="AC662" s="10">
        <v>3</v>
      </c>
      <c r="AD662" s="10">
        <v>11</v>
      </c>
      <c r="AE662" t="s">
        <v>473</v>
      </c>
    </row>
    <row r="663" spans="1:31" x14ac:dyDescent="0.25">
      <c r="A663">
        <v>7093</v>
      </c>
      <c r="B663">
        <v>1985</v>
      </c>
      <c r="C663" t="s">
        <v>466</v>
      </c>
      <c r="D663" t="s">
        <v>34</v>
      </c>
      <c r="E663" t="str">
        <f>IF(OR(Table1[[#This Row],[marital_status]]="Married", Table1[[#This Row],[marital_status]]="Together"), "Partnered", "Single")</f>
        <v>Partnered</v>
      </c>
      <c r="F663" s="7">
        <v>19986</v>
      </c>
      <c r="G663" s="8">
        <v>1</v>
      </c>
      <c r="H663" s="8">
        <v>0</v>
      </c>
      <c r="I663" s="8">
        <f>Table1[[#This Row],[kids]]+Table1[[#This Row],[teens]]</f>
        <v>1</v>
      </c>
      <c r="J663" s="9">
        <v>41592</v>
      </c>
      <c r="K663" s="8">
        <v>74</v>
      </c>
      <c r="L663" s="6">
        <v>3</v>
      </c>
      <c r="M663" s="5">
        <v>6</v>
      </c>
      <c r="N663" s="5">
        <v>5</v>
      </c>
      <c r="O663" s="5">
        <v>0</v>
      </c>
      <c r="P663" s="5">
        <v>2</v>
      </c>
      <c r="Q663" s="5">
        <v>6</v>
      </c>
      <c r="R663" s="8">
        <v>1</v>
      </c>
      <c r="S663" s="8">
        <v>0</v>
      </c>
      <c r="T663" s="8">
        <v>0</v>
      </c>
      <c r="U663" s="8">
        <v>3</v>
      </c>
      <c r="V663" s="8">
        <v>7</v>
      </c>
      <c r="W663" t="s">
        <v>473</v>
      </c>
      <c r="X663" t="s">
        <v>473</v>
      </c>
      <c r="Y663" t="s">
        <v>473</v>
      </c>
      <c r="Z663" t="s">
        <v>473</v>
      </c>
      <c r="AA663" t="s">
        <v>473</v>
      </c>
      <c r="AB663" t="s">
        <v>473</v>
      </c>
      <c r="AC663" s="10">
        <v>3</v>
      </c>
      <c r="AD663" s="10">
        <v>11</v>
      </c>
      <c r="AE663" t="s">
        <v>473</v>
      </c>
    </row>
    <row r="664" spans="1:31" x14ac:dyDescent="0.25">
      <c r="A664">
        <v>5084</v>
      </c>
      <c r="B664">
        <v>1975</v>
      </c>
      <c r="C664" t="s">
        <v>466</v>
      </c>
      <c r="D664" t="s">
        <v>57</v>
      </c>
      <c r="E664" t="str">
        <f>IF(OR(Table1[[#This Row],[marital_status]]="Married", Table1[[#This Row],[marital_status]]="Together"), "Partnered", "Single")</f>
        <v>Single</v>
      </c>
      <c r="F664" s="7">
        <v>58330</v>
      </c>
      <c r="G664" s="8">
        <v>0</v>
      </c>
      <c r="H664" s="8">
        <v>1</v>
      </c>
      <c r="I664" s="8">
        <f>Table1[[#This Row],[kids]]+Table1[[#This Row],[teens]]</f>
        <v>1</v>
      </c>
      <c r="J664" s="9">
        <v>41633</v>
      </c>
      <c r="K664" s="8">
        <v>87</v>
      </c>
      <c r="L664" s="6">
        <v>445</v>
      </c>
      <c r="M664" s="5">
        <v>53</v>
      </c>
      <c r="N664" s="5">
        <v>213</v>
      </c>
      <c r="O664" s="5">
        <v>104</v>
      </c>
      <c r="P664" s="5">
        <v>98</v>
      </c>
      <c r="Q664" s="5">
        <v>151</v>
      </c>
      <c r="R664" s="8">
        <v>1</v>
      </c>
      <c r="S664" s="8">
        <v>6</v>
      </c>
      <c r="T664" s="8">
        <v>4</v>
      </c>
      <c r="U664" s="8">
        <v>13</v>
      </c>
      <c r="V664" s="8">
        <v>4</v>
      </c>
      <c r="W664" t="s">
        <v>473</v>
      </c>
      <c r="X664" t="s">
        <v>473</v>
      </c>
      <c r="Y664" t="s">
        <v>473</v>
      </c>
      <c r="Z664" t="s">
        <v>473</v>
      </c>
      <c r="AA664" t="s">
        <v>473</v>
      </c>
      <c r="AB664" t="s">
        <v>473</v>
      </c>
      <c r="AC664" s="10">
        <v>3</v>
      </c>
      <c r="AD664" s="10">
        <v>11</v>
      </c>
      <c r="AE664" t="s">
        <v>473</v>
      </c>
    </row>
    <row r="665" spans="1:31" x14ac:dyDescent="0.25">
      <c r="A665">
        <v>1777</v>
      </c>
      <c r="B665">
        <v>1980</v>
      </c>
      <c r="C665" t="s">
        <v>41</v>
      </c>
      <c r="D665" t="s">
        <v>34</v>
      </c>
      <c r="E665" t="str">
        <f>IF(OR(Table1[[#This Row],[marital_status]]="Married", Table1[[#This Row],[marital_status]]="Together"), "Partnered", "Single")</f>
        <v>Partnered</v>
      </c>
      <c r="F665" s="7">
        <v>25965</v>
      </c>
      <c r="G665" s="8">
        <v>0</v>
      </c>
      <c r="H665" s="8">
        <v>0</v>
      </c>
      <c r="I665" s="8">
        <f>Table1[[#This Row],[kids]]+Table1[[#This Row],[teens]]</f>
        <v>0</v>
      </c>
      <c r="J665" s="9">
        <v>41159</v>
      </c>
      <c r="K665" s="8">
        <v>29</v>
      </c>
      <c r="L665" s="6">
        <v>2</v>
      </c>
      <c r="M665" s="5">
        <v>2</v>
      </c>
      <c r="N665" s="5">
        <v>11</v>
      </c>
      <c r="O665" s="5">
        <v>41</v>
      </c>
      <c r="P665" s="5">
        <v>7</v>
      </c>
      <c r="Q665" s="5">
        <v>11</v>
      </c>
      <c r="R665" s="8">
        <v>1</v>
      </c>
      <c r="S665" s="8">
        <v>2</v>
      </c>
      <c r="T665" s="8">
        <v>0</v>
      </c>
      <c r="U665" s="8">
        <v>3</v>
      </c>
      <c r="V665" s="8">
        <v>8</v>
      </c>
      <c r="W665" t="s">
        <v>473</v>
      </c>
      <c r="X665" t="s">
        <v>473</v>
      </c>
      <c r="Y665" t="s">
        <v>473</v>
      </c>
      <c r="Z665" t="s">
        <v>473</v>
      </c>
      <c r="AA665" t="s">
        <v>473</v>
      </c>
      <c r="AB665" t="s">
        <v>473</v>
      </c>
      <c r="AC665" s="10">
        <v>3</v>
      </c>
      <c r="AD665" s="10">
        <v>11</v>
      </c>
      <c r="AE665" t="s">
        <v>473</v>
      </c>
    </row>
    <row r="666" spans="1:31" x14ac:dyDescent="0.25">
      <c r="A666">
        <v>8162</v>
      </c>
      <c r="B666">
        <v>1956</v>
      </c>
      <c r="C666" t="s">
        <v>36</v>
      </c>
      <c r="D666" t="s">
        <v>31</v>
      </c>
      <c r="E666" t="str">
        <f>IF(OR(Table1[[#This Row],[marital_status]]="Married", Table1[[#This Row],[marital_status]]="Together"), "Partnered", "Single")</f>
        <v>Partnered</v>
      </c>
      <c r="F666" s="7">
        <v>14661</v>
      </c>
      <c r="G666" s="8">
        <v>0</v>
      </c>
      <c r="H666" s="8">
        <v>0</v>
      </c>
      <c r="I666" s="8">
        <f>Table1[[#This Row],[kids]]+Table1[[#This Row],[teens]]</f>
        <v>0</v>
      </c>
      <c r="J666" s="9">
        <v>41275</v>
      </c>
      <c r="K666" s="8">
        <v>88</v>
      </c>
      <c r="L666" s="6">
        <v>4</v>
      </c>
      <c r="M666" s="5">
        <v>1</v>
      </c>
      <c r="N666" s="5">
        <v>11</v>
      </c>
      <c r="O666" s="5">
        <v>6</v>
      </c>
      <c r="P666" s="5">
        <v>2</v>
      </c>
      <c r="Q666" s="5">
        <v>2</v>
      </c>
      <c r="R666" s="8">
        <v>1</v>
      </c>
      <c r="S666" s="8">
        <v>1</v>
      </c>
      <c r="T666" s="8">
        <v>0</v>
      </c>
      <c r="U666" s="8">
        <v>3</v>
      </c>
      <c r="V666" s="8">
        <v>6</v>
      </c>
      <c r="W666" t="s">
        <v>473</v>
      </c>
      <c r="X666" t="s">
        <v>473</v>
      </c>
      <c r="Y666" t="s">
        <v>473</v>
      </c>
      <c r="Z666" t="s">
        <v>473</v>
      </c>
      <c r="AA666" t="s">
        <v>473</v>
      </c>
      <c r="AB666" t="s">
        <v>473</v>
      </c>
      <c r="AC666" s="10">
        <v>3</v>
      </c>
      <c r="AD666" s="10">
        <v>11</v>
      </c>
      <c r="AE666" t="s">
        <v>473</v>
      </c>
    </row>
    <row r="667" spans="1:31" x14ac:dyDescent="0.25">
      <c r="A667">
        <v>10826</v>
      </c>
      <c r="B667">
        <v>1959</v>
      </c>
      <c r="C667" t="s">
        <v>466</v>
      </c>
      <c r="D667" t="s">
        <v>34</v>
      </c>
      <c r="E667" t="str">
        <f>IF(OR(Table1[[#This Row],[marital_status]]="Married", Table1[[#This Row],[marital_status]]="Together"), "Partnered", "Single")</f>
        <v>Partnered</v>
      </c>
      <c r="F667" s="7">
        <v>18690</v>
      </c>
      <c r="G667" s="8">
        <v>0</v>
      </c>
      <c r="H667" s="8">
        <v>0</v>
      </c>
      <c r="I667" s="8">
        <f>Table1[[#This Row],[kids]]+Table1[[#This Row],[teens]]</f>
        <v>0</v>
      </c>
      <c r="J667" s="9">
        <v>41271</v>
      </c>
      <c r="K667" s="8">
        <v>77</v>
      </c>
      <c r="L667" s="6">
        <v>6</v>
      </c>
      <c r="M667" s="5">
        <v>1</v>
      </c>
      <c r="N667" s="5">
        <v>7</v>
      </c>
      <c r="O667" s="5">
        <v>23</v>
      </c>
      <c r="P667" s="5">
        <v>4</v>
      </c>
      <c r="Q667" s="5">
        <v>19</v>
      </c>
      <c r="R667" s="8">
        <v>1</v>
      </c>
      <c r="S667" s="8">
        <v>1</v>
      </c>
      <c r="T667" s="8">
        <v>1</v>
      </c>
      <c r="U667" s="8">
        <v>2</v>
      </c>
      <c r="V667" s="8">
        <v>8</v>
      </c>
      <c r="W667" t="s">
        <v>473</v>
      </c>
      <c r="X667" t="s">
        <v>473</v>
      </c>
      <c r="Y667" t="s">
        <v>473</v>
      </c>
      <c r="Z667" t="s">
        <v>473</v>
      </c>
      <c r="AA667" t="s">
        <v>473</v>
      </c>
      <c r="AB667" t="s">
        <v>473</v>
      </c>
      <c r="AC667" s="10">
        <v>3</v>
      </c>
      <c r="AD667" s="10">
        <v>11</v>
      </c>
      <c r="AE667" t="s">
        <v>473</v>
      </c>
    </row>
    <row r="668" spans="1:31" x14ac:dyDescent="0.25">
      <c r="A668">
        <v>8754</v>
      </c>
      <c r="B668">
        <v>1974</v>
      </c>
      <c r="C668" t="s">
        <v>33</v>
      </c>
      <c r="D668" t="s">
        <v>31</v>
      </c>
      <c r="E668" t="str">
        <f>IF(OR(Table1[[#This Row],[marital_status]]="Married", Table1[[#This Row],[marital_status]]="Together"), "Partnered", "Single")</f>
        <v>Partnered</v>
      </c>
      <c r="F668" s="7">
        <v>45068</v>
      </c>
      <c r="G668" s="8">
        <v>0</v>
      </c>
      <c r="H668" s="8">
        <v>1</v>
      </c>
      <c r="I668" s="8">
        <f>Table1[[#This Row],[kids]]+Table1[[#This Row],[teens]]</f>
        <v>1</v>
      </c>
      <c r="J668" s="9">
        <v>41410</v>
      </c>
      <c r="K668" s="8">
        <v>25</v>
      </c>
      <c r="L668" s="6">
        <v>14</v>
      </c>
      <c r="M668" s="5">
        <v>0</v>
      </c>
      <c r="N668" s="5">
        <v>3</v>
      </c>
      <c r="O668" s="5">
        <v>0</v>
      </c>
      <c r="P668" s="5">
        <v>0</v>
      </c>
      <c r="Q668" s="5">
        <v>3</v>
      </c>
      <c r="R668" s="8">
        <v>1</v>
      </c>
      <c r="S668" s="8">
        <v>1</v>
      </c>
      <c r="T668" s="8">
        <v>0</v>
      </c>
      <c r="U668" s="8">
        <v>2</v>
      </c>
      <c r="V668" s="8">
        <v>7</v>
      </c>
      <c r="W668" t="s">
        <v>473</v>
      </c>
      <c r="X668" t="s">
        <v>473</v>
      </c>
      <c r="Y668" t="s">
        <v>473</v>
      </c>
      <c r="Z668" t="s">
        <v>473</v>
      </c>
      <c r="AA668" t="s">
        <v>473</v>
      </c>
      <c r="AB668" t="s">
        <v>473</v>
      </c>
      <c r="AC668" s="10">
        <v>3</v>
      </c>
      <c r="AD668" s="10">
        <v>11</v>
      </c>
      <c r="AE668" t="s">
        <v>473</v>
      </c>
    </row>
    <row r="669" spans="1:31" x14ac:dyDescent="0.25">
      <c r="A669">
        <v>1987</v>
      </c>
      <c r="B669">
        <v>1987</v>
      </c>
      <c r="C669" t="s">
        <v>41</v>
      </c>
      <c r="D669" t="s">
        <v>30</v>
      </c>
      <c r="E669" t="str">
        <f>IF(OR(Table1[[#This Row],[marital_status]]="Married", Table1[[#This Row],[marital_status]]="Together"), "Partnered", "Single")</f>
        <v>Single</v>
      </c>
      <c r="F669" s="7">
        <v>21063</v>
      </c>
      <c r="G669" s="8">
        <v>1</v>
      </c>
      <c r="H669" s="8">
        <v>0</v>
      </c>
      <c r="I669" s="8">
        <f>Table1[[#This Row],[kids]]+Table1[[#This Row],[teens]]</f>
        <v>1</v>
      </c>
      <c r="J669" s="9">
        <v>41542</v>
      </c>
      <c r="K669" s="8">
        <v>34</v>
      </c>
      <c r="L669" s="6">
        <v>1</v>
      </c>
      <c r="M669" s="5">
        <v>10</v>
      </c>
      <c r="N669" s="5">
        <v>11</v>
      </c>
      <c r="O669" s="5">
        <v>19</v>
      </c>
      <c r="P669" s="5">
        <v>3</v>
      </c>
      <c r="Q669" s="5">
        <v>15</v>
      </c>
      <c r="R669" s="8">
        <v>2</v>
      </c>
      <c r="S669" s="8">
        <v>2</v>
      </c>
      <c r="T669" s="8">
        <v>0</v>
      </c>
      <c r="U669" s="8">
        <v>3</v>
      </c>
      <c r="V669" s="8">
        <v>6</v>
      </c>
      <c r="W669" t="s">
        <v>473</v>
      </c>
      <c r="X669" t="s">
        <v>473</v>
      </c>
      <c r="Y669" t="s">
        <v>473</v>
      </c>
      <c r="Z669" t="s">
        <v>473</v>
      </c>
      <c r="AA669" t="s">
        <v>473</v>
      </c>
      <c r="AB669" t="s">
        <v>473</v>
      </c>
      <c r="AC669" s="10">
        <v>3</v>
      </c>
      <c r="AD669" s="10">
        <v>11</v>
      </c>
      <c r="AE669" t="s">
        <v>473</v>
      </c>
    </row>
    <row r="670" spans="1:31" x14ac:dyDescent="0.25">
      <c r="A670">
        <v>11007</v>
      </c>
      <c r="B670">
        <v>1968</v>
      </c>
      <c r="C670" t="s">
        <v>33</v>
      </c>
      <c r="D670" t="s">
        <v>34</v>
      </c>
      <c r="E670" t="str">
        <f>IF(OR(Table1[[#This Row],[marital_status]]="Married", Table1[[#This Row],[marital_status]]="Together"), "Partnered", "Single")</f>
        <v>Partnered</v>
      </c>
      <c r="F670" s="7">
        <v>29187</v>
      </c>
      <c r="G670" s="8">
        <v>1</v>
      </c>
      <c r="H670" s="8">
        <v>0</v>
      </c>
      <c r="I670" s="8">
        <f>Table1[[#This Row],[kids]]+Table1[[#This Row],[teens]]</f>
        <v>1</v>
      </c>
      <c r="J670" s="9">
        <v>41403</v>
      </c>
      <c r="K670" s="8">
        <v>43</v>
      </c>
      <c r="L670" s="6">
        <v>26</v>
      </c>
      <c r="M670" s="5">
        <v>0</v>
      </c>
      <c r="N670" s="5">
        <v>6</v>
      </c>
      <c r="O670" s="5">
        <v>0</v>
      </c>
      <c r="P670" s="5">
        <v>0</v>
      </c>
      <c r="Q670" s="5">
        <v>2</v>
      </c>
      <c r="R670" s="8">
        <v>1</v>
      </c>
      <c r="S670" s="8">
        <v>1</v>
      </c>
      <c r="T670" s="8">
        <v>0</v>
      </c>
      <c r="U670" s="8">
        <v>3</v>
      </c>
      <c r="V670" s="8">
        <v>8</v>
      </c>
      <c r="W670" t="s">
        <v>473</v>
      </c>
      <c r="X670" t="s">
        <v>473</v>
      </c>
      <c r="Y670" t="s">
        <v>473</v>
      </c>
      <c r="Z670" t="s">
        <v>473</v>
      </c>
      <c r="AA670" t="s">
        <v>473</v>
      </c>
      <c r="AB670" t="s">
        <v>473</v>
      </c>
      <c r="AC670" s="10">
        <v>3</v>
      </c>
      <c r="AD670" s="10">
        <v>11</v>
      </c>
      <c r="AE670" t="s">
        <v>473</v>
      </c>
    </row>
    <row r="671" spans="1:31" x14ac:dyDescent="0.25">
      <c r="A671">
        <v>7426</v>
      </c>
      <c r="B671">
        <v>1971</v>
      </c>
      <c r="C671" t="s">
        <v>46</v>
      </c>
      <c r="D671" t="s">
        <v>34</v>
      </c>
      <c r="E671" t="str">
        <f>IF(OR(Table1[[#This Row],[marital_status]]="Married", Table1[[#This Row],[marital_status]]="Together"), "Partnered", "Single")</f>
        <v>Partnered</v>
      </c>
      <c r="F671" s="7">
        <v>54690</v>
      </c>
      <c r="G671" s="8">
        <v>1</v>
      </c>
      <c r="H671" s="8">
        <v>1</v>
      </c>
      <c r="I671" s="8">
        <f>Table1[[#This Row],[kids]]+Table1[[#This Row],[teens]]</f>
        <v>2</v>
      </c>
      <c r="J671" s="9">
        <v>41585</v>
      </c>
      <c r="K671" s="8">
        <v>76</v>
      </c>
      <c r="L671" s="6">
        <v>111</v>
      </c>
      <c r="M671" s="5">
        <v>16</v>
      </c>
      <c r="N671" s="5">
        <v>37</v>
      </c>
      <c r="O671" s="5">
        <v>7</v>
      </c>
      <c r="P671" s="5">
        <v>9</v>
      </c>
      <c r="Q671" s="5">
        <v>18</v>
      </c>
      <c r="R671" s="8">
        <v>3</v>
      </c>
      <c r="S671" s="8">
        <v>3</v>
      </c>
      <c r="T671" s="8">
        <v>1</v>
      </c>
      <c r="U671" s="8">
        <v>5</v>
      </c>
      <c r="V671" s="8">
        <v>3</v>
      </c>
      <c r="W671" t="s">
        <v>473</v>
      </c>
      <c r="X671" t="s">
        <v>473</v>
      </c>
      <c r="Y671" t="s">
        <v>473</v>
      </c>
      <c r="Z671" t="s">
        <v>473</v>
      </c>
      <c r="AA671" t="s">
        <v>473</v>
      </c>
      <c r="AB671" t="s">
        <v>473</v>
      </c>
      <c r="AC671" s="10">
        <v>3</v>
      </c>
      <c r="AD671" s="10">
        <v>11</v>
      </c>
      <c r="AE671" t="s">
        <v>473</v>
      </c>
    </row>
    <row r="672" spans="1:31" x14ac:dyDescent="0.25">
      <c r="A672">
        <v>9153</v>
      </c>
      <c r="B672">
        <v>1964</v>
      </c>
      <c r="C672" t="s">
        <v>33</v>
      </c>
      <c r="D672" t="s">
        <v>34</v>
      </c>
      <c r="E672" t="str">
        <f>IF(OR(Table1[[#This Row],[marital_status]]="Married", Table1[[#This Row],[marital_status]]="Together"), "Partnered", "Single")</f>
        <v>Partnered</v>
      </c>
      <c r="F672" s="7">
        <v>59304</v>
      </c>
      <c r="G672" s="8">
        <v>0</v>
      </c>
      <c r="H672" s="8">
        <v>1</v>
      </c>
      <c r="I672" s="8">
        <f>Table1[[#This Row],[kids]]+Table1[[#This Row],[teens]]</f>
        <v>1</v>
      </c>
      <c r="J672" s="9">
        <v>41484</v>
      </c>
      <c r="K672" s="8">
        <v>81</v>
      </c>
      <c r="L672" s="6">
        <v>418</v>
      </c>
      <c r="M672" s="5">
        <v>61</v>
      </c>
      <c r="N672" s="5">
        <v>428</v>
      </c>
      <c r="O672" s="5">
        <v>80</v>
      </c>
      <c r="P672" s="5">
        <v>51</v>
      </c>
      <c r="Q672" s="5">
        <v>10</v>
      </c>
      <c r="R672" s="8">
        <v>3</v>
      </c>
      <c r="S672" s="8">
        <v>7</v>
      </c>
      <c r="T672" s="8">
        <v>8</v>
      </c>
      <c r="U672" s="8">
        <v>10</v>
      </c>
      <c r="V672" s="8">
        <v>5</v>
      </c>
      <c r="W672" t="s">
        <v>473</v>
      </c>
      <c r="X672" t="s">
        <v>473</v>
      </c>
      <c r="Y672" t="s">
        <v>473</v>
      </c>
      <c r="Z672" t="s">
        <v>473</v>
      </c>
      <c r="AA672" t="s">
        <v>473</v>
      </c>
      <c r="AB672" t="s">
        <v>473</v>
      </c>
      <c r="AC672" s="10">
        <v>3</v>
      </c>
      <c r="AD672" s="10">
        <v>11</v>
      </c>
      <c r="AE672" t="s">
        <v>473</v>
      </c>
    </row>
    <row r="673" spans="1:31" x14ac:dyDescent="0.25">
      <c r="A673">
        <v>10379</v>
      </c>
      <c r="B673">
        <v>1962</v>
      </c>
      <c r="C673" t="s">
        <v>36</v>
      </c>
      <c r="D673" t="s">
        <v>30</v>
      </c>
      <c r="E673" t="str">
        <f>IF(OR(Table1[[#This Row],[marital_status]]="Married", Table1[[#This Row],[marital_status]]="Together"), "Partnered", "Single")</f>
        <v>Single</v>
      </c>
      <c r="F673" s="7">
        <v>59247</v>
      </c>
      <c r="G673" s="8">
        <v>0</v>
      </c>
      <c r="H673" s="8">
        <v>2</v>
      </c>
      <c r="I673" s="8">
        <f>Table1[[#This Row],[kids]]+Table1[[#This Row],[teens]]</f>
        <v>2</v>
      </c>
      <c r="J673" s="9">
        <v>41586</v>
      </c>
      <c r="K673" s="8">
        <v>87</v>
      </c>
      <c r="L673" s="6">
        <v>327</v>
      </c>
      <c r="M673" s="5">
        <v>9</v>
      </c>
      <c r="N673" s="5">
        <v>122</v>
      </c>
      <c r="O673" s="5">
        <v>19</v>
      </c>
      <c r="P673" s="5">
        <v>14</v>
      </c>
      <c r="Q673" s="5">
        <v>83</v>
      </c>
      <c r="R673" s="8">
        <v>5</v>
      </c>
      <c r="S673" s="8">
        <v>5</v>
      </c>
      <c r="T673" s="8">
        <v>2</v>
      </c>
      <c r="U673" s="8">
        <v>9</v>
      </c>
      <c r="V673" s="8">
        <v>6</v>
      </c>
      <c r="W673" t="s">
        <v>473</v>
      </c>
      <c r="X673" t="s">
        <v>473</v>
      </c>
      <c r="Y673" t="s">
        <v>473</v>
      </c>
      <c r="Z673" t="s">
        <v>473</v>
      </c>
      <c r="AA673" t="s">
        <v>473</v>
      </c>
      <c r="AB673" t="s">
        <v>473</v>
      </c>
      <c r="AC673" s="10">
        <v>3</v>
      </c>
      <c r="AD673" s="10">
        <v>11</v>
      </c>
      <c r="AE673" t="s">
        <v>473</v>
      </c>
    </row>
    <row r="674" spans="1:31" x14ac:dyDescent="0.25">
      <c r="A674">
        <v>9204</v>
      </c>
      <c r="B674">
        <v>1970</v>
      </c>
      <c r="C674" t="s">
        <v>466</v>
      </c>
      <c r="D674" t="s">
        <v>57</v>
      </c>
      <c r="E674" t="str">
        <f>IF(OR(Table1[[#This Row],[marital_status]]="Married", Table1[[#This Row],[marital_status]]="Together"), "Partnered", "Single")</f>
        <v>Single</v>
      </c>
      <c r="F674" s="7">
        <v>66731</v>
      </c>
      <c r="G674" s="8">
        <v>0</v>
      </c>
      <c r="H674" s="8">
        <v>1</v>
      </c>
      <c r="I674" s="8">
        <f>Table1[[#This Row],[kids]]+Table1[[#This Row],[teens]]</f>
        <v>1</v>
      </c>
      <c r="J674" s="9">
        <v>41164</v>
      </c>
      <c r="K674" s="8">
        <v>33</v>
      </c>
      <c r="L674" s="6">
        <v>371</v>
      </c>
      <c r="M674" s="5">
        <v>159</v>
      </c>
      <c r="N674" s="5">
        <v>194</v>
      </c>
      <c r="O674" s="5">
        <v>58</v>
      </c>
      <c r="P674" s="5">
        <v>106</v>
      </c>
      <c r="Q674" s="5">
        <v>141</v>
      </c>
      <c r="R674" s="8">
        <v>4</v>
      </c>
      <c r="S674" s="8">
        <v>4</v>
      </c>
      <c r="T674" s="8">
        <v>3</v>
      </c>
      <c r="U674" s="8">
        <v>6</v>
      </c>
      <c r="V674" s="8">
        <v>3</v>
      </c>
      <c r="W674" t="s">
        <v>473</v>
      </c>
      <c r="X674" t="s">
        <v>473</v>
      </c>
      <c r="Y674" t="s">
        <v>473</v>
      </c>
      <c r="Z674" t="s">
        <v>473</v>
      </c>
      <c r="AA674" t="s">
        <v>473</v>
      </c>
      <c r="AB674" t="s">
        <v>473</v>
      </c>
      <c r="AC674" s="10">
        <v>3</v>
      </c>
      <c r="AD674" s="10">
        <v>11</v>
      </c>
      <c r="AE674" t="s">
        <v>473</v>
      </c>
    </row>
    <row r="675" spans="1:31" x14ac:dyDescent="0.25">
      <c r="A675">
        <v>3197</v>
      </c>
      <c r="B675">
        <v>1980</v>
      </c>
      <c r="C675" t="s">
        <v>466</v>
      </c>
      <c r="D675" t="s">
        <v>34</v>
      </c>
      <c r="E675" t="str">
        <f>IF(OR(Table1[[#This Row],[marital_status]]="Married", Table1[[#This Row],[marital_status]]="Together"), "Partnered", "Single")</f>
        <v>Partnered</v>
      </c>
      <c r="F675" s="7">
        <v>77353</v>
      </c>
      <c r="G675" s="8">
        <v>0</v>
      </c>
      <c r="H675" s="8">
        <v>1</v>
      </c>
      <c r="I675" s="8">
        <f>Table1[[#This Row],[kids]]+Table1[[#This Row],[teens]]</f>
        <v>1</v>
      </c>
      <c r="J675" s="9">
        <v>41624</v>
      </c>
      <c r="K675" s="8">
        <v>38</v>
      </c>
      <c r="L675" s="6">
        <v>275</v>
      </c>
      <c r="M675" s="5">
        <v>59</v>
      </c>
      <c r="N675" s="5">
        <v>107</v>
      </c>
      <c r="O675" s="5">
        <v>69</v>
      </c>
      <c r="P675" s="5">
        <v>101</v>
      </c>
      <c r="Q675" s="5">
        <v>59</v>
      </c>
      <c r="R675" s="8">
        <v>2</v>
      </c>
      <c r="S675" s="8">
        <v>6</v>
      </c>
      <c r="T675" s="8">
        <v>4</v>
      </c>
      <c r="U675" s="8">
        <v>8</v>
      </c>
      <c r="V675" s="8">
        <v>4</v>
      </c>
      <c r="W675" t="s">
        <v>473</v>
      </c>
      <c r="X675" t="s">
        <v>473</v>
      </c>
      <c r="Y675" t="s">
        <v>473</v>
      </c>
      <c r="Z675" t="s">
        <v>473</v>
      </c>
      <c r="AA675" t="s">
        <v>473</v>
      </c>
      <c r="AB675" t="s">
        <v>473</v>
      </c>
      <c r="AC675" s="10">
        <v>3</v>
      </c>
      <c r="AD675" s="10">
        <v>11</v>
      </c>
      <c r="AE675" t="s">
        <v>473</v>
      </c>
    </row>
    <row r="676" spans="1:31" x14ac:dyDescent="0.25">
      <c r="A676">
        <v>2920</v>
      </c>
      <c r="B676">
        <v>1975</v>
      </c>
      <c r="C676" t="s">
        <v>33</v>
      </c>
      <c r="D676" t="s">
        <v>30</v>
      </c>
      <c r="E676" t="str">
        <f>IF(OR(Table1[[#This Row],[marital_status]]="Married", Table1[[#This Row],[marital_status]]="Together"), "Partnered", "Single")</f>
        <v>Single</v>
      </c>
      <c r="F676" s="7">
        <v>52614</v>
      </c>
      <c r="G676" s="8">
        <v>0</v>
      </c>
      <c r="H676" s="8">
        <v>1</v>
      </c>
      <c r="I676" s="8">
        <f>Table1[[#This Row],[kids]]+Table1[[#This Row],[teens]]</f>
        <v>1</v>
      </c>
      <c r="J676" s="9">
        <v>41244</v>
      </c>
      <c r="K676" s="8">
        <v>63</v>
      </c>
      <c r="L676" s="6">
        <v>789</v>
      </c>
      <c r="M676" s="5">
        <v>0</v>
      </c>
      <c r="N676" s="5">
        <v>142</v>
      </c>
      <c r="O676" s="5">
        <v>12</v>
      </c>
      <c r="P676" s="5">
        <v>9</v>
      </c>
      <c r="Q676" s="5">
        <v>38</v>
      </c>
      <c r="R676" s="8">
        <v>2</v>
      </c>
      <c r="S676" s="8">
        <v>2</v>
      </c>
      <c r="T676" s="8">
        <v>4</v>
      </c>
      <c r="U676" s="8">
        <v>8</v>
      </c>
      <c r="V676" s="8">
        <v>8</v>
      </c>
      <c r="W676" t="s">
        <v>473</v>
      </c>
      <c r="X676" t="s">
        <v>473</v>
      </c>
      <c r="Y676" t="s">
        <v>473</v>
      </c>
      <c r="Z676" t="s">
        <v>473</v>
      </c>
      <c r="AA676" t="s">
        <v>473</v>
      </c>
      <c r="AB676" t="s">
        <v>473</v>
      </c>
      <c r="AC676" s="10">
        <v>3</v>
      </c>
      <c r="AD676" s="10">
        <v>11</v>
      </c>
      <c r="AE676" t="s">
        <v>473</v>
      </c>
    </row>
    <row r="677" spans="1:31" x14ac:dyDescent="0.25">
      <c r="A677">
        <v>6961</v>
      </c>
      <c r="B677">
        <v>1974</v>
      </c>
      <c r="C677" t="s">
        <v>466</v>
      </c>
      <c r="D677" t="s">
        <v>34</v>
      </c>
      <c r="E677" t="str">
        <f>IF(OR(Table1[[#This Row],[marital_status]]="Married", Table1[[#This Row],[marital_status]]="Together"), "Partnered", "Single")</f>
        <v>Partnered</v>
      </c>
      <c r="F677" s="7">
        <v>26751</v>
      </c>
      <c r="G677" s="8">
        <v>2</v>
      </c>
      <c r="H677" s="8">
        <v>0</v>
      </c>
      <c r="I677" s="8">
        <f>Table1[[#This Row],[kids]]+Table1[[#This Row],[teens]]</f>
        <v>2</v>
      </c>
      <c r="J677" s="9">
        <v>41781</v>
      </c>
      <c r="K677" s="8">
        <v>26</v>
      </c>
      <c r="L677" s="6">
        <v>1</v>
      </c>
      <c r="M677" s="5">
        <v>1</v>
      </c>
      <c r="N677" s="5">
        <v>5</v>
      </c>
      <c r="O677" s="5">
        <v>0</v>
      </c>
      <c r="P677" s="5">
        <v>3</v>
      </c>
      <c r="Q677" s="5">
        <v>1</v>
      </c>
      <c r="R677" s="8">
        <v>1</v>
      </c>
      <c r="S677" s="8">
        <v>1</v>
      </c>
      <c r="T677" s="8">
        <v>0</v>
      </c>
      <c r="U677" s="8">
        <v>2</v>
      </c>
      <c r="V677" s="8">
        <v>8</v>
      </c>
      <c r="W677" t="s">
        <v>473</v>
      </c>
      <c r="X677" t="s">
        <v>473</v>
      </c>
      <c r="Y677" t="s">
        <v>473</v>
      </c>
      <c r="Z677" t="s">
        <v>473</v>
      </c>
      <c r="AA677" t="s">
        <v>473</v>
      </c>
      <c r="AB677" t="s">
        <v>473</v>
      </c>
      <c r="AC677" s="10">
        <v>3</v>
      </c>
      <c r="AD677" s="10">
        <v>11</v>
      </c>
      <c r="AE677" t="s">
        <v>473</v>
      </c>
    </row>
    <row r="678" spans="1:31" x14ac:dyDescent="0.25">
      <c r="A678">
        <v>4673</v>
      </c>
      <c r="B678">
        <v>1963</v>
      </c>
      <c r="C678" t="s">
        <v>33</v>
      </c>
      <c r="D678" t="s">
        <v>34</v>
      </c>
      <c r="E678" t="str">
        <f>IF(OR(Table1[[#This Row],[marital_status]]="Married", Table1[[#This Row],[marital_status]]="Together"), "Partnered", "Single")</f>
        <v>Partnered</v>
      </c>
      <c r="F678" s="7">
        <v>81300</v>
      </c>
      <c r="G678" s="8">
        <v>0</v>
      </c>
      <c r="H678" s="8">
        <v>1</v>
      </c>
      <c r="I678" s="8">
        <f>Table1[[#This Row],[kids]]+Table1[[#This Row],[teens]]</f>
        <v>1</v>
      </c>
      <c r="J678" s="9">
        <v>41212</v>
      </c>
      <c r="K678" s="8">
        <v>17</v>
      </c>
      <c r="L678" s="6">
        <v>1004</v>
      </c>
      <c r="M678" s="5">
        <v>12</v>
      </c>
      <c r="N678" s="5">
        <v>145</v>
      </c>
      <c r="O678" s="5">
        <v>32</v>
      </c>
      <c r="P678" s="5">
        <v>12</v>
      </c>
      <c r="Q678" s="5">
        <v>36</v>
      </c>
      <c r="R678" s="8">
        <v>3</v>
      </c>
      <c r="S678" s="8">
        <v>10</v>
      </c>
      <c r="T678" s="8">
        <v>3</v>
      </c>
      <c r="U678" s="8">
        <v>5</v>
      </c>
      <c r="V678" s="8">
        <v>5</v>
      </c>
      <c r="W678" t="s">
        <v>473</v>
      </c>
      <c r="X678" t="s">
        <v>473</v>
      </c>
      <c r="Y678" t="s">
        <v>473</v>
      </c>
      <c r="Z678" t="s">
        <v>474</v>
      </c>
      <c r="AA678" t="s">
        <v>473</v>
      </c>
      <c r="AB678" t="s">
        <v>473</v>
      </c>
      <c r="AC678" s="10">
        <v>3</v>
      </c>
      <c r="AD678" s="10">
        <v>11</v>
      </c>
      <c r="AE678" t="s">
        <v>474</v>
      </c>
    </row>
    <row r="679" spans="1:31" x14ac:dyDescent="0.25">
      <c r="A679">
        <v>9937</v>
      </c>
      <c r="B679">
        <v>1979</v>
      </c>
      <c r="C679" t="s">
        <v>466</v>
      </c>
      <c r="D679" t="s">
        <v>30</v>
      </c>
      <c r="E679" t="str">
        <f>IF(OR(Table1[[#This Row],[marital_status]]="Married", Table1[[#This Row],[marital_status]]="Together"), "Partnered", "Single")</f>
        <v>Single</v>
      </c>
      <c r="F679" s="7">
        <v>70337</v>
      </c>
      <c r="G679" s="8">
        <v>0</v>
      </c>
      <c r="H679" s="8">
        <v>0</v>
      </c>
      <c r="I679" s="8">
        <f>Table1[[#This Row],[kids]]+Table1[[#This Row],[teens]]</f>
        <v>0</v>
      </c>
      <c r="J679" s="9">
        <v>41641</v>
      </c>
      <c r="K679" s="8">
        <v>75</v>
      </c>
      <c r="L679" s="6">
        <v>187</v>
      </c>
      <c r="M679" s="5">
        <v>81</v>
      </c>
      <c r="N679" s="5">
        <v>149</v>
      </c>
      <c r="O679" s="5">
        <v>25</v>
      </c>
      <c r="P679" s="5">
        <v>43</v>
      </c>
      <c r="Q679" s="5">
        <v>91</v>
      </c>
      <c r="R679" s="8">
        <v>1</v>
      </c>
      <c r="S679" s="8">
        <v>2</v>
      </c>
      <c r="T679" s="8">
        <v>2</v>
      </c>
      <c r="U679" s="8">
        <v>12</v>
      </c>
      <c r="V679" s="8">
        <v>1</v>
      </c>
      <c r="W679" t="s">
        <v>473</v>
      </c>
      <c r="X679" t="s">
        <v>473</v>
      </c>
      <c r="Y679" t="s">
        <v>473</v>
      </c>
      <c r="Z679" t="s">
        <v>473</v>
      </c>
      <c r="AA679" t="s">
        <v>473</v>
      </c>
      <c r="AB679" t="s">
        <v>473</v>
      </c>
      <c r="AC679" s="10">
        <v>3</v>
      </c>
      <c r="AD679" s="10">
        <v>11</v>
      </c>
      <c r="AE679" t="s">
        <v>473</v>
      </c>
    </row>
    <row r="680" spans="1:31" x14ac:dyDescent="0.25">
      <c r="A680">
        <v>8779</v>
      </c>
      <c r="B680">
        <v>1985</v>
      </c>
      <c r="C680" t="s">
        <v>46</v>
      </c>
      <c r="D680" t="s">
        <v>34</v>
      </c>
      <c r="E680" t="str">
        <f>IF(OR(Table1[[#This Row],[marital_status]]="Married", Table1[[#This Row],[marital_status]]="Together"), "Partnered", "Single")</f>
        <v>Partnered</v>
      </c>
      <c r="F680" s="7">
        <v>36145</v>
      </c>
      <c r="G680" s="8">
        <v>1</v>
      </c>
      <c r="H680" s="8">
        <v>0</v>
      </c>
      <c r="I680" s="8">
        <f>Table1[[#This Row],[kids]]+Table1[[#This Row],[teens]]</f>
        <v>1</v>
      </c>
      <c r="J680" s="9">
        <v>41441</v>
      </c>
      <c r="K680" s="8">
        <v>13</v>
      </c>
      <c r="L680" s="6">
        <v>56</v>
      </c>
      <c r="M680" s="5">
        <v>4</v>
      </c>
      <c r="N680" s="5">
        <v>76</v>
      </c>
      <c r="O680" s="5">
        <v>17</v>
      </c>
      <c r="P680" s="5">
        <v>1</v>
      </c>
      <c r="Q680" s="5">
        <v>18</v>
      </c>
      <c r="R680" s="8">
        <v>4</v>
      </c>
      <c r="S680" s="8">
        <v>4</v>
      </c>
      <c r="T680" s="8">
        <v>1</v>
      </c>
      <c r="U680" s="8">
        <v>3</v>
      </c>
      <c r="V680" s="8">
        <v>9</v>
      </c>
      <c r="W680" t="s">
        <v>474</v>
      </c>
      <c r="X680" t="s">
        <v>473</v>
      </c>
      <c r="Y680" t="s">
        <v>473</v>
      </c>
      <c r="Z680" t="s">
        <v>473</v>
      </c>
      <c r="AA680" t="s">
        <v>473</v>
      </c>
      <c r="AB680" t="s">
        <v>473</v>
      </c>
      <c r="AC680" s="10">
        <v>3</v>
      </c>
      <c r="AD680" s="10">
        <v>11</v>
      </c>
      <c r="AE680" t="s">
        <v>474</v>
      </c>
    </row>
    <row r="681" spans="1:31" x14ac:dyDescent="0.25">
      <c r="A681">
        <v>9596</v>
      </c>
      <c r="B681">
        <v>1980</v>
      </c>
      <c r="C681" t="s">
        <v>33</v>
      </c>
      <c r="D681" t="s">
        <v>30</v>
      </c>
      <c r="E681" t="str">
        <f>IF(OR(Table1[[#This Row],[marital_status]]="Married", Table1[[#This Row],[marital_status]]="Together"), "Partnered", "Single")</f>
        <v>Single</v>
      </c>
      <c r="F681" s="7">
        <v>65295</v>
      </c>
      <c r="G681" s="8">
        <v>0</v>
      </c>
      <c r="H681" s="8">
        <v>0</v>
      </c>
      <c r="I681" s="8">
        <f>Table1[[#This Row],[kids]]+Table1[[#This Row],[teens]]</f>
        <v>0</v>
      </c>
      <c r="J681" s="9">
        <v>41631</v>
      </c>
      <c r="K681" s="8">
        <v>19</v>
      </c>
      <c r="L681" s="6">
        <v>365</v>
      </c>
      <c r="M681" s="5">
        <v>32</v>
      </c>
      <c r="N681" s="5">
        <v>117</v>
      </c>
      <c r="O681" s="5">
        <v>34</v>
      </c>
      <c r="P681" s="5">
        <v>110</v>
      </c>
      <c r="Q681" s="5">
        <v>6</v>
      </c>
      <c r="R681" s="8">
        <v>1</v>
      </c>
      <c r="S681" s="8">
        <v>3</v>
      </c>
      <c r="T681" s="8">
        <v>3</v>
      </c>
      <c r="U681" s="8">
        <v>13</v>
      </c>
      <c r="V681" s="8">
        <v>2</v>
      </c>
      <c r="W681" t="s">
        <v>473</v>
      </c>
      <c r="X681" t="s">
        <v>473</v>
      </c>
      <c r="Y681" t="s">
        <v>473</v>
      </c>
      <c r="Z681" t="s">
        <v>473</v>
      </c>
      <c r="AA681" t="s">
        <v>473</v>
      </c>
      <c r="AB681" t="s">
        <v>473</v>
      </c>
      <c r="AC681" s="10">
        <v>3</v>
      </c>
      <c r="AD681" s="10">
        <v>11</v>
      </c>
      <c r="AE681" t="s">
        <v>473</v>
      </c>
    </row>
    <row r="682" spans="1:31" x14ac:dyDescent="0.25">
      <c r="A682">
        <v>2891</v>
      </c>
      <c r="B682">
        <v>1963</v>
      </c>
      <c r="C682" t="s">
        <v>466</v>
      </c>
      <c r="D682" t="s">
        <v>37</v>
      </c>
      <c r="E682" t="str">
        <f>IF(OR(Table1[[#This Row],[marital_status]]="Married", Table1[[#This Row],[marital_status]]="Together"), "Partnered", "Single")</f>
        <v>Single</v>
      </c>
      <c r="F682" s="7">
        <v>68118</v>
      </c>
      <c r="G682" s="8">
        <v>0</v>
      </c>
      <c r="H682" s="8">
        <v>1</v>
      </c>
      <c r="I682" s="8">
        <f>Table1[[#This Row],[kids]]+Table1[[#This Row],[teens]]</f>
        <v>1</v>
      </c>
      <c r="J682" s="9">
        <v>41565</v>
      </c>
      <c r="K682" s="8">
        <v>51</v>
      </c>
      <c r="L682" s="6">
        <v>595</v>
      </c>
      <c r="M682" s="5">
        <v>23</v>
      </c>
      <c r="N682" s="5">
        <v>123</v>
      </c>
      <c r="O682" s="5">
        <v>10</v>
      </c>
      <c r="P682" s="5">
        <v>23</v>
      </c>
      <c r="Q682" s="5">
        <v>154</v>
      </c>
      <c r="R682" s="8">
        <v>2</v>
      </c>
      <c r="S682" s="8">
        <v>8</v>
      </c>
      <c r="T682" s="8">
        <v>9</v>
      </c>
      <c r="U682" s="8">
        <v>4</v>
      </c>
      <c r="V682" s="8">
        <v>6</v>
      </c>
      <c r="W682" t="s">
        <v>473</v>
      </c>
      <c r="X682" t="s">
        <v>473</v>
      </c>
      <c r="Y682" t="s">
        <v>473</v>
      </c>
      <c r="Z682" t="s">
        <v>473</v>
      </c>
      <c r="AA682" t="s">
        <v>473</v>
      </c>
      <c r="AB682" t="s">
        <v>473</v>
      </c>
      <c r="AC682" s="10">
        <v>3</v>
      </c>
      <c r="AD682" s="10">
        <v>11</v>
      </c>
      <c r="AE682" t="s">
        <v>473</v>
      </c>
    </row>
    <row r="683" spans="1:31" x14ac:dyDescent="0.25">
      <c r="A683">
        <v>4910</v>
      </c>
      <c r="B683">
        <v>1967</v>
      </c>
      <c r="C683" t="s">
        <v>466</v>
      </c>
      <c r="D683" t="s">
        <v>37</v>
      </c>
      <c r="E683" t="str">
        <f>IF(OR(Table1[[#This Row],[marital_status]]="Married", Table1[[#This Row],[marital_status]]="Together"), "Partnered", "Single")</f>
        <v>Single</v>
      </c>
      <c r="F683" s="7">
        <v>68743</v>
      </c>
      <c r="G683" s="8">
        <v>0</v>
      </c>
      <c r="H683" s="8">
        <v>0</v>
      </c>
      <c r="I683" s="8">
        <f>Table1[[#This Row],[kids]]+Table1[[#This Row],[teens]]</f>
        <v>0</v>
      </c>
      <c r="J683" s="9">
        <v>41151</v>
      </c>
      <c r="K683" s="8">
        <v>81</v>
      </c>
      <c r="L683" s="6">
        <v>1132</v>
      </c>
      <c r="M683" s="5">
        <v>134</v>
      </c>
      <c r="N683" s="5">
        <v>384</v>
      </c>
      <c r="O683" s="5">
        <v>175</v>
      </c>
      <c r="P683" s="5">
        <v>134</v>
      </c>
      <c r="Q683" s="5">
        <v>115</v>
      </c>
      <c r="R683" s="8">
        <v>1</v>
      </c>
      <c r="S683" s="8">
        <v>11</v>
      </c>
      <c r="T683" s="8">
        <v>5</v>
      </c>
      <c r="U683" s="8">
        <v>13</v>
      </c>
      <c r="V683" s="8">
        <v>7</v>
      </c>
      <c r="W683" t="s">
        <v>473</v>
      </c>
      <c r="X683" t="s">
        <v>473</v>
      </c>
      <c r="Y683" t="s">
        <v>473</v>
      </c>
      <c r="Z683" t="s">
        <v>473</v>
      </c>
      <c r="AA683" t="s">
        <v>473</v>
      </c>
      <c r="AB683" t="s">
        <v>473</v>
      </c>
      <c r="AC683" s="10">
        <v>3</v>
      </c>
      <c r="AD683" s="10">
        <v>11</v>
      </c>
      <c r="AE683" t="s">
        <v>473</v>
      </c>
    </row>
    <row r="684" spans="1:31" x14ac:dyDescent="0.25">
      <c r="A684">
        <v>75</v>
      </c>
      <c r="B684">
        <v>1982</v>
      </c>
      <c r="C684" t="s">
        <v>46</v>
      </c>
      <c r="D684" t="s">
        <v>31</v>
      </c>
      <c r="E684" t="str">
        <f>IF(OR(Table1[[#This Row],[marital_status]]="Married", Table1[[#This Row],[marital_status]]="Together"), "Partnered", "Single")</f>
        <v>Partnered</v>
      </c>
      <c r="F684" s="7">
        <v>41039</v>
      </c>
      <c r="G684" s="8">
        <v>0</v>
      </c>
      <c r="H684" s="8">
        <v>0</v>
      </c>
      <c r="I684" s="8">
        <f>Table1[[#This Row],[kids]]+Table1[[#This Row],[teens]]</f>
        <v>0</v>
      </c>
      <c r="J684" s="9">
        <v>41480</v>
      </c>
      <c r="K684" s="8">
        <v>32</v>
      </c>
      <c r="L684" s="6">
        <v>34</v>
      </c>
      <c r="M684" s="5">
        <v>11</v>
      </c>
      <c r="N684" s="5">
        <v>137</v>
      </c>
      <c r="O684" s="5">
        <v>179</v>
      </c>
      <c r="P684" s="5">
        <v>61</v>
      </c>
      <c r="Q684" s="5">
        <v>45</v>
      </c>
      <c r="R684" s="8">
        <v>1</v>
      </c>
      <c r="S684" s="8">
        <v>8</v>
      </c>
      <c r="T684" s="8">
        <v>1</v>
      </c>
      <c r="U684" s="8">
        <v>5</v>
      </c>
      <c r="V684" s="8">
        <v>8</v>
      </c>
      <c r="W684" t="s">
        <v>473</v>
      </c>
      <c r="X684" t="s">
        <v>473</v>
      </c>
      <c r="Y684" t="s">
        <v>473</v>
      </c>
      <c r="Z684" t="s">
        <v>473</v>
      </c>
      <c r="AA684" t="s">
        <v>473</v>
      </c>
      <c r="AB684" t="s">
        <v>473</v>
      </c>
      <c r="AC684" s="10">
        <v>3</v>
      </c>
      <c r="AD684" s="10">
        <v>11</v>
      </c>
      <c r="AE684" t="s">
        <v>473</v>
      </c>
    </row>
    <row r="685" spans="1:31" x14ac:dyDescent="0.25">
      <c r="A685">
        <v>10120</v>
      </c>
      <c r="B685">
        <v>1955</v>
      </c>
      <c r="C685" t="s">
        <v>466</v>
      </c>
      <c r="D685" t="s">
        <v>31</v>
      </c>
      <c r="E685" t="str">
        <f>IF(OR(Table1[[#This Row],[marital_status]]="Married", Table1[[#This Row],[marital_status]]="Together"), "Partnered", "Single")</f>
        <v>Partnered</v>
      </c>
      <c r="F685" s="7">
        <v>38946</v>
      </c>
      <c r="G685" s="8">
        <v>0</v>
      </c>
      <c r="H685" s="8">
        <v>1</v>
      </c>
      <c r="I685" s="8">
        <f>Table1[[#This Row],[kids]]+Table1[[#This Row],[teens]]</f>
        <v>1</v>
      </c>
      <c r="J685" s="9">
        <v>41571</v>
      </c>
      <c r="K685" s="8">
        <v>84</v>
      </c>
      <c r="L685" s="6">
        <v>116</v>
      </c>
      <c r="M685" s="5">
        <v>6</v>
      </c>
      <c r="N685" s="5">
        <v>82</v>
      </c>
      <c r="O685" s="5">
        <v>6</v>
      </c>
      <c r="P685" s="5">
        <v>6</v>
      </c>
      <c r="Q685" s="5">
        <v>41</v>
      </c>
      <c r="R685" s="8">
        <v>2</v>
      </c>
      <c r="S685" s="8">
        <v>3</v>
      </c>
      <c r="T685" s="8">
        <v>1</v>
      </c>
      <c r="U685" s="8">
        <v>6</v>
      </c>
      <c r="V685" s="8">
        <v>5</v>
      </c>
      <c r="W685" t="s">
        <v>473</v>
      </c>
      <c r="X685" t="s">
        <v>473</v>
      </c>
      <c r="Y685" t="s">
        <v>473</v>
      </c>
      <c r="Z685" t="s">
        <v>473</v>
      </c>
      <c r="AA685" t="s">
        <v>473</v>
      </c>
      <c r="AB685" t="s">
        <v>473</v>
      </c>
      <c r="AC685" s="10">
        <v>3</v>
      </c>
      <c r="AD685" s="10">
        <v>11</v>
      </c>
      <c r="AE685" t="s">
        <v>473</v>
      </c>
    </row>
    <row r="686" spans="1:31" x14ac:dyDescent="0.25">
      <c r="A686">
        <v>6327</v>
      </c>
      <c r="B686">
        <v>1967</v>
      </c>
      <c r="C686" t="s">
        <v>466</v>
      </c>
      <c r="D686" t="s">
        <v>31</v>
      </c>
      <c r="E686" t="str">
        <f>IF(OR(Table1[[#This Row],[marital_status]]="Married", Table1[[#This Row],[marital_status]]="Together"), "Partnered", "Single")</f>
        <v>Partnered</v>
      </c>
      <c r="F686" s="7">
        <v>65777</v>
      </c>
      <c r="G686" s="8">
        <v>0</v>
      </c>
      <c r="H686" s="8">
        <v>0</v>
      </c>
      <c r="I686" s="8">
        <f>Table1[[#This Row],[kids]]+Table1[[#This Row],[teens]]</f>
        <v>0</v>
      </c>
      <c r="J686" s="9">
        <v>41627</v>
      </c>
      <c r="K686" s="8">
        <v>87</v>
      </c>
      <c r="L686" s="6">
        <v>565</v>
      </c>
      <c r="M686" s="5">
        <v>32</v>
      </c>
      <c r="N686" s="5">
        <v>435</v>
      </c>
      <c r="O686" s="5">
        <v>28</v>
      </c>
      <c r="P686" s="5">
        <v>32</v>
      </c>
      <c r="Q686" s="5">
        <v>54</v>
      </c>
      <c r="R686" s="8">
        <v>1</v>
      </c>
      <c r="S686" s="8">
        <v>2</v>
      </c>
      <c r="T686" s="8">
        <v>8</v>
      </c>
      <c r="U686" s="8">
        <v>6</v>
      </c>
      <c r="V686" s="8">
        <v>1</v>
      </c>
      <c r="W686" t="s">
        <v>473</v>
      </c>
      <c r="X686" t="s">
        <v>473</v>
      </c>
      <c r="Y686" t="s">
        <v>473</v>
      </c>
      <c r="Z686" t="s">
        <v>473</v>
      </c>
      <c r="AA686" t="s">
        <v>473</v>
      </c>
      <c r="AB686" t="s">
        <v>473</v>
      </c>
      <c r="AC686" s="10">
        <v>3</v>
      </c>
      <c r="AD686" s="10">
        <v>11</v>
      </c>
      <c r="AE686" t="s">
        <v>473</v>
      </c>
    </row>
    <row r="687" spans="1:31" x14ac:dyDescent="0.25">
      <c r="A687">
        <v>10142</v>
      </c>
      <c r="B687">
        <v>1976</v>
      </c>
      <c r="C687" t="s">
        <v>33</v>
      </c>
      <c r="D687" t="s">
        <v>37</v>
      </c>
      <c r="E687" t="str">
        <f>IF(OR(Table1[[#This Row],[marital_status]]="Married", Table1[[#This Row],[marital_status]]="Together"), "Partnered", "Single")</f>
        <v>Single</v>
      </c>
      <c r="F687" s="7">
        <v>66476</v>
      </c>
      <c r="G687" s="8">
        <v>0</v>
      </c>
      <c r="H687" s="8">
        <v>1</v>
      </c>
      <c r="I687" s="8">
        <f>Table1[[#This Row],[kids]]+Table1[[#This Row],[teens]]</f>
        <v>1</v>
      </c>
      <c r="J687" s="9">
        <v>41340</v>
      </c>
      <c r="K687" s="8">
        <v>99</v>
      </c>
      <c r="L687" s="6">
        <v>372</v>
      </c>
      <c r="M687" s="5">
        <v>18</v>
      </c>
      <c r="N687" s="5">
        <v>126</v>
      </c>
      <c r="O687" s="5">
        <v>47</v>
      </c>
      <c r="P687" s="5">
        <v>48</v>
      </c>
      <c r="Q687" s="5">
        <v>78</v>
      </c>
      <c r="R687" s="8">
        <v>2</v>
      </c>
      <c r="S687" s="8">
        <v>5</v>
      </c>
      <c r="T687" s="8">
        <v>2</v>
      </c>
      <c r="U687" s="8">
        <v>11</v>
      </c>
      <c r="V687" s="8">
        <v>4</v>
      </c>
      <c r="W687" t="s">
        <v>473</v>
      </c>
      <c r="X687" t="s">
        <v>473</v>
      </c>
      <c r="Y687" t="s">
        <v>473</v>
      </c>
      <c r="Z687" t="s">
        <v>473</v>
      </c>
      <c r="AA687" t="s">
        <v>473</v>
      </c>
      <c r="AB687" t="s">
        <v>473</v>
      </c>
      <c r="AC687" s="10">
        <v>3</v>
      </c>
      <c r="AD687" s="10">
        <v>11</v>
      </c>
      <c r="AE687" t="s">
        <v>473</v>
      </c>
    </row>
    <row r="688" spans="1:31" x14ac:dyDescent="0.25">
      <c r="A688">
        <v>9826</v>
      </c>
      <c r="B688">
        <v>1972</v>
      </c>
      <c r="C688" t="s">
        <v>33</v>
      </c>
      <c r="D688" t="s">
        <v>30</v>
      </c>
      <c r="E688" t="str">
        <f>IF(OR(Table1[[#This Row],[marital_status]]="Married", Table1[[#This Row],[marital_status]]="Together"), "Partnered", "Single")</f>
        <v>Single</v>
      </c>
      <c r="F688" s="7">
        <v>86857</v>
      </c>
      <c r="G688" s="8">
        <v>0</v>
      </c>
      <c r="H688" s="8">
        <v>0</v>
      </c>
      <c r="I688" s="8">
        <f>Table1[[#This Row],[kids]]+Table1[[#This Row],[teens]]</f>
        <v>0</v>
      </c>
      <c r="J688" s="9">
        <v>41164</v>
      </c>
      <c r="K688" s="8">
        <v>96</v>
      </c>
      <c r="L688" s="6">
        <v>899</v>
      </c>
      <c r="M688" s="5">
        <v>102</v>
      </c>
      <c r="N688" s="5">
        <v>838</v>
      </c>
      <c r="O688" s="5">
        <v>133</v>
      </c>
      <c r="P688" s="5">
        <v>102</v>
      </c>
      <c r="Q688" s="5">
        <v>40</v>
      </c>
      <c r="R688" s="8">
        <v>1</v>
      </c>
      <c r="S688" s="8">
        <v>5</v>
      </c>
      <c r="T688" s="8">
        <v>6</v>
      </c>
      <c r="U688" s="8">
        <v>10</v>
      </c>
      <c r="V688" s="8">
        <v>2</v>
      </c>
      <c r="W688" t="s">
        <v>473</v>
      </c>
      <c r="X688" t="s">
        <v>473</v>
      </c>
      <c r="Y688" t="s">
        <v>473</v>
      </c>
      <c r="Z688" t="s">
        <v>473</v>
      </c>
      <c r="AA688" t="s">
        <v>473</v>
      </c>
      <c r="AB688" t="s">
        <v>473</v>
      </c>
      <c r="AC688" s="10">
        <v>3</v>
      </c>
      <c r="AD688" s="10">
        <v>11</v>
      </c>
      <c r="AE688" t="s">
        <v>474</v>
      </c>
    </row>
    <row r="689" spans="1:31" x14ac:dyDescent="0.25">
      <c r="A689">
        <v>1501</v>
      </c>
      <c r="B689">
        <v>1982</v>
      </c>
      <c r="C689" t="s">
        <v>33</v>
      </c>
      <c r="D689" t="s">
        <v>34</v>
      </c>
      <c r="E689" t="str">
        <f>IF(OR(Table1[[#This Row],[marital_status]]="Married", Table1[[#This Row],[marital_status]]="Together"), "Partnered", "Single")</f>
        <v>Partnered</v>
      </c>
      <c r="F689" s="7">
        <v>160803</v>
      </c>
      <c r="G689" s="8">
        <v>0</v>
      </c>
      <c r="H689" s="8">
        <v>0</v>
      </c>
      <c r="I689" s="8">
        <f>Table1[[#This Row],[kids]]+Table1[[#This Row],[teens]]</f>
        <v>0</v>
      </c>
      <c r="J689" s="9">
        <v>41125</v>
      </c>
      <c r="K689" s="8">
        <v>21</v>
      </c>
      <c r="L689" s="6">
        <v>55</v>
      </c>
      <c r="M689" s="5">
        <v>16</v>
      </c>
      <c r="N689" s="5">
        <v>1622</v>
      </c>
      <c r="O689" s="5">
        <v>17</v>
      </c>
      <c r="P689" s="5">
        <v>3</v>
      </c>
      <c r="Q689" s="5">
        <v>4</v>
      </c>
      <c r="R689" s="8">
        <v>15</v>
      </c>
      <c r="S689" s="8">
        <v>0</v>
      </c>
      <c r="T689" s="8">
        <v>28</v>
      </c>
      <c r="U689" s="8">
        <v>1</v>
      </c>
      <c r="V689" s="8">
        <v>0</v>
      </c>
      <c r="W689" t="s">
        <v>473</v>
      </c>
      <c r="X689" t="s">
        <v>473</v>
      </c>
      <c r="Y689" t="s">
        <v>473</v>
      </c>
      <c r="Z689" t="s">
        <v>473</v>
      </c>
      <c r="AA689" t="s">
        <v>473</v>
      </c>
      <c r="AB689" t="s">
        <v>473</v>
      </c>
      <c r="AC689" s="10">
        <v>3</v>
      </c>
      <c r="AD689" s="10">
        <v>11</v>
      </c>
      <c r="AE689" t="s">
        <v>473</v>
      </c>
    </row>
    <row r="690" spans="1:31" x14ac:dyDescent="0.25">
      <c r="A690">
        <v>10767</v>
      </c>
      <c r="B690">
        <v>1989</v>
      </c>
      <c r="C690" t="s">
        <v>33</v>
      </c>
      <c r="D690" t="s">
        <v>31</v>
      </c>
      <c r="E690" t="str">
        <f>IF(OR(Table1[[#This Row],[marital_status]]="Married", Table1[[#This Row],[marital_status]]="Together"), "Partnered", "Single")</f>
        <v>Partnered</v>
      </c>
      <c r="F690" s="7">
        <v>77845</v>
      </c>
      <c r="G690" s="8">
        <v>0</v>
      </c>
      <c r="H690" s="8">
        <v>0</v>
      </c>
      <c r="I690" s="8">
        <f>Table1[[#This Row],[kids]]+Table1[[#This Row],[teens]]</f>
        <v>0</v>
      </c>
      <c r="J690" s="9">
        <v>41775</v>
      </c>
      <c r="K690" s="8">
        <v>40</v>
      </c>
      <c r="L690" s="6">
        <v>760</v>
      </c>
      <c r="M690" s="5">
        <v>40</v>
      </c>
      <c r="N690" s="5">
        <v>480</v>
      </c>
      <c r="O690" s="5">
        <v>0</v>
      </c>
      <c r="P690" s="5">
        <v>40</v>
      </c>
      <c r="Q690" s="5">
        <v>26</v>
      </c>
      <c r="R690" s="8">
        <v>1</v>
      </c>
      <c r="S690" s="8">
        <v>3</v>
      </c>
      <c r="T690" s="8">
        <v>5</v>
      </c>
      <c r="U690" s="8">
        <v>12</v>
      </c>
      <c r="V690" s="8">
        <v>1</v>
      </c>
      <c r="W690" t="s">
        <v>473</v>
      </c>
      <c r="X690" t="s">
        <v>473</v>
      </c>
      <c r="Y690" t="s">
        <v>474</v>
      </c>
      <c r="Z690" t="s">
        <v>474</v>
      </c>
      <c r="AA690" t="s">
        <v>473</v>
      </c>
      <c r="AB690" t="s">
        <v>473</v>
      </c>
      <c r="AC690" s="10">
        <v>3</v>
      </c>
      <c r="AD690" s="10">
        <v>11</v>
      </c>
      <c r="AE690" t="s">
        <v>473</v>
      </c>
    </row>
    <row r="691" spans="1:31" x14ac:dyDescent="0.25">
      <c r="A691">
        <v>7279</v>
      </c>
      <c r="B691">
        <v>1969</v>
      </c>
      <c r="C691" t="s">
        <v>33</v>
      </c>
      <c r="D691" t="s">
        <v>31</v>
      </c>
      <c r="E691" t="str">
        <f>IF(OR(Table1[[#This Row],[marital_status]]="Married", Table1[[#This Row],[marital_status]]="Together"), "Partnered", "Single")</f>
        <v>Partnered</v>
      </c>
      <c r="F691" s="7">
        <v>69476</v>
      </c>
      <c r="G691" s="8">
        <v>0</v>
      </c>
      <c r="H691" s="8">
        <v>0</v>
      </c>
      <c r="I691" s="8">
        <f>Table1[[#This Row],[kids]]+Table1[[#This Row],[teens]]</f>
        <v>0</v>
      </c>
      <c r="J691" s="9">
        <v>41547</v>
      </c>
      <c r="K691" s="8">
        <v>3</v>
      </c>
      <c r="L691" s="6">
        <v>260</v>
      </c>
      <c r="M691" s="5">
        <v>86</v>
      </c>
      <c r="N691" s="5">
        <v>559</v>
      </c>
      <c r="O691" s="5">
        <v>63</v>
      </c>
      <c r="P691" s="5">
        <v>9</v>
      </c>
      <c r="Q691" s="5">
        <v>67</v>
      </c>
      <c r="R691" s="8">
        <v>1</v>
      </c>
      <c r="S691" s="8">
        <v>4</v>
      </c>
      <c r="T691" s="8">
        <v>6</v>
      </c>
      <c r="U691" s="8">
        <v>4</v>
      </c>
      <c r="V691" s="8">
        <v>2</v>
      </c>
      <c r="W691" t="s">
        <v>473</v>
      </c>
      <c r="X691" t="s">
        <v>473</v>
      </c>
      <c r="Y691" t="s">
        <v>473</v>
      </c>
      <c r="Z691" t="s">
        <v>473</v>
      </c>
      <c r="AA691" t="s">
        <v>473</v>
      </c>
      <c r="AB691" t="s">
        <v>473</v>
      </c>
      <c r="AC691" s="10">
        <v>3</v>
      </c>
      <c r="AD691" s="10">
        <v>11</v>
      </c>
      <c r="AE691" t="s">
        <v>473</v>
      </c>
    </row>
    <row r="692" spans="1:31" x14ac:dyDescent="0.25">
      <c r="A692">
        <v>7230</v>
      </c>
      <c r="B692">
        <v>1960</v>
      </c>
      <c r="C692" t="s">
        <v>33</v>
      </c>
      <c r="D692" t="s">
        <v>37</v>
      </c>
      <c r="E692" t="str">
        <f>IF(OR(Table1[[#This Row],[marital_status]]="Married", Table1[[#This Row],[marital_status]]="Together"), "Partnered", "Single")</f>
        <v>Single</v>
      </c>
      <c r="F692" s="7">
        <v>50611</v>
      </c>
      <c r="G692" s="8">
        <v>0</v>
      </c>
      <c r="H692" s="8">
        <v>1</v>
      </c>
      <c r="I692" s="8">
        <f>Table1[[#This Row],[kids]]+Table1[[#This Row],[teens]]</f>
        <v>1</v>
      </c>
      <c r="J692" s="9">
        <v>41186</v>
      </c>
      <c r="K692" s="8">
        <v>98</v>
      </c>
      <c r="L692" s="6">
        <v>459</v>
      </c>
      <c r="M692" s="5">
        <v>0</v>
      </c>
      <c r="N692" s="5">
        <v>24</v>
      </c>
      <c r="O692" s="5">
        <v>6</v>
      </c>
      <c r="P692" s="5">
        <v>0</v>
      </c>
      <c r="Q692" s="5">
        <v>4</v>
      </c>
      <c r="R692" s="8">
        <v>6</v>
      </c>
      <c r="S692" s="8">
        <v>4</v>
      </c>
      <c r="T692" s="8">
        <v>5</v>
      </c>
      <c r="U692" s="8">
        <v>7</v>
      </c>
      <c r="V692" s="8">
        <v>6</v>
      </c>
      <c r="W692" t="s">
        <v>473</v>
      </c>
      <c r="X692" t="s">
        <v>474</v>
      </c>
      <c r="Y692" t="s">
        <v>473</v>
      </c>
      <c r="Z692" t="s">
        <v>473</v>
      </c>
      <c r="AA692" t="s">
        <v>473</v>
      </c>
      <c r="AB692" t="s">
        <v>473</v>
      </c>
      <c r="AC692" s="10">
        <v>3</v>
      </c>
      <c r="AD692" s="10">
        <v>11</v>
      </c>
      <c r="AE692" t="s">
        <v>474</v>
      </c>
    </row>
    <row r="693" spans="1:31" x14ac:dyDescent="0.25">
      <c r="A693">
        <v>143</v>
      </c>
      <c r="B693">
        <v>1970</v>
      </c>
      <c r="C693" t="s">
        <v>466</v>
      </c>
      <c r="D693" t="s">
        <v>30</v>
      </c>
      <c r="E693" t="str">
        <f>IF(OR(Table1[[#This Row],[marital_status]]="Married", Table1[[#This Row],[marital_status]]="Together"), "Partnered", "Single")</f>
        <v>Single</v>
      </c>
      <c r="F693" s="7">
        <v>61209</v>
      </c>
      <c r="G693" s="8">
        <v>0</v>
      </c>
      <c r="H693" s="8">
        <v>0</v>
      </c>
      <c r="I693" s="8">
        <f>Table1[[#This Row],[kids]]+Table1[[#This Row],[teens]]</f>
        <v>0</v>
      </c>
      <c r="J693" s="9">
        <v>41511</v>
      </c>
      <c r="K693" s="8">
        <v>73</v>
      </c>
      <c r="L693" s="6">
        <v>466</v>
      </c>
      <c r="M693" s="5">
        <v>0</v>
      </c>
      <c r="N693" s="5">
        <v>224</v>
      </c>
      <c r="O693" s="5">
        <v>119</v>
      </c>
      <c r="P693" s="5">
        <v>49</v>
      </c>
      <c r="Q693" s="5">
        <v>99</v>
      </c>
      <c r="R693" s="8">
        <v>1</v>
      </c>
      <c r="S693" s="8">
        <v>5</v>
      </c>
      <c r="T693" s="8">
        <v>3</v>
      </c>
      <c r="U693" s="8">
        <v>4</v>
      </c>
      <c r="V693" s="8">
        <v>2</v>
      </c>
      <c r="W693" t="s">
        <v>473</v>
      </c>
      <c r="X693" t="s">
        <v>473</v>
      </c>
      <c r="Y693" t="s">
        <v>473</v>
      </c>
      <c r="Z693" t="s">
        <v>473</v>
      </c>
      <c r="AA693" t="s">
        <v>473</v>
      </c>
      <c r="AB693" t="s">
        <v>473</v>
      </c>
      <c r="AC693" s="10">
        <v>3</v>
      </c>
      <c r="AD693" s="10">
        <v>11</v>
      </c>
      <c r="AE693" t="s">
        <v>473</v>
      </c>
    </row>
    <row r="694" spans="1:31" x14ac:dyDescent="0.25">
      <c r="A694">
        <v>450</v>
      </c>
      <c r="B694">
        <v>1958</v>
      </c>
      <c r="C694" t="s">
        <v>36</v>
      </c>
      <c r="D694" t="s">
        <v>31</v>
      </c>
      <c r="E694" t="str">
        <f>IF(OR(Table1[[#This Row],[marital_status]]="Married", Table1[[#This Row],[marital_status]]="Together"), "Partnered", "Single")</f>
        <v>Partnered</v>
      </c>
      <c r="F694" s="7">
        <v>42315</v>
      </c>
      <c r="G694" s="8">
        <v>0</v>
      </c>
      <c r="H694" s="8">
        <v>1</v>
      </c>
      <c r="I694" s="8">
        <f>Table1[[#This Row],[kids]]+Table1[[#This Row],[teens]]</f>
        <v>1</v>
      </c>
      <c r="J694" s="9">
        <v>41467</v>
      </c>
      <c r="K694" s="8">
        <v>90</v>
      </c>
      <c r="L694" s="6">
        <v>67</v>
      </c>
      <c r="M694" s="5">
        <v>15</v>
      </c>
      <c r="N694" s="5">
        <v>80</v>
      </c>
      <c r="O694" s="5">
        <v>17</v>
      </c>
      <c r="P694" s="5">
        <v>11</v>
      </c>
      <c r="Q694" s="5">
        <v>80</v>
      </c>
      <c r="R694" s="8">
        <v>3</v>
      </c>
      <c r="S694" s="8">
        <v>1</v>
      </c>
      <c r="T694" s="8">
        <v>4</v>
      </c>
      <c r="U694" s="8">
        <v>4</v>
      </c>
      <c r="V694" s="8">
        <v>3</v>
      </c>
      <c r="W694" t="s">
        <v>473</v>
      </c>
      <c r="X694" t="s">
        <v>473</v>
      </c>
      <c r="Y694" t="s">
        <v>473</v>
      </c>
      <c r="Z694" t="s">
        <v>473</v>
      </c>
      <c r="AA694" t="s">
        <v>473</v>
      </c>
      <c r="AB694" t="s">
        <v>473</v>
      </c>
      <c r="AC694" s="10">
        <v>3</v>
      </c>
      <c r="AD694" s="10">
        <v>11</v>
      </c>
      <c r="AE694" t="s">
        <v>473</v>
      </c>
    </row>
    <row r="695" spans="1:31" x14ac:dyDescent="0.25">
      <c r="A695">
        <v>9316</v>
      </c>
      <c r="B695">
        <v>1952</v>
      </c>
      <c r="C695" t="s">
        <v>41</v>
      </c>
      <c r="D695" t="s">
        <v>31</v>
      </c>
      <c r="E695" t="str">
        <f>IF(OR(Table1[[#This Row],[marital_status]]="Married", Table1[[#This Row],[marital_status]]="Together"), "Partnered", "Single")</f>
        <v>Partnered</v>
      </c>
      <c r="F695" s="7">
        <v>13084</v>
      </c>
      <c r="G695" s="8">
        <v>0</v>
      </c>
      <c r="H695" s="8">
        <v>0</v>
      </c>
      <c r="I695" s="8">
        <f>Table1[[#This Row],[kids]]+Table1[[#This Row],[teens]]</f>
        <v>0</v>
      </c>
      <c r="J695" s="9">
        <v>41580</v>
      </c>
      <c r="K695" s="8">
        <v>29</v>
      </c>
      <c r="L695" s="6">
        <v>2</v>
      </c>
      <c r="M695" s="5">
        <v>0</v>
      </c>
      <c r="N695" s="5">
        <v>7</v>
      </c>
      <c r="O695" s="5">
        <v>3</v>
      </c>
      <c r="P695" s="5">
        <v>7</v>
      </c>
      <c r="Q695" s="5">
        <v>10</v>
      </c>
      <c r="R695" s="8">
        <v>1</v>
      </c>
      <c r="S695" s="8">
        <v>1</v>
      </c>
      <c r="T695" s="8">
        <v>0</v>
      </c>
      <c r="U695" s="8">
        <v>3</v>
      </c>
      <c r="V695" s="8">
        <v>6</v>
      </c>
      <c r="W695" t="s">
        <v>473</v>
      </c>
      <c r="X695" t="s">
        <v>473</v>
      </c>
      <c r="Y695" t="s">
        <v>473</v>
      </c>
      <c r="Z695" t="s">
        <v>473</v>
      </c>
      <c r="AA695" t="s">
        <v>473</v>
      </c>
      <c r="AB695" t="s">
        <v>473</v>
      </c>
      <c r="AC695" s="10">
        <v>3</v>
      </c>
      <c r="AD695" s="10">
        <v>11</v>
      </c>
      <c r="AE695" t="s">
        <v>473</v>
      </c>
    </row>
    <row r="696" spans="1:31" x14ac:dyDescent="0.25">
      <c r="A696">
        <v>6379</v>
      </c>
      <c r="B696">
        <v>1949</v>
      </c>
      <c r="C696" t="s">
        <v>36</v>
      </c>
      <c r="D696" t="s">
        <v>57</v>
      </c>
      <c r="E696" t="str">
        <f>IF(OR(Table1[[#This Row],[marital_status]]="Married", Table1[[#This Row],[marital_status]]="Together"), "Partnered", "Single")</f>
        <v>Single</v>
      </c>
      <c r="F696" s="7">
        <v>47570</v>
      </c>
      <c r="G696" s="8">
        <v>1</v>
      </c>
      <c r="H696" s="8">
        <v>1</v>
      </c>
      <c r="I696" s="8">
        <f>Table1[[#This Row],[kids]]+Table1[[#This Row],[teens]]</f>
        <v>2</v>
      </c>
      <c r="J696" s="9">
        <v>41423</v>
      </c>
      <c r="K696" s="8">
        <v>3</v>
      </c>
      <c r="L696" s="6">
        <v>67</v>
      </c>
      <c r="M696" s="5">
        <v>1</v>
      </c>
      <c r="N696" s="5">
        <v>20</v>
      </c>
      <c r="O696" s="5">
        <v>0</v>
      </c>
      <c r="P696" s="5">
        <v>2</v>
      </c>
      <c r="Q696" s="5">
        <v>31</v>
      </c>
      <c r="R696" s="8">
        <v>3</v>
      </c>
      <c r="S696" s="8">
        <v>2</v>
      </c>
      <c r="T696" s="8">
        <v>2</v>
      </c>
      <c r="U696" s="8">
        <v>2</v>
      </c>
      <c r="V696" s="8">
        <v>7</v>
      </c>
      <c r="W696" t="s">
        <v>473</v>
      </c>
      <c r="X696" t="s">
        <v>473</v>
      </c>
      <c r="Y696" t="s">
        <v>473</v>
      </c>
      <c r="Z696" t="s">
        <v>473</v>
      </c>
      <c r="AA696" t="s">
        <v>473</v>
      </c>
      <c r="AB696" t="s">
        <v>473</v>
      </c>
      <c r="AC696" s="10">
        <v>3</v>
      </c>
      <c r="AD696" s="10">
        <v>11</v>
      </c>
      <c r="AE696" t="s">
        <v>474</v>
      </c>
    </row>
    <row r="697" spans="1:31" x14ac:dyDescent="0.25">
      <c r="A697">
        <v>9239</v>
      </c>
      <c r="B697">
        <v>1961</v>
      </c>
      <c r="C697" t="s">
        <v>36</v>
      </c>
      <c r="D697" t="s">
        <v>34</v>
      </c>
      <c r="E697" t="str">
        <f>IF(OR(Table1[[#This Row],[marital_status]]="Married", Table1[[#This Row],[marital_status]]="Together"), "Partnered", "Single")</f>
        <v>Partnered</v>
      </c>
      <c r="F697" s="7">
        <v>61923</v>
      </c>
      <c r="G697" s="8">
        <v>0</v>
      </c>
      <c r="H697" s="8">
        <v>2</v>
      </c>
      <c r="I697" s="8">
        <f>Table1[[#This Row],[kids]]+Table1[[#This Row],[teens]]</f>
        <v>2</v>
      </c>
      <c r="J697" s="9">
        <v>41481</v>
      </c>
      <c r="K697" s="8">
        <v>94</v>
      </c>
      <c r="L697" s="6">
        <v>92</v>
      </c>
      <c r="M697" s="5">
        <v>4</v>
      </c>
      <c r="N697" s="5">
        <v>18</v>
      </c>
      <c r="O697" s="5">
        <v>3</v>
      </c>
      <c r="P697" s="5">
        <v>3</v>
      </c>
      <c r="Q697" s="5">
        <v>6</v>
      </c>
      <c r="R697" s="8">
        <v>1</v>
      </c>
      <c r="S697" s="8">
        <v>2</v>
      </c>
      <c r="T697" s="8">
        <v>1</v>
      </c>
      <c r="U697" s="8">
        <v>4</v>
      </c>
      <c r="V697" s="8">
        <v>3</v>
      </c>
      <c r="W697" t="s">
        <v>473</v>
      </c>
      <c r="X697" t="s">
        <v>473</v>
      </c>
      <c r="Y697" t="s">
        <v>473</v>
      </c>
      <c r="Z697" t="s">
        <v>473</v>
      </c>
      <c r="AA697" t="s">
        <v>473</v>
      </c>
      <c r="AB697" t="s">
        <v>473</v>
      </c>
      <c r="AC697" s="10">
        <v>3</v>
      </c>
      <c r="AD697" s="10">
        <v>11</v>
      </c>
      <c r="AE697" t="s">
        <v>473</v>
      </c>
    </row>
    <row r="698" spans="1:31" x14ac:dyDescent="0.25">
      <c r="A698">
        <v>8315</v>
      </c>
      <c r="B698">
        <v>1995</v>
      </c>
      <c r="C698" t="s">
        <v>466</v>
      </c>
      <c r="D698" t="s">
        <v>30</v>
      </c>
      <c r="E698" t="str">
        <f>IF(OR(Table1[[#This Row],[marital_status]]="Married", Table1[[#This Row],[marital_status]]="Together"), "Partnered", "Single")</f>
        <v>Single</v>
      </c>
      <c r="F698" s="7">
        <v>34824</v>
      </c>
      <c r="G698" s="8">
        <v>0</v>
      </c>
      <c r="H698" s="8">
        <v>0</v>
      </c>
      <c r="I698" s="8">
        <f>Table1[[#This Row],[kids]]+Table1[[#This Row],[teens]]</f>
        <v>0</v>
      </c>
      <c r="J698" s="9">
        <v>41724</v>
      </c>
      <c r="K698" s="8">
        <v>65</v>
      </c>
      <c r="L698" s="6">
        <v>4</v>
      </c>
      <c r="M698" s="5">
        <v>2</v>
      </c>
      <c r="N698" s="5">
        <v>11</v>
      </c>
      <c r="O698" s="5">
        <v>2</v>
      </c>
      <c r="P698" s="5">
        <v>0</v>
      </c>
      <c r="Q698" s="5">
        <v>4</v>
      </c>
      <c r="R698" s="8">
        <v>1</v>
      </c>
      <c r="S698" s="8">
        <v>1</v>
      </c>
      <c r="T698" s="8">
        <v>0</v>
      </c>
      <c r="U698" s="8">
        <v>2</v>
      </c>
      <c r="V698" s="8">
        <v>6</v>
      </c>
      <c r="W698" t="s">
        <v>473</v>
      </c>
      <c r="X698" t="s">
        <v>473</v>
      </c>
      <c r="Y698" t="s">
        <v>473</v>
      </c>
      <c r="Z698" t="s">
        <v>473</v>
      </c>
      <c r="AA698" t="s">
        <v>473</v>
      </c>
      <c r="AB698" t="s">
        <v>473</v>
      </c>
      <c r="AC698" s="10">
        <v>3</v>
      </c>
      <c r="AD698" s="10">
        <v>11</v>
      </c>
      <c r="AE698" t="s">
        <v>473</v>
      </c>
    </row>
    <row r="699" spans="1:31" x14ac:dyDescent="0.25">
      <c r="A699">
        <v>2868</v>
      </c>
      <c r="B699">
        <v>1949</v>
      </c>
      <c r="C699" t="s">
        <v>33</v>
      </c>
      <c r="D699" t="s">
        <v>30</v>
      </c>
      <c r="E699" t="str">
        <f>IF(OR(Table1[[#This Row],[marital_status]]="Married", Table1[[#This Row],[marital_status]]="Together"), "Partnered", "Single")</f>
        <v>Single</v>
      </c>
      <c r="F699" s="7">
        <v>26518</v>
      </c>
      <c r="G699" s="8">
        <v>1</v>
      </c>
      <c r="H699" s="8">
        <v>1</v>
      </c>
      <c r="I699" s="8">
        <f>Table1[[#This Row],[kids]]+Table1[[#This Row],[teens]]</f>
        <v>2</v>
      </c>
      <c r="J699" s="9">
        <v>41372</v>
      </c>
      <c r="K699" s="8">
        <v>33</v>
      </c>
      <c r="L699" s="6">
        <v>20</v>
      </c>
      <c r="M699" s="5">
        <v>1</v>
      </c>
      <c r="N699" s="5">
        <v>28</v>
      </c>
      <c r="O699" s="5">
        <v>3</v>
      </c>
      <c r="P699" s="5">
        <v>3</v>
      </c>
      <c r="Q699" s="5">
        <v>2</v>
      </c>
      <c r="R699" s="8">
        <v>3</v>
      </c>
      <c r="S699" s="8">
        <v>2</v>
      </c>
      <c r="T699" s="8">
        <v>0</v>
      </c>
      <c r="U699" s="8">
        <v>3</v>
      </c>
      <c r="V699" s="8">
        <v>8</v>
      </c>
      <c r="W699" t="s">
        <v>473</v>
      </c>
      <c r="X699" t="s">
        <v>473</v>
      </c>
      <c r="Y699" t="s">
        <v>473</v>
      </c>
      <c r="Z699" t="s">
        <v>473</v>
      </c>
      <c r="AA699" t="s">
        <v>473</v>
      </c>
      <c r="AB699" t="s">
        <v>473</v>
      </c>
      <c r="AC699" s="10">
        <v>3</v>
      </c>
      <c r="AD699" s="10">
        <v>11</v>
      </c>
      <c r="AE699" t="s">
        <v>474</v>
      </c>
    </row>
    <row r="700" spans="1:31" x14ac:dyDescent="0.25">
      <c r="A700">
        <v>10888</v>
      </c>
      <c r="B700">
        <v>1961</v>
      </c>
      <c r="C700" t="s">
        <v>466</v>
      </c>
      <c r="D700" t="s">
        <v>30</v>
      </c>
      <c r="E700" t="str">
        <f>IF(OR(Table1[[#This Row],[marital_status]]="Married", Table1[[#This Row],[marital_status]]="Together"), "Partnered", "Single")</f>
        <v>Single</v>
      </c>
      <c r="F700" s="7">
        <v>45938</v>
      </c>
      <c r="G700" s="8">
        <v>0</v>
      </c>
      <c r="H700" s="8">
        <v>0</v>
      </c>
      <c r="I700" s="8">
        <f>Table1[[#This Row],[kids]]+Table1[[#This Row],[teens]]</f>
        <v>0</v>
      </c>
      <c r="J700" s="9">
        <v>41581</v>
      </c>
      <c r="K700" s="8">
        <v>46</v>
      </c>
      <c r="L700" s="6">
        <v>273</v>
      </c>
      <c r="M700" s="5">
        <v>11</v>
      </c>
      <c r="N700" s="5">
        <v>178</v>
      </c>
      <c r="O700" s="5">
        <v>62</v>
      </c>
      <c r="P700" s="5">
        <v>83</v>
      </c>
      <c r="Q700" s="5">
        <v>29</v>
      </c>
      <c r="R700" s="8">
        <v>2</v>
      </c>
      <c r="S700" s="8">
        <v>8</v>
      </c>
      <c r="T700" s="8">
        <v>4</v>
      </c>
      <c r="U700" s="8">
        <v>6</v>
      </c>
      <c r="V700" s="8">
        <v>6</v>
      </c>
      <c r="W700" t="s">
        <v>473</v>
      </c>
      <c r="X700" t="s">
        <v>473</v>
      </c>
      <c r="Y700" t="s">
        <v>473</v>
      </c>
      <c r="Z700" t="s">
        <v>473</v>
      </c>
      <c r="AA700" t="s">
        <v>473</v>
      </c>
      <c r="AB700" t="s">
        <v>473</v>
      </c>
      <c r="AC700" s="10">
        <v>3</v>
      </c>
      <c r="AD700" s="10">
        <v>11</v>
      </c>
      <c r="AE700" t="s">
        <v>473</v>
      </c>
    </row>
    <row r="701" spans="1:31" x14ac:dyDescent="0.25">
      <c r="A701">
        <v>1277</v>
      </c>
      <c r="B701">
        <v>1960</v>
      </c>
      <c r="C701" t="s">
        <v>466</v>
      </c>
      <c r="D701" t="s">
        <v>31</v>
      </c>
      <c r="E701" t="str">
        <f>IF(OR(Table1[[#This Row],[marital_status]]="Married", Table1[[#This Row],[marital_status]]="Together"), "Partnered", "Single")</f>
        <v>Partnered</v>
      </c>
      <c r="F701" s="7">
        <v>78468</v>
      </c>
      <c r="G701" s="8">
        <v>0</v>
      </c>
      <c r="H701" s="8">
        <v>0</v>
      </c>
      <c r="I701" s="8">
        <f>Table1[[#This Row],[kids]]+Table1[[#This Row],[teens]]</f>
        <v>0</v>
      </c>
      <c r="J701" s="9">
        <v>41738</v>
      </c>
      <c r="K701" s="8">
        <v>29</v>
      </c>
      <c r="L701" s="6">
        <v>434</v>
      </c>
      <c r="M701" s="5">
        <v>22</v>
      </c>
      <c r="N701" s="5">
        <v>388</v>
      </c>
      <c r="O701" s="5">
        <v>104</v>
      </c>
      <c r="P701" s="5">
        <v>22</v>
      </c>
      <c r="Q701" s="5">
        <v>34</v>
      </c>
      <c r="R701" s="8">
        <v>1</v>
      </c>
      <c r="S701" s="8">
        <v>10</v>
      </c>
      <c r="T701" s="8">
        <v>7</v>
      </c>
      <c r="U701" s="8">
        <v>10</v>
      </c>
      <c r="V701" s="8">
        <v>4</v>
      </c>
      <c r="W701" t="s">
        <v>473</v>
      </c>
      <c r="X701" t="s">
        <v>473</v>
      </c>
      <c r="Y701" t="s">
        <v>473</v>
      </c>
      <c r="Z701" t="s">
        <v>474</v>
      </c>
      <c r="AA701" t="s">
        <v>473</v>
      </c>
      <c r="AB701" t="s">
        <v>473</v>
      </c>
      <c r="AC701" s="10">
        <v>3</v>
      </c>
      <c r="AD701" s="10">
        <v>11</v>
      </c>
      <c r="AE701" t="s">
        <v>473</v>
      </c>
    </row>
    <row r="702" spans="1:31" x14ac:dyDescent="0.25">
      <c r="A702">
        <v>9977</v>
      </c>
      <c r="B702">
        <v>1973</v>
      </c>
      <c r="C702" t="s">
        <v>466</v>
      </c>
      <c r="D702" t="s">
        <v>37</v>
      </c>
      <c r="E702" t="str">
        <f>IF(OR(Table1[[#This Row],[marital_status]]="Married", Table1[[#This Row],[marital_status]]="Together"), "Partnered", "Single")</f>
        <v>Single</v>
      </c>
      <c r="F702" s="7">
        <v>78901</v>
      </c>
      <c r="G702" s="8">
        <v>0</v>
      </c>
      <c r="H702" s="8">
        <v>1</v>
      </c>
      <c r="I702" s="8">
        <f>Table1[[#This Row],[kids]]+Table1[[#This Row],[teens]]</f>
        <v>1</v>
      </c>
      <c r="J702" s="9">
        <v>41534</v>
      </c>
      <c r="K702" s="8">
        <v>99</v>
      </c>
      <c r="L702" s="6">
        <v>321</v>
      </c>
      <c r="M702" s="5">
        <v>11</v>
      </c>
      <c r="N702" s="5">
        <v>309</v>
      </c>
      <c r="O702" s="5">
        <v>33</v>
      </c>
      <c r="P702" s="5">
        <v>26</v>
      </c>
      <c r="Q702" s="5">
        <v>34</v>
      </c>
      <c r="R702" s="8">
        <v>3</v>
      </c>
      <c r="S702" s="8">
        <v>9</v>
      </c>
      <c r="T702" s="8">
        <v>3</v>
      </c>
      <c r="U702" s="8">
        <v>5</v>
      </c>
      <c r="V702" s="8">
        <v>4</v>
      </c>
      <c r="W702" t="s">
        <v>473</v>
      </c>
      <c r="X702" t="s">
        <v>473</v>
      </c>
      <c r="Y702" t="s">
        <v>473</v>
      </c>
      <c r="Z702" t="s">
        <v>473</v>
      </c>
      <c r="AA702" t="s">
        <v>473</v>
      </c>
      <c r="AB702" t="s">
        <v>473</v>
      </c>
      <c r="AC702" s="10">
        <v>3</v>
      </c>
      <c r="AD702" s="10">
        <v>11</v>
      </c>
      <c r="AE702" t="s">
        <v>473</v>
      </c>
    </row>
    <row r="703" spans="1:31" x14ac:dyDescent="0.25">
      <c r="A703">
        <v>10196</v>
      </c>
      <c r="B703">
        <v>1978</v>
      </c>
      <c r="C703" t="s">
        <v>466</v>
      </c>
      <c r="D703" t="s">
        <v>34</v>
      </c>
      <c r="E703" t="str">
        <f>IF(OR(Table1[[#This Row],[marital_status]]="Married", Table1[[#This Row],[marital_status]]="Together"), "Partnered", "Single")</f>
        <v>Partnered</v>
      </c>
      <c r="F703" s="7">
        <v>71427</v>
      </c>
      <c r="G703" s="8">
        <v>2</v>
      </c>
      <c r="H703" s="8">
        <v>0</v>
      </c>
      <c r="I703" s="8">
        <f>Table1[[#This Row],[kids]]+Table1[[#This Row],[teens]]</f>
        <v>2</v>
      </c>
      <c r="J703" s="9">
        <v>41710</v>
      </c>
      <c r="K703" s="8">
        <v>26</v>
      </c>
      <c r="L703" s="6">
        <v>212</v>
      </c>
      <c r="M703" s="5">
        <v>123</v>
      </c>
      <c r="N703" s="5">
        <v>177</v>
      </c>
      <c r="O703" s="5">
        <v>15</v>
      </c>
      <c r="P703" s="5">
        <v>64</v>
      </c>
      <c r="Q703" s="5">
        <v>23</v>
      </c>
      <c r="R703" s="8">
        <v>2</v>
      </c>
      <c r="S703" s="8">
        <v>8</v>
      </c>
      <c r="T703" s="8">
        <v>2</v>
      </c>
      <c r="U703" s="8">
        <v>8</v>
      </c>
      <c r="V703" s="8">
        <v>4</v>
      </c>
      <c r="W703" t="s">
        <v>473</v>
      </c>
      <c r="X703" t="s">
        <v>473</v>
      </c>
      <c r="Y703" t="s">
        <v>473</v>
      </c>
      <c r="Z703" t="s">
        <v>473</v>
      </c>
      <c r="AA703" t="s">
        <v>473</v>
      </c>
      <c r="AB703" t="s">
        <v>473</v>
      </c>
      <c r="AC703" s="10">
        <v>3</v>
      </c>
      <c r="AD703" s="10">
        <v>11</v>
      </c>
      <c r="AE703" t="s">
        <v>473</v>
      </c>
    </row>
    <row r="704" spans="1:31" x14ac:dyDescent="0.25">
      <c r="A704">
        <v>6384</v>
      </c>
      <c r="B704">
        <v>1978</v>
      </c>
      <c r="C704" t="s">
        <v>466</v>
      </c>
      <c r="D704" t="s">
        <v>37</v>
      </c>
      <c r="E704" t="str">
        <f>IF(OR(Table1[[#This Row],[marital_status]]="Married", Table1[[#This Row],[marital_status]]="Together"), "Partnered", "Single")</f>
        <v>Single</v>
      </c>
      <c r="F704" s="7">
        <v>71022</v>
      </c>
      <c r="G704" s="8">
        <v>0</v>
      </c>
      <c r="H704" s="8">
        <v>1</v>
      </c>
      <c r="I704" s="8">
        <f>Table1[[#This Row],[kids]]+Table1[[#This Row],[teens]]</f>
        <v>1</v>
      </c>
      <c r="J704" s="9">
        <v>41681</v>
      </c>
      <c r="K704" s="8">
        <v>30</v>
      </c>
      <c r="L704" s="6">
        <v>909</v>
      </c>
      <c r="M704" s="5">
        <v>12</v>
      </c>
      <c r="N704" s="5">
        <v>278</v>
      </c>
      <c r="O704" s="5">
        <v>0</v>
      </c>
      <c r="P704" s="5">
        <v>12</v>
      </c>
      <c r="Q704" s="5">
        <v>242</v>
      </c>
      <c r="R704" s="8">
        <v>3</v>
      </c>
      <c r="S704" s="8">
        <v>5</v>
      </c>
      <c r="T704" s="8">
        <v>2</v>
      </c>
      <c r="U704" s="8">
        <v>11</v>
      </c>
      <c r="V704" s="8">
        <v>8</v>
      </c>
      <c r="W704" t="s">
        <v>474</v>
      </c>
      <c r="X704" t="s">
        <v>473</v>
      </c>
      <c r="Y704" t="s">
        <v>473</v>
      </c>
      <c r="Z704" t="s">
        <v>473</v>
      </c>
      <c r="AA704" t="s">
        <v>473</v>
      </c>
      <c r="AB704" t="s">
        <v>473</v>
      </c>
      <c r="AC704" s="10">
        <v>3</v>
      </c>
      <c r="AD704" s="10">
        <v>11</v>
      </c>
      <c r="AE704" t="s">
        <v>473</v>
      </c>
    </row>
    <row r="705" spans="1:31" x14ac:dyDescent="0.25">
      <c r="A705">
        <v>8029</v>
      </c>
      <c r="B705">
        <v>1988</v>
      </c>
      <c r="C705" t="s">
        <v>36</v>
      </c>
      <c r="D705" t="s">
        <v>30</v>
      </c>
      <c r="E705" t="str">
        <f>IF(OR(Table1[[#This Row],[marital_status]]="Married", Table1[[#This Row],[marital_status]]="Together"), "Partnered", "Single")</f>
        <v>Single</v>
      </c>
      <c r="F705" s="7">
        <v>90247</v>
      </c>
      <c r="G705" s="8">
        <v>0</v>
      </c>
      <c r="H705" s="8">
        <v>0</v>
      </c>
      <c r="I705" s="8">
        <f>Table1[[#This Row],[kids]]+Table1[[#This Row],[teens]]</f>
        <v>0</v>
      </c>
      <c r="J705" s="9">
        <v>41758</v>
      </c>
      <c r="K705" s="8">
        <v>27</v>
      </c>
      <c r="L705" s="6">
        <v>1184</v>
      </c>
      <c r="M705" s="5">
        <v>32</v>
      </c>
      <c r="N705" s="5">
        <v>352</v>
      </c>
      <c r="O705" s="5">
        <v>21</v>
      </c>
      <c r="P705" s="5">
        <v>16</v>
      </c>
      <c r="Q705" s="5">
        <v>16</v>
      </c>
      <c r="R705" s="8">
        <v>1</v>
      </c>
      <c r="S705" s="8">
        <v>3</v>
      </c>
      <c r="T705" s="8">
        <v>4</v>
      </c>
      <c r="U705" s="8">
        <v>7</v>
      </c>
      <c r="V705" s="8">
        <v>1</v>
      </c>
      <c r="W705" t="s">
        <v>473</v>
      </c>
      <c r="X705" t="s">
        <v>474</v>
      </c>
      <c r="Y705" t="s">
        <v>474</v>
      </c>
      <c r="Z705" t="s">
        <v>474</v>
      </c>
      <c r="AA705" t="s">
        <v>473</v>
      </c>
      <c r="AB705" t="s">
        <v>473</v>
      </c>
      <c r="AC705" s="10">
        <v>3</v>
      </c>
      <c r="AD705" s="10">
        <v>11</v>
      </c>
      <c r="AE705" t="s">
        <v>474</v>
      </c>
    </row>
    <row r="706" spans="1:31" x14ac:dyDescent="0.25">
      <c r="A706">
        <v>968</v>
      </c>
      <c r="B706">
        <v>1968</v>
      </c>
      <c r="C706" t="s">
        <v>36</v>
      </c>
      <c r="D706" t="s">
        <v>37</v>
      </c>
      <c r="E706" t="str">
        <f>IF(OR(Table1[[#This Row],[marital_status]]="Married", Table1[[#This Row],[marital_status]]="Together"), "Partnered", "Single")</f>
        <v>Single</v>
      </c>
      <c r="F706" s="7">
        <v>41335</v>
      </c>
      <c r="G706" s="8">
        <v>1</v>
      </c>
      <c r="H706" s="8">
        <v>0</v>
      </c>
      <c r="I706" s="8">
        <f>Table1[[#This Row],[kids]]+Table1[[#This Row],[teens]]</f>
        <v>1</v>
      </c>
      <c r="J706" s="9">
        <v>41634</v>
      </c>
      <c r="K706" s="8">
        <v>24</v>
      </c>
      <c r="L706" s="6">
        <v>112</v>
      </c>
      <c r="M706" s="5">
        <v>19</v>
      </c>
      <c r="N706" s="5">
        <v>21</v>
      </c>
      <c r="O706" s="5">
        <v>16</v>
      </c>
      <c r="P706" s="5">
        <v>14</v>
      </c>
      <c r="Q706" s="5">
        <v>5</v>
      </c>
      <c r="R706" s="8">
        <v>3</v>
      </c>
      <c r="S706" s="8">
        <v>4</v>
      </c>
      <c r="T706" s="8">
        <v>1</v>
      </c>
      <c r="U706" s="8">
        <v>4</v>
      </c>
      <c r="V706" s="8">
        <v>7</v>
      </c>
      <c r="W706" t="s">
        <v>473</v>
      </c>
      <c r="X706" t="s">
        <v>473</v>
      </c>
      <c r="Y706" t="s">
        <v>473</v>
      </c>
      <c r="Z706" t="s">
        <v>473</v>
      </c>
      <c r="AA706" t="s">
        <v>473</v>
      </c>
      <c r="AB706" t="s">
        <v>473</v>
      </c>
      <c r="AC706" s="10">
        <v>3</v>
      </c>
      <c r="AD706" s="10">
        <v>11</v>
      </c>
      <c r="AE706" t="s">
        <v>473</v>
      </c>
    </row>
    <row r="707" spans="1:31" x14ac:dyDescent="0.25">
      <c r="A707">
        <v>6988</v>
      </c>
      <c r="B707">
        <v>1986</v>
      </c>
      <c r="C707" t="s">
        <v>466</v>
      </c>
      <c r="D707" t="s">
        <v>34</v>
      </c>
      <c r="E707" t="str">
        <f>IF(OR(Table1[[#This Row],[marital_status]]="Married", Table1[[#This Row],[marital_status]]="Together"), "Partnered", "Single")</f>
        <v>Partnered</v>
      </c>
      <c r="F707" s="7">
        <v>71952</v>
      </c>
      <c r="G707" s="8">
        <v>1</v>
      </c>
      <c r="H707" s="8">
        <v>0</v>
      </c>
      <c r="I707" s="8">
        <f>Table1[[#This Row],[kids]]+Table1[[#This Row],[teens]]</f>
        <v>1</v>
      </c>
      <c r="J707" s="9">
        <v>41284</v>
      </c>
      <c r="K707" s="8">
        <v>93</v>
      </c>
      <c r="L707" s="6">
        <v>656</v>
      </c>
      <c r="M707" s="5">
        <v>80</v>
      </c>
      <c r="N707" s="5">
        <v>455</v>
      </c>
      <c r="O707" s="5">
        <v>52</v>
      </c>
      <c r="P707" s="5">
        <v>107</v>
      </c>
      <c r="Q707" s="5">
        <v>93</v>
      </c>
      <c r="R707" s="8">
        <v>2</v>
      </c>
      <c r="S707" s="8">
        <v>8</v>
      </c>
      <c r="T707" s="8">
        <v>4</v>
      </c>
      <c r="U707" s="8">
        <v>8</v>
      </c>
      <c r="V707" s="8">
        <v>4</v>
      </c>
      <c r="W707" t="s">
        <v>474</v>
      </c>
      <c r="X707" t="s">
        <v>473</v>
      </c>
      <c r="Y707" t="s">
        <v>474</v>
      </c>
      <c r="Z707" t="s">
        <v>473</v>
      </c>
      <c r="AA707" t="s">
        <v>473</v>
      </c>
      <c r="AB707" t="s">
        <v>473</v>
      </c>
      <c r="AC707" s="10">
        <v>3</v>
      </c>
      <c r="AD707" s="10">
        <v>11</v>
      </c>
      <c r="AE707" t="s">
        <v>473</v>
      </c>
    </row>
    <row r="708" spans="1:31" x14ac:dyDescent="0.25">
      <c r="A708">
        <v>4472</v>
      </c>
      <c r="B708">
        <v>1970</v>
      </c>
      <c r="C708" t="s">
        <v>33</v>
      </c>
      <c r="D708" t="s">
        <v>37</v>
      </c>
      <c r="E708" t="str">
        <f>IF(OR(Table1[[#This Row],[marital_status]]="Married", Table1[[#This Row],[marital_status]]="Together"), "Partnered", "Single")</f>
        <v>Single</v>
      </c>
      <c r="F708" s="7">
        <v>35682</v>
      </c>
      <c r="G708" s="8">
        <v>1</v>
      </c>
      <c r="H708" s="8">
        <v>0</v>
      </c>
      <c r="I708" s="8">
        <f>Table1[[#This Row],[kids]]+Table1[[#This Row],[teens]]</f>
        <v>1</v>
      </c>
      <c r="J708" s="9">
        <v>41817</v>
      </c>
      <c r="K708" s="8">
        <v>34</v>
      </c>
      <c r="L708" s="6">
        <v>23</v>
      </c>
      <c r="M708" s="5">
        <v>0</v>
      </c>
      <c r="N708" s="5">
        <v>8</v>
      </c>
      <c r="O708" s="5">
        <v>6</v>
      </c>
      <c r="P708" s="5">
        <v>2</v>
      </c>
      <c r="Q708" s="5">
        <v>18</v>
      </c>
      <c r="R708" s="8">
        <v>1</v>
      </c>
      <c r="S708" s="8">
        <v>1</v>
      </c>
      <c r="T708" s="8">
        <v>1</v>
      </c>
      <c r="U708" s="8">
        <v>3</v>
      </c>
      <c r="V708" s="8">
        <v>2</v>
      </c>
      <c r="W708" t="s">
        <v>473</v>
      </c>
      <c r="X708" t="s">
        <v>473</v>
      </c>
      <c r="Y708" t="s">
        <v>473</v>
      </c>
      <c r="Z708" t="s">
        <v>473</v>
      </c>
      <c r="AA708" t="s">
        <v>473</v>
      </c>
      <c r="AB708" t="s">
        <v>473</v>
      </c>
      <c r="AC708" s="10">
        <v>3</v>
      </c>
      <c r="AD708" s="10">
        <v>11</v>
      </c>
      <c r="AE708" t="s">
        <v>473</v>
      </c>
    </row>
    <row r="709" spans="1:31" x14ac:dyDescent="0.25">
      <c r="A709">
        <v>6991</v>
      </c>
      <c r="B709">
        <v>1951</v>
      </c>
      <c r="C709" t="s">
        <v>466</v>
      </c>
      <c r="D709" t="s">
        <v>37</v>
      </c>
      <c r="E709" t="str">
        <f>IF(OR(Table1[[#This Row],[marital_status]]="Married", Table1[[#This Row],[marital_status]]="Together"), "Partnered", "Single")</f>
        <v>Single</v>
      </c>
      <c r="F709" s="7">
        <v>43185</v>
      </c>
      <c r="G709" s="8">
        <v>0</v>
      </c>
      <c r="H709" s="8">
        <v>1</v>
      </c>
      <c r="I709" s="8">
        <f>Table1[[#This Row],[kids]]+Table1[[#This Row],[teens]]</f>
        <v>1</v>
      </c>
      <c r="J709" s="9">
        <v>41374</v>
      </c>
      <c r="K709" s="8">
        <v>88</v>
      </c>
      <c r="L709" s="6">
        <v>537</v>
      </c>
      <c r="M709" s="5">
        <v>6</v>
      </c>
      <c r="N709" s="5">
        <v>42</v>
      </c>
      <c r="O709" s="5">
        <v>16</v>
      </c>
      <c r="P709" s="5">
        <v>6</v>
      </c>
      <c r="Q709" s="5">
        <v>30</v>
      </c>
      <c r="R709" s="8">
        <v>2</v>
      </c>
      <c r="S709" s="8">
        <v>9</v>
      </c>
      <c r="T709" s="8">
        <v>3</v>
      </c>
      <c r="U709" s="8">
        <v>6</v>
      </c>
      <c r="V709" s="8">
        <v>8</v>
      </c>
      <c r="W709" t="s">
        <v>473</v>
      </c>
      <c r="X709" t="s">
        <v>473</v>
      </c>
      <c r="Y709" t="s">
        <v>473</v>
      </c>
      <c r="Z709" t="s">
        <v>473</v>
      </c>
      <c r="AA709" t="s">
        <v>473</v>
      </c>
      <c r="AB709" t="s">
        <v>473</v>
      </c>
      <c r="AC709" s="10">
        <v>3</v>
      </c>
      <c r="AD709" s="10">
        <v>11</v>
      </c>
      <c r="AE709" t="s">
        <v>473</v>
      </c>
    </row>
    <row r="710" spans="1:31" x14ac:dyDescent="0.25">
      <c r="A710">
        <v>3336</v>
      </c>
      <c r="B710">
        <v>1948</v>
      </c>
      <c r="C710" t="s">
        <v>33</v>
      </c>
      <c r="D710" t="s">
        <v>31</v>
      </c>
      <c r="E710" t="str">
        <f>IF(OR(Table1[[#This Row],[marital_status]]="Married", Table1[[#This Row],[marital_status]]="Together"), "Partnered", "Single")</f>
        <v>Partnered</v>
      </c>
      <c r="F710" s="7">
        <v>66375</v>
      </c>
      <c r="G710" s="8">
        <v>0</v>
      </c>
      <c r="H710" s="8">
        <v>1</v>
      </c>
      <c r="I710" s="8">
        <f>Table1[[#This Row],[kids]]+Table1[[#This Row],[teens]]</f>
        <v>1</v>
      </c>
      <c r="J710" s="9">
        <v>41599</v>
      </c>
      <c r="K710" s="8">
        <v>96</v>
      </c>
      <c r="L710" s="6">
        <v>712</v>
      </c>
      <c r="M710" s="5">
        <v>0</v>
      </c>
      <c r="N710" s="5">
        <v>45</v>
      </c>
      <c r="O710" s="5">
        <v>0</v>
      </c>
      <c r="P710" s="5">
        <v>0</v>
      </c>
      <c r="Q710" s="5">
        <v>191</v>
      </c>
      <c r="R710" s="8">
        <v>3</v>
      </c>
      <c r="S710" s="8">
        <v>2</v>
      </c>
      <c r="T710" s="8">
        <v>4</v>
      </c>
      <c r="U710" s="8">
        <v>5</v>
      </c>
      <c r="V710" s="8">
        <v>7</v>
      </c>
      <c r="W710" t="s">
        <v>474</v>
      </c>
      <c r="X710" t="s">
        <v>473</v>
      </c>
      <c r="Y710" t="s">
        <v>473</v>
      </c>
      <c r="Z710" t="s">
        <v>473</v>
      </c>
      <c r="AA710" t="s">
        <v>473</v>
      </c>
      <c r="AB710" t="s">
        <v>473</v>
      </c>
      <c r="AC710" s="10">
        <v>3</v>
      </c>
      <c r="AD710" s="10">
        <v>11</v>
      </c>
      <c r="AE710" t="s">
        <v>473</v>
      </c>
    </row>
    <row r="711" spans="1:31" x14ac:dyDescent="0.25">
      <c r="A711">
        <v>4301</v>
      </c>
      <c r="B711">
        <v>1971</v>
      </c>
      <c r="C711" t="s">
        <v>36</v>
      </c>
      <c r="D711" t="s">
        <v>34</v>
      </c>
      <c r="E711" t="str">
        <f>IF(OR(Table1[[#This Row],[marital_status]]="Married", Table1[[#This Row],[marital_status]]="Together"), "Partnered", "Single")</f>
        <v>Partnered</v>
      </c>
      <c r="F711" s="7">
        <v>35178</v>
      </c>
      <c r="G711" s="8">
        <v>1</v>
      </c>
      <c r="H711" s="8">
        <v>0</v>
      </c>
      <c r="I711" s="8">
        <f>Table1[[#This Row],[kids]]+Table1[[#This Row],[teens]]</f>
        <v>1</v>
      </c>
      <c r="J711" s="9">
        <v>41284</v>
      </c>
      <c r="K711" s="8">
        <v>10</v>
      </c>
      <c r="L711" s="6">
        <v>23</v>
      </c>
      <c r="M711" s="5">
        <v>1</v>
      </c>
      <c r="N711" s="5">
        <v>13</v>
      </c>
      <c r="O711" s="5">
        <v>2</v>
      </c>
      <c r="P711" s="5">
        <v>2</v>
      </c>
      <c r="Q711" s="5">
        <v>18</v>
      </c>
      <c r="R711" s="8">
        <v>1</v>
      </c>
      <c r="S711" s="8">
        <v>1</v>
      </c>
      <c r="T711" s="8">
        <v>1</v>
      </c>
      <c r="U711" s="8">
        <v>2</v>
      </c>
      <c r="V711" s="8">
        <v>7</v>
      </c>
      <c r="W711" t="s">
        <v>474</v>
      </c>
      <c r="X711" t="s">
        <v>473</v>
      </c>
      <c r="Y711" t="s">
        <v>473</v>
      </c>
      <c r="Z711" t="s">
        <v>473</v>
      </c>
      <c r="AA711" t="s">
        <v>473</v>
      </c>
      <c r="AB711" t="s">
        <v>473</v>
      </c>
      <c r="AC711" s="10">
        <v>3</v>
      </c>
      <c r="AD711" s="10">
        <v>11</v>
      </c>
      <c r="AE711" t="s">
        <v>474</v>
      </c>
    </row>
    <row r="712" spans="1:31" x14ac:dyDescent="0.25">
      <c r="A712">
        <v>1940</v>
      </c>
      <c r="B712">
        <v>1986</v>
      </c>
      <c r="C712" t="s">
        <v>466</v>
      </c>
      <c r="D712" t="s">
        <v>34</v>
      </c>
      <c r="E712" t="str">
        <f>IF(OR(Table1[[#This Row],[marital_status]]="Married", Table1[[#This Row],[marital_status]]="Together"), "Partnered", "Single")</f>
        <v>Partnered</v>
      </c>
      <c r="F712" s="7">
        <v>25252</v>
      </c>
      <c r="G712" s="8">
        <v>1</v>
      </c>
      <c r="H712" s="8">
        <v>0</v>
      </c>
      <c r="I712" s="8">
        <f>Table1[[#This Row],[kids]]+Table1[[#This Row],[teens]]</f>
        <v>1</v>
      </c>
      <c r="J712" s="9">
        <v>41467</v>
      </c>
      <c r="K712" s="8">
        <v>26</v>
      </c>
      <c r="L712" s="6">
        <v>1</v>
      </c>
      <c r="M712" s="5">
        <v>3</v>
      </c>
      <c r="N712" s="5">
        <v>4</v>
      </c>
      <c r="O712" s="5">
        <v>2</v>
      </c>
      <c r="P712" s="5">
        <v>2</v>
      </c>
      <c r="Q712" s="5">
        <v>6</v>
      </c>
      <c r="R712" s="8">
        <v>1</v>
      </c>
      <c r="S712" s="8">
        <v>1</v>
      </c>
      <c r="T712" s="8">
        <v>0</v>
      </c>
      <c r="U712" s="8">
        <v>2</v>
      </c>
      <c r="V712" s="8">
        <v>8</v>
      </c>
      <c r="W712" t="s">
        <v>473</v>
      </c>
      <c r="X712" t="s">
        <v>473</v>
      </c>
      <c r="Y712" t="s">
        <v>473</v>
      </c>
      <c r="Z712" t="s">
        <v>473</v>
      </c>
      <c r="AA712" t="s">
        <v>473</v>
      </c>
      <c r="AB712" t="s">
        <v>473</v>
      </c>
      <c r="AC712" s="10">
        <v>3</v>
      </c>
      <c r="AD712" s="10">
        <v>11</v>
      </c>
      <c r="AE712" t="s">
        <v>473</v>
      </c>
    </row>
    <row r="713" spans="1:31" x14ac:dyDescent="0.25">
      <c r="A713">
        <v>1272</v>
      </c>
      <c r="B713">
        <v>1965</v>
      </c>
      <c r="C713" t="s">
        <v>36</v>
      </c>
      <c r="D713" t="s">
        <v>30</v>
      </c>
      <c r="E713" t="str">
        <f>IF(OR(Table1[[#This Row],[marital_status]]="Married", Table1[[#This Row],[marital_status]]="Together"), "Partnered", "Single")</f>
        <v>Single</v>
      </c>
      <c r="F713" s="7">
        <v>55250</v>
      </c>
      <c r="G713" s="8">
        <v>0</v>
      </c>
      <c r="H713" s="8">
        <v>1</v>
      </c>
      <c r="I713" s="8">
        <f>Table1[[#This Row],[kids]]+Table1[[#This Row],[teens]]</f>
        <v>1</v>
      </c>
      <c r="J713" s="9">
        <v>41203</v>
      </c>
      <c r="K713" s="8">
        <v>49</v>
      </c>
      <c r="L713" s="6">
        <v>664</v>
      </c>
      <c r="M713" s="5">
        <v>58</v>
      </c>
      <c r="N713" s="5">
        <v>83</v>
      </c>
      <c r="O713" s="5">
        <v>32</v>
      </c>
      <c r="P713" s="5">
        <v>0</v>
      </c>
      <c r="Q713" s="5">
        <v>66</v>
      </c>
      <c r="R713" s="8">
        <v>4</v>
      </c>
      <c r="S713" s="8">
        <v>7</v>
      </c>
      <c r="T713" s="8">
        <v>5</v>
      </c>
      <c r="U713" s="8">
        <v>10</v>
      </c>
      <c r="V713" s="8">
        <v>5</v>
      </c>
      <c r="W713" t="s">
        <v>473</v>
      </c>
      <c r="X713" t="s">
        <v>473</v>
      </c>
      <c r="Y713" t="s">
        <v>473</v>
      </c>
      <c r="Z713" t="s">
        <v>473</v>
      </c>
      <c r="AA713" t="s">
        <v>473</v>
      </c>
      <c r="AB713" t="s">
        <v>473</v>
      </c>
      <c r="AC713" s="10">
        <v>3</v>
      </c>
      <c r="AD713" s="10">
        <v>11</v>
      </c>
      <c r="AE713" t="s">
        <v>473</v>
      </c>
    </row>
    <row r="714" spans="1:31" x14ac:dyDescent="0.25">
      <c r="A714">
        <v>1388</v>
      </c>
      <c r="B714">
        <v>1975</v>
      </c>
      <c r="C714" t="s">
        <v>466</v>
      </c>
      <c r="D714" t="s">
        <v>30</v>
      </c>
      <c r="E714" t="str">
        <f>IF(OR(Table1[[#This Row],[marital_status]]="Married", Table1[[#This Row],[marital_status]]="Together"), "Partnered", "Single")</f>
        <v>Single</v>
      </c>
      <c r="F714" s="7">
        <v>33249</v>
      </c>
      <c r="G714" s="8">
        <v>1</v>
      </c>
      <c r="H714" s="8">
        <v>0</v>
      </c>
      <c r="I714" s="8">
        <f>Table1[[#This Row],[kids]]+Table1[[#This Row],[teens]]</f>
        <v>1</v>
      </c>
      <c r="J714" s="9">
        <v>41325</v>
      </c>
      <c r="K714" s="8">
        <v>11</v>
      </c>
      <c r="L714" s="6">
        <v>6</v>
      </c>
      <c r="M714" s="5">
        <v>10</v>
      </c>
      <c r="N714" s="5">
        <v>21</v>
      </c>
      <c r="O714" s="5">
        <v>19</v>
      </c>
      <c r="P714" s="5">
        <v>14</v>
      </c>
      <c r="Q714" s="5">
        <v>42</v>
      </c>
      <c r="R714" s="8">
        <v>2</v>
      </c>
      <c r="S714" s="8">
        <v>2</v>
      </c>
      <c r="T714" s="8">
        <v>1</v>
      </c>
      <c r="U714" s="8">
        <v>3</v>
      </c>
      <c r="V714" s="8">
        <v>6</v>
      </c>
      <c r="W714" t="s">
        <v>473</v>
      </c>
      <c r="X714" t="s">
        <v>473</v>
      </c>
      <c r="Y714" t="s">
        <v>473</v>
      </c>
      <c r="Z714" t="s">
        <v>473</v>
      </c>
      <c r="AA714" t="s">
        <v>473</v>
      </c>
      <c r="AB714" t="s">
        <v>473</v>
      </c>
      <c r="AC714" s="10">
        <v>3</v>
      </c>
      <c r="AD714" s="10">
        <v>11</v>
      </c>
      <c r="AE714" t="s">
        <v>473</v>
      </c>
    </row>
    <row r="715" spans="1:31" x14ac:dyDescent="0.25">
      <c r="A715">
        <v>1044</v>
      </c>
      <c r="B715">
        <v>1953</v>
      </c>
      <c r="C715" t="s">
        <v>466</v>
      </c>
      <c r="D715" t="s">
        <v>31</v>
      </c>
      <c r="E715" t="str">
        <f>IF(OR(Table1[[#This Row],[marital_status]]="Married", Table1[[#This Row],[marital_status]]="Together"), "Partnered", "Single")</f>
        <v>Partnered</v>
      </c>
      <c r="F715" s="7">
        <v>58398</v>
      </c>
      <c r="G715" s="8">
        <v>0</v>
      </c>
      <c r="H715" s="8">
        <v>0</v>
      </c>
      <c r="I715" s="8">
        <f>Table1[[#This Row],[kids]]+Table1[[#This Row],[teens]]</f>
        <v>0</v>
      </c>
      <c r="J715" s="9">
        <v>41408</v>
      </c>
      <c r="K715" s="8">
        <v>44</v>
      </c>
      <c r="L715" s="6">
        <v>299</v>
      </c>
      <c r="M715" s="5">
        <v>5</v>
      </c>
      <c r="N715" s="5">
        <v>201</v>
      </c>
      <c r="O715" s="5">
        <v>21</v>
      </c>
      <c r="P715" s="5">
        <v>21</v>
      </c>
      <c r="Q715" s="5">
        <v>49</v>
      </c>
      <c r="R715" s="8">
        <v>3</v>
      </c>
      <c r="S715" s="8">
        <v>5</v>
      </c>
      <c r="T715" s="8">
        <v>4</v>
      </c>
      <c r="U715" s="8">
        <v>8</v>
      </c>
      <c r="V715" s="8">
        <v>4</v>
      </c>
      <c r="W715" t="s">
        <v>473</v>
      </c>
      <c r="X715" t="s">
        <v>473</v>
      </c>
      <c r="Y715" t="s">
        <v>473</v>
      </c>
      <c r="Z715" t="s">
        <v>473</v>
      </c>
      <c r="AA715" t="s">
        <v>473</v>
      </c>
      <c r="AB715" t="s">
        <v>473</v>
      </c>
      <c r="AC715" s="10">
        <v>3</v>
      </c>
      <c r="AD715" s="10">
        <v>11</v>
      </c>
      <c r="AE715" t="s">
        <v>473</v>
      </c>
    </row>
    <row r="716" spans="1:31" x14ac:dyDescent="0.25">
      <c r="A716">
        <v>6969</v>
      </c>
      <c r="B716">
        <v>1982</v>
      </c>
      <c r="C716" t="s">
        <v>466</v>
      </c>
      <c r="D716" t="s">
        <v>31</v>
      </c>
      <c r="E716" t="str">
        <f>IF(OR(Table1[[#This Row],[marital_status]]="Married", Table1[[#This Row],[marital_status]]="Together"), "Partnered", "Single")</f>
        <v>Partnered</v>
      </c>
      <c r="F716" s="7">
        <v>50272</v>
      </c>
      <c r="G716" s="8">
        <v>1</v>
      </c>
      <c r="H716" s="8">
        <v>0</v>
      </c>
      <c r="I716" s="8">
        <f>Table1[[#This Row],[kids]]+Table1[[#This Row],[teens]]</f>
        <v>1</v>
      </c>
      <c r="J716" s="9">
        <v>41493</v>
      </c>
      <c r="K716" s="8">
        <v>75</v>
      </c>
      <c r="L716" s="6">
        <v>99</v>
      </c>
      <c r="M716" s="5">
        <v>13</v>
      </c>
      <c r="N716" s="5">
        <v>66</v>
      </c>
      <c r="O716" s="5">
        <v>43</v>
      </c>
      <c r="P716" s="5">
        <v>8</v>
      </c>
      <c r="Q716" s="5">
        <v>4</v>
      </c>
      <c r="R716" s="8">
        <v>3</v>
      </c>
      <c r="S716" s="8">
        <v>4</v>
      </c>
      <c r="T716" s="8">
        <v>1</v>
      </c>
      <c r="U716" s="8">
        <v>5</v>
      </c>
      <c r="V716" s="8">
        <v>7</v>
      </c>
      <c r="W716" t="s">
        <v>473</v>
      </c>
      <c r="X716" t="s">
        <v>473</v>
      </c>
      <c r="Y716" t="s">
        <v>473</v>
      </c>
      <c r="Z716" t="s">
        <v>473</v>
      </c>
      <c r="AA716" t="s">
        <v>473</v>
      </c>
      <c r="AB716" t="s">
        <v>473</v>
      </c>
      <c r="AC716" s="10">
        <v>3</v>
      </c>
      <c r="AD716" s="10">
        <v>11</v>
      </c>
      <c r="AE716" t="s">
        <v>473</v>
      </c>
    </row>
    <row r="717" spans="1:31" x14ac:dyDescent="0.25">
      <c r="A717">
        <v>10479</v>
      </c>
      <c r="B717">
        <v>1975</v>
      </c>
      <c r="C717" t="s">
        <v>33</v>
      </c>
      <c r="D717" t="s">
        <v>34</v>
      </c>
      <c r="E717" t="str">
        <f>IF(OR(Table1[[#This Row],[marital_status]]="Married", Table1[[#This Row],[marital_status]]="Together"), "Partnered", "Single")</f>
        <v>Partnered</v>
      </c>
      <c r="F717" s="7">
        <v>76618</v>
      </c>
      <c r="G717" s="8">
        <v>0</v>
      </c>
      <c r="H717" s="8">
        <v>0</v>
      </c>
      <c r="I717" s="8">
        <f>Table1[[#This Row],[kids]]+Table1[[#This Row],[teens]]</f>
        <v>0</v>
      </c>
      <c r="J717" s="9">
        <v>41250</v>
      </c>
      <c r="K717" s="8">
        <v>64</v>
      </c>
      <c r="L717" s="6">
        <v>749</v>
      </c>
      <c r="M717" s="5">
        <v>40</v>
      </c>
      <c r="N717" s="5">
        <v>294</v>
      </c>
      <c r="O717" s="5">
        <v>121</v>
      </c>
      <c r="P717" s="5">
        <v>160</v>
      </c>
      <c r="Q717" s="5">
        <v>147</v>
      </c>
      <c r="R717" s="8">
        <v>1</v>
      </c>
      <c r="S717" s="8">
        <v>3</v>
      </c>
      <c r="T717" s="8">
        <v>2</v>
      </c>
      <c r="U717" s="8">
        <v>5</v>
      </c>
      <c r="V717" s="8">
        <v>1</v>
      </c>
      <c r="W717" t="s">
        <v>473</v>
      </c>
      <c r="X717" t="s">
        <v>473</v>
      </c>
      <c r="Y717" t="s">
        <v>473</v>
      </c>
      <c r="Z717" t="s">
        <v>473</v>
      </c>
      <c r="AA717" t="s">
        <v>473</v>
      </c>
      <c r="AB717" t="s">
        <v>473</v>
      </c>
      <c r="AC717" s="10">
        <v>3</v>
      </c>
      <c r="AD717" s="10">
        <v>11</v>
      </c>
      <c r="AE717" t="s">
        <v>473</v>
      </c>
    </row>
    <row r="718" spans="1:31" x14ac:dyDescent="0.25">
      <c r="A718">
        <v>3619</v>
      </c>
      <c r="B718">
        <v>1960</v>
      </c>
      <c r="C718" t="s">
        <v>46</v>
      </c>
      <c r="D718" t="s">
        <v>37</v>
      </c>
      <c r="E718" t="str">
        <f>IF(OR(Table1[[#This Row],[marital_status]]="Married", Table1[[#This Row],[marital_status]]="Together"), "Partnered", "Single")</f>
        <v>Single</v>
      </c>
      <c r="F718" s="7">
        <v>87305</v>
      </c>
      <c r="G718" s="8">
        <v>0</v>
      </c>
      <c r="H718" s="8">
        <v>0</v>
      </c>
      <c r="I718" s="8">
        <f>Table1[[#This Row],[kids]]+Table1[[#This Row],[teens]]</f>
        <v>0</v>
      </c>
      <c r="J718" s="9">
        <v>41175</v>
      </c>
      <c r="K718" s="8">
        <v>19</v>
      </c>
      <c r="L718" s="6">
        <v>345</v>
      </c>
      <c r="M718" s="5">
        <v>25</v>
      </c>
      <c r="N718" s="5">
        <v>501</v>
      </c>
      <c r="O718" s="5">
        <v>63</v>
      </c>
      <c r="P718" s="5">
        <v>138</v>
      </c>
      <c r="Q718" s="5">
        <v>80</v>
      </c>
      <c r="R718" s="8">
        <v>1</v>
      </c>
      <c r="S718" s="8">
        <v>5</v>
      </c>
      <c r="T718" s="8">
        <v>3</v>
      </c>
      <c r="U718" s="8">
        <v>8</v>
      </c>
      <c r="V718" s="8">
        <v>2</v>
      </c>
      <c r="W718" t="s">
        <v>473</v>
      </c>
      <c r="X718" t="s">
        <v>473</v>
      </c>
      <c r="Y718" t="s">
        <v>474</v>
      </c>
      <c r="Z718" t="s">
        <v>473</v>
      </c>
      <c r="AA718" t="s">
        <v>473</v>
      </c>
      <c r="AB718" t="s">
        <v>473</v>
      </c>
      <c r="AC718" s="10">
        <v>3</v>
      </c>
      <c r="AD718" s="10">
        <v>11</v>
      </c>
      <c r="AE718" t="s">
        <v>474</v>
      </c>
    </row>
    <row r="719" spans="1:31" x14ac:dyDescent="0.25">
      <c r="A719">
        <v>1715</v>
      </c>
      <c r="B719">
        <v>1978</v>
      </c>
      <c r="C719" t="s">
        <v>466</v>
      </c>
      <c r="D719" t="s">
        <v>31</v>
      </c>
      <c r="E719" t="str">
        <f>IF(OR(Table1[[#This Row],[marital_status]]="Married", Table1[[#This Row],[marital_status]]="Together"), "Partnered", "Single")</f>
        <v>Partnered</v>
      </c>
      <c r="F719" s="7">
        <v>25851</v>
      </c>
      <c r="G719" s="8">
        <v>1</v>
      </c>
      <c r="H719" s="8">
        <v>0</v>
      </c>
      <c r="I719" s="8">
        <f>Table1[[#This Row],[kids]]+Table1[[#This Row],[teens]]</f>
        <v>1</v>
      </c>
      <c r="J719" s="9">
        <v>41316</v>
      </c>
      <c r="K719" s="8">
        <v>45</v>
      </c>
      <c r="L719" s="6">
        <v>9</v>
      </c>
      <c r="M719" s="5">
        <v>4</v>
      </c>
      <c r="N719" s="5">
        <v>18</v>
      </c>
      <c r="O719" s="5">
        <v>7</v>
      </c>
      <c r="P719" s="5">
        <v>5</v>
      </c>
      <c r="Q719" s="5">
        <v>5</v>
      </c>
      <c r="R719" s="8">
        <v>2</v>
      </c>
      <c r="S719" s="8">
        <v>2</v>
      </c>
      <c r="T719" s="8">
        <v>0</v>
      </c>
      <c r="U719" s="8">
        <v>3</v>
      </c>
      <c r="V719" s="8">
        <v>7</v>
      </c>
      <c r="W719" t="s">
        <v>473</v>
      </c>
      <c r="X719" t="s">
        <v>473</v>
      </c>
      <c r="Y719" t="s">
        <v>473</v>
      </c>
      <c r="Z719" t="s">
        <v>473</v>
      </c>
      <c r="AA719" t="s">
        <v>473</v>
      </c>
      <c r="AB719" t="s">
        <v>473</v>
      </c>
      <c r="AC719" s="10">
        <v>3</v>
      </c>
      <c r="AD719" s="10">
        <v>11</v>
      </c>
      <c r="AE719" t="s">
        <v>473</v>
      </c>
    </row>
    <row r="720" spans="1:31" x14ac:dyDescent="0.25">
      <c r="A720">
        <v>10159</v>
      </c>
      <c r="B720">
        <v>1970</v>
      </c>
      <c r="C720" t="s">
        <v>466</v>
      </c>
      <c r="D720" t="s">
        <v>37</v>
      </c>
      <c r="E720" t="str">
        <f>IF(OR(Table1[[#This Row],[marital_status]]="Married", Table1[[#This Row],[marital_status]]="Together"), "Partnered", "Single")</f>
        <v>Single</v>
      </c>
      <c r="F720" s="7">
        <v>58710</v>
      </c>
      <c r="G720" s="8">
        <v>0</v>
      </c>
      <c r="H720" s="8">
        <v>1</v>
      </c>
      <c r="I720" s="8">
        <f>Table1[[#This Row],[kids]]+Table1[[#This Row],[teens]]</f>
        <v>1</v>
      </c>
      <c r="J720" s="9">
        <v>41364</v>
      </c>
      <c r="K720" s="8">
        <v>77</v>
      </c>
      <c r="L720" s="6">
        <v>440</v>
      </c>
      <c r="M720" s="5">
        <v>81</v>
      </c>
      <c r="N720" s="5">
        <v>368</v>
      </c>
      <c r="O720" s="5">
        <v>0</v>
      </c>
      <c r="P720" s="5">
        <v>122</v>
      </c>
      <c r="Q720" s="5">
        <v>174</v>
      </c>
      <c r="R720" s="8">
        <v>6</v>
      </c>
      <c r="S720" s="8">
        <v>11</v>
      </c>
      <c r="T720" s="8">
        <v>5</v>
      </c>
      <c r="U720" s="8">
        <v>9</v>
      </c>
      <c r="V720" s="8">
        <v>6</v>
      </c>
      <c r="W720" t="s">
        <v>473</v>
      </c>
      <c r="X720" t="s">
        <v>473</v>
      </c>
      <c r="Y720" t="s">
        <v>473</v>
      </c>
      <c r="Z720" t="s">
        <v>473</v>
      </c>
      <c r="AA720" t="s">
        <v>473</v>
      </c>
      <c r="AB720" t="s">
        <v>473</v>
      </c>
      <c r="AC720" s="10">
        <v>3</v>
      </c>
      <c r="AD720" s="10">
        <v>11</v>
      </c>
      <c r="AE720" t="s">
        <v>473</v>
      </c>
    </row>
    <row r="721" spans="1:31" x14ac:dyDescent="0.25">
      <c r="A721">
        <v>1463</v>
      </c>
      <c r="B721">
        <v>1958</v>
      </c>
      <c r="C721" t="s">
        <v>466</v>
      </c>
      <c r="D721" t="s">
        <v>30</v>
      </c>
      <c r="E721" t="str">
        <f>IF(OR(Table1[[#This Row],[marital_status]]="Married", Table1[[#This Row],[marital_status]]="Together"), "Partnered", "Single")</f>
        <v>Single</v>
      </c>
      <c r="F721" s="7">
        <v>45160</v>
      </c>
      <c r="G721" s="8">
        <v>1</v>
      </c>
      <c r="H721" s="8">
        <v>1</v>
      </c>
      <c r="I721" s="8">
        <f>Table1[[#This Row],[kids]]+Table1[[#This Row],[teens]]</f>
        <v>2</v>
      </c>
      <c r="J721" s="9">
        <v>41727</v>
      </c>
      <c r="K721" s="8">
        <v>9</v>
      </c>
      <c r="L721" s="6">
        <v>8</v>
      </c>
      <c r="M721" s="5">
        <v>2</v>
      </c>
      <c r="N721" s="5">
        <v>5</v>
      </c>
      <c r="O721" s="5">
        <v>3</v>
      </c>
      <c r="P721" s="5">
        <v>0</v>
      </c>
      <c r="Q721" s="5">
        <v>3</v>
      </c>
      <c r="R721" s="8">
        <v>1</v>
      </c>
      <c r="S721" s="8">
        <v>1</v>
      </c>
      <c r="T721" s="8">
        <v>0</v>
      </c>
      <c r="U721" s="8">
        <v>2</v>
      </c>
      <c r="V721" s="8">
        <v>7</v>
      </c>
      <c r="W721" t="s">
        <v>473</v>
      </c>
      <c r="X721" t="s">
        <v>473</v>
      </c>
      <c r="Y721" t="s">
        <v>473</v>
      </c>
      <c r="Z721" t="s">
        <v>473</v>
      </c>
      <c r="AA721" t="s">
        <v>473</v>
      </c>
      <c r="AB721" t="s">
        <v>473</v>
      </c>
      <c r="AC721" s="10">
        <v>3</v>
      </c>
      <c r="AD721" s="10">
        <v>11</v>
      </c>
      <c r="AE721" t="s">
        <v>473</v>
      </c>
    </row>
    <row r="722" spans="1:31" x14ac:dyDescent="0.25">
      <c r="A722">
        <v>5114</v>
      </c>
      <c r="B722">
        <v>1965</v>
      </c>
      <c r="C722" t="s">
        <v>36</v>
      </c>
      <c r="D722" t="s">
        <v>34</v>
      </c>
      <c r="E722" t="str">
        <f>IF(OR(Table1[[#This Row],[marital_status]]="Married", Table1[[#This Row],[marital_status]]="Together"), "Partnered", "Single")</f>
        <v>Partnered</v>
      </c>
      <c r="F722" s="7">
        <v>74806</v>
      </c>
      <c r="G722" s="8">
        <v>0</v>
      </c>
      <c r="H722" s="8">
        <v>1</v>
      </c>
      <c r="I722" s="8">
        <f>Table1[[#This Row],[kids]]+Table1[[#This Row],[teens]]</f>
        <v>1</v>
      </c>
      <c r="J722" s="9">
        <v>41262</v>
      </c>
      <c r="K722" s="8">
        <v>1</v>
      </c>
      <c r="L722" s="6">
        <v>670</v>
      </c>
      <c r="M722" s="5">
        <v>9</v>
      </c>
      <c r="N722" s="5">
        <v>249</v>
      </c>
      <c r="O722" s="5">
        <v>0</v>
      </c>
      <c r="P722" s="5">
        <v>28</v>
      </c>
      <c r="Q722" s="5">
        <v>9</v>
      </c>
      <c r="R722" s="8">
        <v>2</v>
      </c>
      <c r="S722" s="8">
        <v>5</v>
      </c>
      <c r="T722" s="8">
        <v>4</v>
      </c>
      <c r="U722" s="8">
        <v>5</v>
      </c>
      <c r="V722" s="8">
        <v>4</v>
      </c>
      <c r="W722" t="s">
        <v>473</v>
      </c>
      <c r="X722" t="s">
        <v>473</v>
      </c>
      <c r="Y722" t="s">
        <v>473</v>
      </c>
      <c r="Z722" t="s">
        <v>473</v>
      </c>
      <c r="AA722" t="s">
        <v>473</v>
      </c>
      <c r="AB722" t="s">
        <v>473</v>
      </c>
      <c r="AC722" s="10">
        <v>3</v>
      </c>
      <c r="AD722" s="10">
        <v>11</v>
      </c>
      <c r="AE722" t="s">
        <v>473</v>
      </c>
    </row>
    <row r="723" spans="1:31" x14ac:dyDescent="0.25">
      <c r="A723">
        <v>4990</v>
      </c>
      <c r="B723">
        <v>1954</v>
      </c>
      <c r="C723" t="s">
        <v>466</v>
      </c>
      <c r="D723" t="s">
        <v>34</v>
      </c>
      <c r="E723" t="str">
        <f>IF(OR(Table1[[#This Row],[marital_status]]="Married", Table1[[#This Row],[marital_status]]="Together"), "Partnered", "Single")</f>
        <v>Partnered</v>
      </c>
      <c r="F723" s="7">
        <v>59111</v>
      </c>
      <c r="G723" s="8">
        <v>0</v>
      </c>
      <c r="H723" s="8">
        <v>0</v>
      </c>
      <c r="I723" s="8">
        <f>Table1[[#This Row],[kids]]+Table1[[#This Row],[teens]]</f>
        <v>0</v>
      </c>
      <c r="J723" s="9">
        <v>41396</v>
      </c>
      <c r="K723" s="8">
        <v>90</v>
      </c>
      <c r="L723" s="6">
        <v>524</v>
      </c>
      <c r="M723" s="5">
        <v>0</v>
      </c>
      <c r="N723" s="5">
        <v>134</v>
      </c>
      <c r="O723" s="5">
        <v>28</v>
      </c>
      <c r="P723" s="5">
        <v>28</v>
      </c>
      <c r="Q723" s="5">
        <v>155</v>
      </c>
      <c r="R723" s="8">
        <v>1</v>
      </c>
      <c r="S723" s="8">
        <v>11</v>
      </c>
      <c r="T723" s="8">
        <v>1</v>
      </c>
      <c r="U723" s="8">
        <v>8</v>
      </c>
      <c r="V723" s="8">
        <v>7</v>
      </c>
      <c r="W723" t="s">
        <v>473</v>
      </c>
      <c r="X723" t="s">
        <v>473</v>
      </c>
      <c r="Y723" t="s">
        <v>473</v>
      </c>
      <c r="Z723" t="s">
        <v>473</v>
      </c>
      <c r="AA723" t="s">
        <v>473</v>
      </c>
      <c r="AB723" t="s">
        <v>473</v>
      </c>
      <c r="AC723" s="10">
        <v>3</v>
      </c>
      <c r="AD723" s="10">
        <v>11</v>
      </c>
      <c r="AE723" t="s">
        <v>473</v>
      </c>
    </row>
    <row r="724" spans="1:31" x14ac:dyDescent="0.25">
      <c r="A724">
        <v>4329</v>
      </c>
      <c r="B724">
        <v>1984</v>
      </c>
      <c r="C724" t="s">
        <v>33</v>
      </c>
      <c r="D724" t="s">
        <v>34</v>
      </c>
      <c r="E724" t="str">
        <f>IF(OR(Table1[[#This Row],[marital_status]]="Married", Table1[[#This Row],[marital_status]]="Together"), "Partnered", "Single")</f>
        <v>Partnered</v>
      </c>
      <c r="F724" s="7">
        <v>18988</v>
      </c>
      <c r="G724" s="8">
        <v>1</v>
      </c>
      <c r="H724" s="8">
        <v>0</v>
      </c>
      <c r="I724" s="8">
        <f>Table1[[#This Row],[kids]]+Table1[[#This Row],[teens]]</f>
        <v>1</v>
      </c>
      <c r="J724" s="9">
        <v>41782</v>
      </c>
      <c r="K724" s="8">
        <v>43</v>
      </c>
      <c r="L724" s="6">
        <v>6</v>
      </c>
      <c r="M724" s="5">
        <v>0</v>
      </c>
      <c r="N724" s="5">
        <v>6</v>
      </c>
      <c r="O724" s="5">
        <v>2</v>
      </c>
      <c r="P724" s="5">
        <v>1</v>
      </c>
      <c r="Q724" s="5">
        <v>1</v>
      </c>
      <c r="R724" s="8">
        <v>2</v>
      </c>
      <c r="S724" s="8">
        <v>1</v>
      </c>
      <c r="T724" s="8">
        <v>0</v>
      </c>
      <c r="U724" s="8">
        <v>3</v>
      </c>
      <c r="V724" s="8">
        <v>7</v>
      </c>
      <c r="W724" t="s">
        <v>473</v>
      </c>
      <c r="X724" t="s">
        <v>473</v>
      </c>
      <c r="Y724" t="s">
        <v>473</v>
      </c>
      <c r="Z724" t="s">
        <v>473</v>
      </c>
      <c r="AA724" t="s">
        <v>473</v>
      </c>
      <c r="AB724" t="s">
        <v>473</v>
      </c>
      <c r="AC724" s="10">
        <v>3</v>
      </c>
      <c r="AD724" s="10">
        <v>11</v>
      </c>
      <c r="AE724" t="s">
        <v>473</v>
      </c>
    </row>
    <row r="725" spans="1:31" x14ac:dyDescent="0.25">
      <c r="A725">
        <v>10936</v>
      </c>
      <c r="B725">
        <v>1965</v>
      </c>
      <c r="C725" t="s">
        <v>466</v>
      </c>
      <c r="D725" t="s">
        <v>34</v>
      </c>
      <c r="E725" t="str">
        <f>IF(OR(Table1[[#This Row],[marital_status]]="Married", Table1[[#This Row],[marital_status]]="Together"), "Partnered", "Single")</f>
        <v>Partnered</v>
      </c>
      <c r="F725" s="7">
        <v>72190</v>
      </c>
      <c r="G725" s="8">
        <v>0</v>
      </c>
      <c r="H725" s="8">
        <v>0</v>
      </c>
      <c r="I725" s="8">
        <f>Table1[[#This Row],[kids]]+Table1[[#This Row],[teens]]</f>
        <v>0</v>
      </c>
      <c r="J725" s="9">
        <v>41318</v>
      </c>
      <c r="K725" s="8">
        <v>79</v>
      </c>
      <c r="L725" s="6">
        <v>597</v>
      </c>
      <c r="M725" s="5">
        <v>166</v>
      </c>
      <c r="N725" s="5">
        <v>597</v>
      </c>
      <c r="O725" s="5">
        <v>172</v>
      </c>
      <c r="P725" s="5">
        <v>166</v>
      </c>
      <c r="Q725" s="5">
        <v>249</v>
      </c>
      <c r="R725" s="8">
        <v>1</v>
      </c>
      <c r="S725" s="8">
        <v>5</v>
      </c>
      <c r="T725" s="8">
        <v>6</v>
      </c>
      <c r="U725" s="8">
        <v>4</v>
      </c>
      <c r="V725" s="8">
        <v>3</v>
      </c>
      <c r="W725" t="s">
        <v>473</v>
      </c>
      <c r="X725" t="s">
        <v>473</v>
      </c>
      <c r="Y725" t="s">
        <v>473</v>
      </c>
      <c r="Z725" t="s">
        <v>473</v>
      </c>
      <c r="AA725" t="s">
        <v>473</v>
      </c>
      <c r="AB725" t="s">
        <v>473</v>
      </c>
      <c r="AC725" s="10">
        <v>3</v>
      </c>
      <c r="AD725" s="10">
        <v>11</v>
      </c>
      <c r="AE725" t="s">
        <v>473</v>
      </c>
    </row>
    <row r="726" spans="1:31" x14ac:dyDescent="0.25">
      <c r="A726">
        <v>4692</v>
      </c>
      <c r="B726">
        <v>1976</v>
      </c>
      <c r="C726" t="s">
        <v>466</v>
      </c>
      <c r="D726" t="s">
        <v>34</v>
      </c>
      <c r="E726" t="str">
        <f>IF(OR(Table1[[#This Row],[marital_status]]="Married", Table1[[#This Row],[marital_status]]="Together"), "Partnered", "Single")</f>
        <v>Partnered</v>
      </c>
      <c r="F726" s="7">
        <v>7500</v>
      </c>
      <c r="G726" s="8">
        <v>1</v>
      </c>
      <c r="H726" s="8">
        <v>0</v>
      </c>
      <c r="I726" s="8">
        <f>Table1[[#This Row],[kids]]+Table1[[#This Row],[teens]]</f>
        <v>1</v>
      </c>
      <c r="J726" s="9">
        <v>41122</v>
      </c>
      <c r="K726" s="8">
        <v>19</v>
      </c>
      <c r="L726" s="6">
        <v>7</v>
      </c>
      <c r="M726" s="5">
        <v>0</v>
      </c>
      <c r="N726" s="5">
        <v>12</v>
      </c>
      <c r="O726" s="5">
        <v>13</v>
      </c>
      <c r="P726" s="5">
        <v>7</v>
      </c>
      <c r="Q726" s="5">
        <v>32</v>
      </c>
      <c r="R726" s="8">
        <v>5</v>
      </c>
      <c r="S726" s="8">
        <v>4</v>
      </c>
      <c r="T726" s="8">
        <v>1</v>
      </c>
      <c r="U726" s="8">
        <v>2</v>
      </c>
      <c r="V726" s="8">
        <v>9</v>
      </c>
      <c r="W726" t="s">
        <v>474</v>
      </c>
      <c r="X726" t="s">
        <v>473</v>
      </c>
      <c r="Y726" t="s">
        <v>473</v>
      </c>
      <c r="Z726" t="s">
        <v>473</v>
      </c>
      <c r="AA726" t="s">
        <v>473</v>
      </c>
      <c r="AB726" t="s">
        <v>473</v>
      </c>
      <c r="AC726" s="10">
        <v>3</v>
      </c>
      <c r="AD726" s="10">
        <v>11</v>
      </c>
      <c r="AE726" t="s">
        <v>474</v>
      </c>
    </row>
    <row r="727" spans="1:31" x14ac:dyDescent="0.25">
      <c r="A727">
        <v>7212</v>
      </c>
      <c r="B727">
        <v>1966</v>
      </c>
      <c r="C727" t="s">
        <v>466</v>
      </c>
      <c r="D727" t="s">
        <v>34</v>
      </c>
      <c r="E727" t="str">
        <f>IF(OR(Table1[[#This Row],[marital_status]]="Married", Table1[[#This Row],[marital_status]]="Together"), "Partnered", "Single")</f>
        <v>Partnered</v>
      </c>
      <c r="F727" s="7">
        <v>44794</v>
      </c>
      <c r="G727" s="8">
        <v>0</v>
      </c>
      <c r="H727" s="8">
        <v>1</v>
      </c>
      <c r="I727" s="8">
        <f>Table1[[#This Row],[kids]]+Table1[[#This Row],[teens]]</f>
        <v>1</v>
      </c>
      <c r="J727" s="9">
        <v>41798</v>
      </c>
      <c r="K727" s="8">
        <v>99</v>
      </c>
      <c r="L727" s="6">
        <v>54</v>
      </c>
      <c r="M727" s="5">
        <v>0</v>
      </c>
      <c r="N727" s="5">
        <v>7</v>
      </c>
      <c r="O727" s="5">
        <v>0</v>
      </c>
      <c r="P727" s="5">
        <v>0</v>
      </c>
      <c r="Q727" s="5">
        <v>4</v>
      </c>
      <c r="R727" s="8">
        <v>1</v>
      </c>
      <c r="S727" s="8">
        <v>2</v>
      </c>
      <c r="T727" s="8">
        <v>0</v>
      </c>
      <c r="U727" s="8">
        <v>3</v>
      </c>
      <c r="V727" s="8">
        <v>6</v>
      </c>
      <c r="W727" t="s">
        <v>473</v>
      </c>
      <c r="X727" t="s">
        <v>473</v>
      </c>
      <c r="Y727" t="s">
        <v>473</v>
      </c>
      <c r="Z727" t="s">
        <v>473</v>
      </c>
      <c r="AA727" t="s">
        <v>473</v>
      </c>
      <c r="AB727" t="s">
        <v>473</v>
      </c>
      <c r="AC727" s="10">
        <v>3</v>
      </c>
      <c r="AD727" s="10">
        <v>11</v>
      </c>
      <c r="AE727" t="s">
        <v>473</v>
      </c>
    </row>
    <row r="728" spans="1:31" x14ac:dyDescent="0.25">
      <c r="A728">
        <v>6086</v>
      </c>
      <c r="B728">
        <v>1955</v>
      </c>
      <c r="C728" t="s">
        <v>466</v>
      </c>
      <c r="D728" t="s">
        <v>34</v>
      </c>
      <c r="E728" t="str">
        <f>IF(OR(Table1[[#This Row],[marital_status]]="Married", Table1[[#This Row],[marital_status]]="Together"), "Partnered", "Single")</f>
        <v>Partnered</v>
      </c>
      <c r="F728" s="7">
        <v>80395</v>
      </c>
      <c r="G728" s="8">
        <v>0</v>
      </c>
      <c r="H728" s="8">
        <v>0</v>
      </c>
      <c r="I728" s="8">
        <f>Table1[[#This Row],[kids]]+Table1[[#This Row],[teens]]</f>
        <v>0</v>
      </c>
      <c r="J728" s="9">
        <v>41601</v>
      </c>
      <c r="K728" s="8">
        <v>62</v>
      </c>
      <c r="L728" s="6">
        <v>445</v>
      </c>
      <c r="M728" s="5">
        <v>25</v>
      </c>
      <c r="N728" s="5">
        <v>706</v>
      </c>
      <c r="O728" s="5">
        <v>80</v>
      </c>
      <c r="P728" s="5">
        <v>76</v>
      </c>
      <c r="Q728" s="5">
        <v>48</v>
      </c>
      <c r="R728" s="8">
        <v>1</v>
      </c>
      <c r="S728" s="8">
        <v>6</v>
      </c>
      <c r="T728" s="8">
        <v>5</v>
      </c>
      <c r="U728" s="8">
        <v>12</v>
      </c>
      <c r="V728" s="8">
        <v>2</v>
      </c>
      <c r="W728" t="s">
        <v>473</v>
      </c>
      <c r="X728" t="s">
        <v>473</v>
      </c>
      <c r="Y728" t="s">
        <v>473</v>
      </c>
      <c r="Z728" t="s">
        <v>474</v>
      </c>
      <c r="AA728" t="s">
        <v>473</v>
      </c>
      <c r="AB728" t="s">
        <v>473</v>
      </c>
      <c r="AC728" s="10">
        <v>3</v>
      </c>
      <c r="AD728" s="10">
        <v>11</v>
      </c>
      <c r="AE728" t="s">
        <v>473</v>
      </c>
    </row>
    <row r="729" spans="1:31" x14ac:dyDescent="0.25">
      <c r="A729">
        <v>437</v>
      </c>
      <c r="B729">
        <v>1976</v>
      </c>
      <c r="C729" t="s">
        <v>36</v>
      </c>
      <c r="D729" t="s">
        <v>37</v>
      </c>
      <c r="E729" t="str">
        <f>IF(OR(Table1[[#This Row],[marital_status]]="Married", Table1[[#This Row],[marital_status]]="Together"), "Partnered", "Single")</f>
        <v>Single</v>
      </c>
      <c r="F729" s="7">
        <v>75012</v>
      </c>
      <c r="G729" s="8">
        <v>0</v>
      </c>
      <c r="H729" s="8">
        <v>0</v>
      </c>
      <c r="I729" s="8">
        <f>Table1[[#This Row],[kids]]+Table1[[#This Row],[teens]]</f>
        <v>0</v>
      </c>
      <c r="J729" s="9">
        <v>41664</v>
      </c>
      <c r="K729" s="8">
        <v>41</v>
      </c>
      <c r="L729" s="6">
        <v>294</v>
      </c>
      <c r="M729" s="5">
        <v>142</v>
      </c>
      <c r="N729" s="5">
        <v>218</v>
      </c>
      <c r="O729" s="5">
        <v>164</v>
      </c>
      <c r="P729" s="5">
        <v>58</v>
      </c>
      <c r="Q729" s="5">
        <v>151</v>
      </c>
      <c r="R729" s="8">
        <v>1</v>
      </c>
      <c r="S729" s="8">
        <v>3</v>
      </c>
      <c r="T729" s="8">
        <v>8</v>
      </c>
      <c r="U729" s="8">
        <v>11</v>
      </c>
      <c r="V729" s="8">
        <v>1</v>
      </c>
      <c r="W729" t="s">
        <v>473</v>
      </c>
      <c r="X729" t="s">
        <v>473</v>
      </c>
      <c r="Y729" t="s">
        <v>473</v>
      </c>
      <c r="Z729" t="s">
        <v>473</v>
      </c>
      <c r="AA729" t="s">
        <v>473</v>
      </c>
      <c r="AB729" t="s">
        <v>473</v>
      </c>
      <c r="AC729" s="10">
        <v>3</v>
      </c>
      <c r="AD729" s="10">
        <v>11</v>
      </c>
      <c r="AE729" t="s">
        <v>473</v>
      </c>
    </row>
    <row r="730" spans="1:31" x14ac:dyDescent="0.25">
      <c r="A730">
        <v>11171</v>
      </c>
      <c r="B730">
        <v>1965</v>
      </c>
      <c r="C730" t="s">
        <v>36</v>
      </c>
      <c r="D730" t="s">
        <v>34</v>
      </c>
      <c r="E730" t="str">
        <f>IF(OR(Table1[[#This Row],[marital_status]]="Married", Table1[[#This Row],[marital_status]]="Together"), "Partnered", "Single")</f>
        <v>Partnered</v>
      </c>
      <c r="F730" s="7">
        <v>56962</v>
      </c>
      <c r="G730" s="8">
        <v>2</v>
      </c>
      <c r="H730" s="8">
        <v>1</v>
      </c>
      <c r="I730" s="8">
        <f>Table1[[#This Row],[kids]]+Table1[[#This Row],[teens]]</f>
        <v>3</v>
      </c>
      <c r="J730" s="9">
        <v>41558</v>
      </c>
      <c r="K730" s="8">
        <v>60</v>
      </c>
      <c r="L730" s="6">
        <v>292</v>
      </c>
      <c r="M730" s="5">
        <v>3</v>
      </c>
      <c r="N730" s="5">
        <v>77</v>
      </c>
      <c r="O730" s="5">
        <v>10</v>
      </c>
      <c r="P730" s="5">
        <v>3</v>
      </c>
      <c r="Q730" s="5">
        <v>26</v>
      </c>
      <c r="R730" s="8">
        <v>7</v>
      </c>
      <c r="S730" s="8">
        <v>6</v>
      </c>
      <c r="T730" s="8">
        <v>3</v>
      </c>
      <c r="U730" s="8">
        <v>5</v>
      </c>
      <c r="V730" s="8">
        <v>7</v>
      </c>
      <c r="W730" t="s">
        <v>473</v>
      </c>
      <c r="X730" t="s">
        <v>473</v>
      </c>
      <c r="Y730" t="s">
        <v>473</v>
      </c>
      <c r="Z730" t="s">
        <v>473</v>
      </c>
      <c r="AA730" t="s">
        <v>473</v>
      </c>
      <c r="AB730" t="s">
        <v>473</v>
      </c>
      <c r="AC730" s="10">
        <v>3</v>
      </c>
      <c r="AD730" s="10">
        <v>11</v>
      </c>
      <c r="AE730" t="s">
        <v>473</v>
      </c>
    </row>
    <row r="731" spans="1:31" x14ac:dyDescent="0.25">
      <c r="A731">
        <v>11101</v>
      </c>
      <c r="B731">
        <v>1991</v>
      </c>
      <c r="C731" t="s">
        <v>466</v>
      </c>
      <c r="D731" t="s">
        <v>31</v>
      </c>
      <c r="E731" t="str">
        <f>IF(OR(Table1[[#This Row],[marital_status]]="Married", Table1[[#This Row],[marital_status]]="Together"), "Partnered", "Single")</f>
        <v>Partnered</v>
      </c>
      <c r="F731" s="7">
        <v>89891</v>
      </c>
      <c r="G731" s="8">
        <v>0</v>
      </c>
      <c r="H731" s="8">
        <v>0</v>
      </c>
      <c r="I731" s="8">
        <f>Table1[[#This Row],[kids]]+Table1[[#This Row],[teens]]</f>
        <v>0</v>
      </c>
      <c r="J731" s="9">
        <v>41379</v>
      </c>
      <c r="K731" s="8">
        <v>17</v>
      </c>
      <c r="L731" s="6">
        <v>412</v>
      </c>
      <c r="M731" s="5">
        <v>22</v>
      </c>
      <c r="N731" s="5">
        <v>132</v>
      </c>
      <c r="O731" s="5">
        <v>59</v>
      </c>
      <c r="P731" s="5">
        <v>28</v>
      </c>
      <c r="Q731" s="5">
        <v>183</v>
      </c>
      <c r="R731" s="8">
        <v>1</v>
      </c>
      <c r="S731" s="8">
        <v>11</v>
      </c>
      <c r="T731" s="8">
        <v>6</v>
      </c>
      <c r="U731" s="8">
        <v>8</v>
      </c>
      <c r="V731" s="8">
        <v>4</v>
      </c>
      <c r="W731" t="s">
        <v>473</v>
      </c>
      <c r="X731" t="s">
        <v>473</v>
      </c>
      <c r="Y731" t="s">
        <v>474</v>
      </c>
      <c r="Z731" t="s">
        <v>473</v>
      </c>
      <c r="AA731" t="s">
        <v>473</v>
      </c>
      <c r="AB731" t="s">
        <v>473</v>
      </c>
      <c r="AC731" s="10">
        <v>3</v>
      </c>
      <c r="AD731" s="10">
        <v>11</v>
      </c>
      <c r="AE731" t="s">
        <v>473</v>
      </c>
    </row>
    <row r="732" spans="1:31" x14ac:dyDescent="0.25">
      <c r="A732">
        <v>5329</v>
      </c>
      <c r="B732">
        <v>1949</v>
      </c>
      <c r="C732" t="s">
        <v>33</v>
      </c>
      <c r="D732" t="s">
        <v>37</v>
      </c>
      <c r="E732" t="str">
        <f>IF(OR(Table1[[#This Row],[marital_status]]="Married", Table1[[#This Row],[marital_status]]="Together"), "Partnered", "Single")</f>
        <v>Single</v>
      </c>
      <c r="F732" s="7">
        <v>35946</v>
      </c>
      <c r="G732" s="8">
        <v>1</v>
      </c>
      <c r="H732" s="8">
        <v>1</v>
      </c>
      <c r="I732" s="8">
        <f>Table1[[#This Row],[kids]]+Table1[[#This Row],[teens]]</f>
        <v>2</v>
      </c>
      <c r="J732" s="9">
        <v>41544</v>
      </c>
      <c r="K732" s="8">
        <v>24</v>
      </c>
      <c r="L732" s="6">
        <v>8</v>
      </c>
      <c r="M732" s="5">
        <v>0</v>
      </c>
      <c r="N732" s="5">
        <v>3</v>
      </c>
      <c r="O732" s="5">
        <v>0</v>
      </c>
      <c r="P732" s="5">
        <v>0</v>
      </c>
      <c r="Q732" s="5">
        <v>0</v>
      </c>
      <c r="R732" s="8">
        <v>1</v>
      </c>
      <c r="S732" s="8">
        <v>0</v>
      </c>
      <c r="T732" s="8">
        <v>0</v>
      </c>
      <c r="U732" s="8">
        <v>3</v>
      </c>
      <c r="V732" s="8">
        <v>5</v>
      </c>
      <c r="W732" t="s">
        <v>473</v>
      </c>
      <c r="X732" t="s">
        <v>473</v>
      </c>
      <c r="Y732" t="s">
        <v>473</v>
      </c>
      <c r="Z732" t="s">
        <v>473</v>
      </c>
      <c r="AA732" t="s">
        <v>473</v>
      </c>
      <c r="AB732" t="s">
        <v>473</v>
      </c>
      <c r="AC732" s="10">
        <v>3</v>
      </c>
      <c r="AD732" s="10">
        <v>11</v>
      </c>
      <c r="AE732" t="s">
        <v>473</v>
      </c>
    </row>
    <row r="733" spans="1:31" x14ac:dyDescent="0.25">
      <c r="A733">
        <v>610</v>
      </c>
      <c r="B733">
        <v>1953</v>
      </c>
      <c r="C733" t="s">
        <v>33</v>
      </c>
      <c r="D733" t="s">
        <v>31</v>
      </c>
      <c r="E733" t="str">
        <f>IF(OR(Table1[[#This Row],[marital_status]]="Married", Table1[[#This Row],[marital_status]]="Together"), "Partnered", "Single")</f>
        <v>Partnered</v>
      </c>
      <c r="F733" s="7">
        <v>53593</v>
      </c>
      <c r="G733" s="8">
        <v>1</v>
      </c>
      <c r="H733" s="8">
        <v>1</v>
      </c>
      <c r="I733" s="8">
        <f>Table1[[#This Row],[kids]]+Table1[[#This Row],[teens]]</f>
        <v>2</v>
      </c>
      <c r="J733" s="9">
        <v>41128</v>
      </c>
      <c r="K733" s="8">
        <v>60</v>
      </c>
      <c r="L733" s="6">
        <v>349</v>
      </c>
      <c r="M733" s="5">
        <v>4</v>
      </c>
      <c r="N733" s="5">
        <v>78</v>
      </c>
      <c r="O733" s="5">
        <v>6</v>
      </c>
      <c r="P733" s="5">
        <v>0</v>
      </c>
      <c r="Q733" s="5">
        <v>43</v>
      </c>
      <c r="R733" s="8">
        <v>8</v>
      </c>
      <c r="S733" s="8">
        <v>7</v>
      </c>
      <c r="T733" s="8">
        <v>2</v>
      </c>
      <c r="U733" s="8">
        <v>6</v>
      </c>
      <c r="V733" s="8">
        <v>8</v>
      </c>
      <c r="W733" t="s">
        <v>473</v>
      </c>
      <c r="X733" t="s">
        <v>473</v>
      </c>
      <c r="Y733" t="s">
        <v>473</v>
      </c>
      <c r="Z733" t="s">
        <v>473</v>
      </c>
      <c r="AA733" t="s">
        <v>473</v>
      </c>
      <c r="AB733" t="s">
        <v>473</v>
      </c>
      <c r="AC733" s="10">
        <v>3</v>
      </c>
      <c r="AD733" s="10">
        <v>11</v>
      </c>
      <c r="AE733" t="s">
        <v>473</v>
      </c>
    </row>
    <row r="734" spans="1:31" x14ac:dyDescent="0.25">
      <c r="A734">
        <v>9384</v>
      </c>
      <c r="B734">
        <v>1978</v>
      </c>
      <c r="C734" t="s">
        <v>466</v>
      </c>
      <c r="D734" t="s">
        <v>34</v>
      </c>
      <c r="E734" t="str">
        <f>IF(OR(Table1[[#This Row],[marital_status]]="Married", Table1[[#This Row],[marital_status]]="Together"), "Partnered", "Single")</f>
        <v>Partnered</v>
      </c>
      <c r="F734" s="7">
        <v>66373</v>
      </c>
      <c r="G734" s="8">
        <v>1</v>
      </c>
      <c r="H734" s="8">
        <v>1</v>
      </c>
      <c r="I734" s="8">
        <f>Table1[[#This Row],[kids]]+Table1[[#This Row],[teens]]</f>
        <v>2</v>
      </c>
      <c r="J734" s="9">
        <v>41437</v>
      </c>
      <c r="K734" s="8">
        <v>57</v>
      </c>
      <c r="L734" s="6">
        <v>328</v>
      </c>
      <c r="M734" s="5">
        <v>9</v>
      </c>
      <c r="N734" s="5">
        <v>124</v>
      </c>
      <c r="O734" s="5">
        <v>12</v>
      </c>
      <c r="P734" s="5">
        <v>24</v>
      </c>
      <c r="Q734" s="5">
        <v>109</v>
      </c>
      <c r="R734" s="8">
        <v>7</v>
      </c>
      <c r="S734" s="8">
        <v>4</v>
      </c>
      <c r="T734" s="8">
        <v>2</v>
      </c>
      <c r="U734" s="8">
        <v>10</v>
      </c>
      <c r="V734" s="8">
        <v>3</v>
      </c>
      <c r="W734" t="s">
        <v>473</v>
      </c>
      <c r="X734" t="s">
        <v>473</v>
      </c>
      <c r="Y734" t="s">
        <v>473</v>
      </c>
      <c r="Z734" t="s">
        <v>473</v>
      </c>
      <c r="AA734" t="s">
        <v>473</v>
      </c>
      <c r="AB734" t="s">
        <v>473</v>
      </c>
      <c r="AC734" s="10">
        <v>3</v>
      </c>
      <c r="AD734" s="10">
        <v>11</v>
      </c>
      <c r="AE734" t="s">
        <v>473</v>
      </c>
    </row>
    <row r="735" spans="1:31" x14ac:dyDescent="0.25">
      <c r="A735">
        <v>5956</v>
      </c>
      <c r="B735">
        <v>1948</v>
      </c>
      <c r="C735" t="s">
        <v>33</v>
      </c>
      <c r="D735" t="s">
        <v>37</v>
      </c>
      <c r="E735" t="str">
        <f>IF(OR(Table1[[#This Row],[marital_status]]="Married", Table1[[#This Row],[marital_status]]="Together"), "Partnered", "Single")</f>
        <v>Single</v>
      </c>
      <c r="F735" s="7">
        <v>45072</v>
      </c>
      <c r="G735" s="8">
        <v>1</v>
      </c>
      <c r="H735" s="8">
        <v>2</v>
      </c>
      <c r="I735" s="8">
        <f>Table1[[#This Row],[kids]]+Table1[[#This Row],[teens]]</f>
        <v>3</v>
      </c>
      <c r="J735" s="9">
        <v>41563</v>
      </c>
      <c r="K735" s="8">
        <v>74</v>
      </c>
      <c r="L735" s="6">
        <v>144</v>
      </c>
      <c r="M735" s="5">
        <v>2</v>
      </c>
      <c r="N735" s="5">
        <v>99</v>
      </c>
      <c r="O735" s="5">
        <v>7</v>
      </c>
      <c r="P735" s="5">
        <v>2</v>
      </c>
      <c r="Q735" s="5">
        <v>30</v>
      </c>
      <c r="R735" s="8">
        <v>5</v>
      </c>
      <c r="S735" s="8">
        <v>6</v>
      </c>
      <c r="T735" s="8">
        <v>1</v>
      </c>
      <c r="U735" s="8">
        <v>4</v>
      </c>
      <c r="V735" s="8">
        <v>8</v>
      </c>
      <c r="W735" t="s">
        <v>473</v>
      </c>
      <c r="X735" t="s">
        <v>473</v>
      </c>
      <c r="Y735" t="s">
        <v>473</v>
      </c>
      <c r="Z735" t="s">
        <v>473</v>
      </c>
      <c r="AA735" t="s">
        <v>473</v>
      </c>
      <c r="AB735" t="s">
        <v>473</v>
      </c>
      <c r="AC735" s="10">
        <v>3</v>
      </c>
      <c r="AD735" s="10">
        <v>11</v>
      </c>
      <c r="AE735" t="s">
        <v>473</v>
      </c>
    </row>
    <row r="736" spans="1:31" x14ac:dyDescent="0.25">
      <c r="A736">
        <v>10430</v>
      </c>
      <c r="B736">
        <v>1973</v>
      </c>
      <c r="C736" t="s">
        <v>466</v>
      </c>
      <c r="D736" t="s">
        <v>37</v>
      </c>
      <c r="E736" t="str">
        <f>IF(OR(Table1[[#This Row],[marital_status]]="Married", Table1[[#This Row],[marital_status]]="Together"), "Partnered", "Single")</f>
        <v>Single</v>
      </c>
      <c r="F736" s="7">
        <v>89694</v>
      </c>
      <c r="G736" s="8">
        <v>1</v>
      </c>
      <c r="H736" s="8">
        <v>1</v>
      </c>
      <c r="I736" s="8">
        <f>Table1[[#This Row],[kids]]+Table1[[#This Row],[teens]]</f>
        <v>2</v>
      </c>
      <c r="J736" s="9">
        <v>41556</v>
      </c>
      <c r="K736" s="8">
        <v>22</v>
      </c>
      <c r="L736" s="6">
        <v>1126</v>
      </c>
      <c r="M736" s="5">
        <v>28</v>
      </c>
      <c r="N736" s="5">
        <v>211</v>
      </c>
      <c r="O736" s="5">
        <v>37</v>
      </c>
      <c r="P736" s="5">
        <v>28</v>
      </c>
      <c r="Q736" s="5">
        <v>42</v>
      </c>
      <c r="R736" s="8">
        <v>3</v>
      </c>
      <c r="S736" s="8">
        <v>4</v>
      </c>
      <c r="T736" s="8">
        <v>3</v>
      </c>
      <c r="U736" s="8">
        <v>4</v>
      </c>
      <c r="V736" s="8">
        <v>5</v>
      </c>
      <c r="W736" t="s">
        <v>473</v>
      </c>
      <c r="X736" t="s">
        <v>474</v>
      </c>
      <c r="Y736" t="s">
        <v>474</v>
      </c>
      <c r="Z736" t="s">
        <v>474</v>
      </c>
      <c r="AA736" t="s">
        <v>473</v>
      </c>
      <c r="AB736" t="s">
        <v>473</v>
      </c>
      <c r="AC736" s="10">
        <v>3</v>
      </c>
      <c r="AD736" s="10">
        <v>11</v>
      </c>
      <c r="AE736" t="s">
        <v>473</v>
      </c>
    </row>
    <row r="737" spans="1:31" x14ac:dyDescent="0.25">
      <c r="A737">
        <v>7875</v>
      </c>
      <c r="B737">
        <v>1949</v>
      </c>
      <c r="C737" t="s">
        <v>466</v>
      </c>
      <c r="D737" t="s">
        <v>34</v>
      </c>
      <c r="E737" t="str">
        <f>IF(OR(Table1[[#This Row],[marital_status]]="Married", Table1[[#This Row],[marital_status]]="Together"), "Partnered", "Single")</f>
        <v>Partnered</v>
      </c>
      <c r="F737" s="7">
        <v>72025</v>
      </c>
      <c r="G737" s="8">
        <v>0</v>
      </c>
      <c r="H737" s="8">
        <v>0</v>
      </c>
      <c r="I737" s="8">
        <f>Table1[[#This Row],[kids]]+Table1[[#This Row],[teens]]</f>
        <v>0</v>
      </c>
      <c r="J737" s="9">
        <v>41758</v>
      </c>
      <c r="K737" s="8">
        <v>46</v>
      </c>
      <c r="L737" s="6">
        <v>967</v>
      </c>
      <c r="M737" s="5">
        <v>0</v>
      </c>
      <c r="N737" s="5">
        <v>617</v>
      </c>
      <c r="O737" s="5">
        <v>43</v>
      </c>
      <c r="P737" s="5">
        <v>50</v>
      </c>
      <c r="Q737" s="5">
        <v>0</v>
      </c>
      <c r="R737" s="8">
        <v>1</v>
      </c>
      <c r="S737" s="8">
        <v>4</v>
      </c>
      <c r="T737" s="8">
        <v>8</v>
      </c>
      <c r="U737" s="8">
        <v>13</v>
      </c>
      <c r="V737" s="8">
        <v>2</v>
      </c>
      <c r="W737" t="s">
        <v>473</v>
      </c>
      <c r="X737" t="s">
        <v>474</v>
      </c>
      <c r="Y737" t="s">
        <v>474</v>
      </c>
      <c r="Z737" t="s">
        <v>474</v>
      </c>
      <c r="AA737" t="s">
        <v>473</v>
      </c>
      <c r="AB737" t="s">
        <v>473</v>
      </c>
      <c r="AC737" s="10">
        <v>3</v>
      </c>
      <c r="AD737" s="10">
        <v>11</v>
      </c>
      <c r="AE737" t="s">
        <v>474</v>
      </c>
    </row>
    <row r="738" spans="1:31" x14ac:dyDescent="0.25">
      <c r="A738">
        <v>7072</v>
      </c>
      <c r="B738">
        <v>1973</v>
      </c>
      <c r="C738" t="s">
        <v>466</v>
      </c>
      <c r="D738" t="s">
        <v>34</v>
      </c>
      <c r="E738" t="str">
        <f>IF(OR(Table1[[#This Row],[marital_status]]="Married", Table1[[#This Row],[marital_status]]="Together"), "Partnered", "Single")</f>
        <v>Partnered</v>
      </c>
      <c r="F738" s="7">
        <v>67432</v>
      </c>
      <c r="G738" s="8">
        <v>0</v>
      </c>
      <c r="H738" s="8">
        <v>1</v>
      </c>
      <c r="I738" s="8">
        <f>Table1[[#This Row],[kids]]+Table1[[#This Row],[teens]]</f>
        <v>1</v>
      </c>
      <c r="J738" s="9">
        <v>41362</v>
      </c>
      <c r="K738" s="8">
        <v>69</v>
      </c>
      <c r="L738" s="6">
        <v>432</v>
      </c>
      <c r="M738" s="5">
        <v>79</v>
      </c>
      <c r="N738" s="5">
        <v>341</v>
      </c>
      <c r="O738" s="5">
        <v>177</v>
      </c>
      <c r="P738" s="5">
        <v>136</v>
      </c>
      <c r="Q738" s="5">
        <v>170</v>
      </c>
      <c r="R738" s="8">
        <v>2</v>
      </c>
      <c r="S738" s="8">
        <v>8</v>
      </c>
      <c r="T738" s="8">
        <v>5</v>
      </c>
      <c r="U738" s="8">
        <v>4</v>
      </c>
      <c r="V738" s="8">
        <v>4</v>
      </c>
      <c r="W738" t="s">
        <v>473</v>
      </c>
      <c r="X738" t="s">
        <v>473</v>
      </c>
      <c r="Y738" t="s">
        <v>473</v>
      </c>
      <c r="Z738" t="s">
        <v>473</v>
      </c>
      <c r="AA738" t="s">
        <v>473</v>
      </c>
      <c r="AB738" t="s">
        <v>473</v>
      </c>
      <c r="AC738" s="10">
        <v>3</v>
      </c>
      <c r="AD738" s="10">
        <v>11</v>
      </c>
      <c r="AE738" t="s">
        <v>473</v>
      </c>
    </row>
    <row r="739" spans="1:31" x14ac:dyDescent="0.25">
      <c r="A739">
        <v>6255</v>
      </c>
      <c r="B739">
        <v>1952</v>
      </c>
      <c r="C739" t="s">
        <v>36</v>
      </c>
      <c r="D739" t="s">
        <v>31</v>
      </c>
      <c r="E739" t="str">
        <f>IF(OR(Table1[[#This Row],[marital_status]]="Married", Table1[[#This Row],[marital_status]]="Together"), "Partnered", "Single")</f>
        <v>Partnered</v>
      </c>
      <c r="F739" s="7">
        <v>70545</v>
      </c>
      <c r="G739" s="8">
        <v>0</v>
      </c>
      <c r="H739" s="8">
        <v>1</v>
      </c>
      <c r="I739" s="8">
        <f>Table1[[#This Row],[kids]]+Table1[[#This Row],[teens]]</f>
        <v>1</v>
      </c>
      <c r="J739" s="9">
        <v>41793</v>
      </c>
      <c r="K739" s="8">
        <v>29</v>
      </c>
      <c r="L739" s="6">
        <v>138</v>
      </c>
      <c r="M739" s="5">
        <v>39</v>
      </c>
      <c r="N739" s="5">
        <v>63</v>
      </c>
      <c r="O739" s="5">
        <v>55</v>
      </c>
      <c r="P739" s="5">
        <v>18</v>
      </c>
      <c r="Q739" s="5">
        <v>21</v>
      </c>
      <c r="R739" s="8">
        <v>1</v>
      </c>
      <c r="S739" s="8">
        <v>4</v>
      </c>
      <c r="T739" s="8">
        <v>1</v>
      </c>
      <c r="U739" s="8">
        <v>7</v>
      </c>
      <c r="V739" s="8">
        <v>2</v>
      </c>
      <c r="W739" t="s">
        <v>473</v>
      </c>
      <c r="X739" t="s">
        <v>473</v>
      </c>
      <c r="Y739" t="s">
        <v>473</v>
      </c>
      <c r="Z739" t="s">
        <v>473</v>
      </c>
      <c r="AA739" t="s">
        <v>473</v>
      </c>
      <c r="AB739" t="s">
        <v>473</v>
      </c>
      <c r="AC739" s="10">
        <v>3</v>
      </c>
      <c r="AD739" s="10">
        <v>11</v>
      </c>
      <c r="AE739" t="s">
        <v>473</v>
      </c>
    </row>
    <row r="740" spans="1:31" x14ac:dyDescent="0.25">
      <c r="A740">
        <v>6516</v>
      </c>
      <c r="B740">
        <v>1989</v>
      </c>
      <c r="C740" t="s">
        <v>41</v>
      </c>
      <c r="D740" t="s">
        <v>34</v>
      </c>
      <c r="E740" t="str">
        <f>IF(OR(Table1[[#This Row],[marital_status]]="Married", Table1[[#This Row],[marital_status]]="Together"), "Partnered", "Single")</f>
        <v>Partnered</v>
      </c>
      <c r="F740" s="7">
        <v>17487</v>
      </c>
      <c r="G740" s="8">
        <v>1</v>
      </c>
      <c r="H740" s="8">
        <v>0</v>
      </c>
      <c r="I740" s="8">
        <f>Table1[[#This Row],[kids]]+Table1[[#This Row],[teens]]</f>
        <v>1</v>
      </c>
      <c r="J740" s="9">
        <v>41351</v>
      </c>
      <c r="K740" s="8">
        <v>37</v>
      </c>
      <c r="L740" s="6">
        <v>0</v>
      </c>
      <c r="M740" s="5">
        <v>0</v>
      </c>
      <c r="N740" s="5">
        <v>1</v>
      </c>
      <c r="O740" s="5">
        <v>7</v>
      </c>
      <c r="P740" s="5">
        <v>4</v>
      </c>
      <c r="Q740" s="5">
        <v>6</v>
      </c>
      <c r="R740" s="8">
        <v>1</v>
      </c>
      <c r="S740" s="8">
        <v>1</v>
      </c>
      <c r="T740" s="8">
        <v>0</v>
      </c>
      <c r="U740" s="8">
        <v>2</v>
      </c>
      <c r="V740" s="8">
        <v>7</v>
      </c>
      <c r="W740" t="s">
        <v>473</v>
      </c>
      <c r="X740" t="s">
        <v>473</v>
      </c>
      <c r="Y740" t="s">
        <v>473</v>
      </c>
      <c r="Z740" t="s">
        <v>473</v>
      </c>
      <c r="AA740" t="s">
        <v>473</v>
      </c>
      <c r="AB740" t="s">
        <v>473</v>
      </c>
      <c r="AC740" s="10">
        <v>3</v>
      </c>
      <c r="AD740" s="10">
        <v>11</v>
      </c>
      <c r="AE740" t="s">
        <v>473</v>
      </c>
    </row>
    <row r="741" spans="1:31" x14ac:dyDescent="0.25">
      <c r="A741">
        <v>5564</v>
      </c>
      <c r="B741">
        <v>1969</v>
      </c>
      <c r="C741" t="s">
        <v>466</v>
      </c>
      <c r="D741" t="s">
        <v>31</v>
      </c>
      <c r="E741" t="str">
        <f>IF(OR(Table1[[#This Row],[marital_status]]="Married", Table1[[#This Row],[marital_status]]="Together"), "Partnered", "Single")</f>
        <v>Partnered</v>
      </c>
      <c r="F741" s="7">
        <v>62882</v>
      </c>
      <c r="G741" s="8">
        <v>0</v>
      </c>
      <c r="H741" s="8">
        <v>1</v>
      </c>
      <c r="I741" s="8">
        <f>Table1[[#This Row],[kids]]+Table1[[#This Row],[teens]]</f>
        <v>1</v>
      </c>
      <c r="J741" s="9">
        <v>41130</v>
      </c>
      <c r="K741" s="8">
        <v>26</v>
      </c>
      <c r="L741" s="6">
        <v>509</v>
      </c>
      <c r="M741" s="5">
        <v>133</v>
      </c>
      <c r="N741" s="5">
        <v>497</v>
      </c>
      <c r="O741" s="5">
        <v>78</v>
      </c>
      <c r="P741" s="5">
        <v>24</v>
      </c>
      <c r="Q741" s="5">
        <v>97</v>
      </c>
      <c r="R741" s="8">
        <v>2</v>
      </c>
      <c r="S741" s="8">
        <v>7</v>
      </c>
      <c r="T741" s="8">
        <v>5</v>
      </c>
      <c r="U741" s="8">
        <v>6</v>
      </c>
      <c r="V741" s="8">
        <v>4</v>
      </c>
      <c r="W741" t="s">
        <v>473</v>
      </c>
      <c r="X741" t="s">
        <v>473</v>
      </c>
      <c r="Y741" t="s">
        <v>473</v>
      </c>
      <c r="Z741" t="s">
        <v>473</v>
      </c>
      <c r="AA741" t="s">
        <v>473</v>
      </c>
      <c r="AB741" t="s">
        <v>473</v>
      </c>
      <c r="AC741" s="10">
        <v>3</v>
      </c>
      <c r="AD741" s="10">
        <v>11</v>
      </c>
      <c r="AE741" t="s">
        <v>473</v>
      </c>
    </row>
    <row r="742" spans="1:31" x14ac:dyDescent="0.25">
      <c r="A742">
        <v>5682</v>
      </c>
      <c r="B742">
        <v>1953</v>
      </c>
      <c r="C742" t="s">
        <v>33</v>
      </c>
      <c r="D742" t="s">
        <v>30</v>
      </c>
      <c r="E742" t="str">
        <f>IF(OR(Table1[[#This Row],[marital_status]]="Married", Table1[[#This Row],[marital_status]]="Together"), "Partnered", "Single")</f>
        <v>Single</v>
      </c>
      <c r="F742" s="7">
        <v>64108</v>
      </c>
      <c r="G742" s="8">
        <v>0</v>
      </c>
      <c r="H742" s="8">
        <v>1</v>
      </c>
      <c r="I742" s="8">
        <f>Table1[[#This Row],[kids]]+Table1[[#This Row],[teens]]</f>
        <v>1</v>
      </c>
      <c r="J742" s="9">
        <v>41356</v>
      </c>
      <c r="K742" s="8">
        <v>8</v>
      </c>
      <c r="L742" s="6">
        <v>948</v>
      </c>
      <c r="M742" s="5">
        <v>10</v>
      </c>
      <c r="N742" s="5">
        <v>86</v>
      </c>
      <c r="O742" s="5">
        <v>13</v>
      </c>
      <c r="P742" s="5">
        <v>21</v>
      </c>
      <c r="Q742" s="5">
        <v>21</v>
      </c>
      <c r="R742" s="8">
        <v>4</v>
      </c>
      <c r="S742" s="8">
        <v>6</v>
      </c>
      <c r="T742" s="8">
        <v>9</v>
      </c>
      <c r="U742" s="8">
        <v>11</v>
      </c>
      <c r="V742" s="8">
        <v>5</v>
      </c>
      <c r="W742" t="s">
        <v>473</v>
      </c>
      <c r="X742" t="s">
        <v>473</v>
      </c>
      <c r="Y742" t="s">
        <v>473</v>
      </c>
      <c r="Z742" t="s">
        <v>473</v>
      </c>
      <c r="AA742" t="s">
        <v>473</v>
      </c>
      <c r="AB742" t="s">
        <v>473</v>
      </c>
      <c r="AC742" s="10">
        <v>3</v>
      </c>
      <c r="AD742" s="10">
        <v>11</v>
      </c>
      <c r="AE742" t="s">
        <v>473</v>
      </c>
    </row>
    <row r="743" spans="1:31" x14ac:dyDescent="0.25">
      <c r="A743">
        <v>7458</v>
      </c>
      <c r="B743">
        <v>1956</v>
      </c>
      <c r="C743" t="s">
        <v>36</v>
      </c>
      <c r="D743" t="s">
        <v>31</v>
      </c>
      <c r="E743" t="str">
        <f>IF(OR(Table1[[#This Row],[marital_status]]="Married", Table1[[#This Row],[marital_status]]="Together"), "Partnered", "Single")</f>
        <v>Partnered</v>
      </c>
      <c r="F743" s="7">
        <v>34941</v>
      </c>
      <c r="G743" s="8">
        <v>1</v>
      </c>
      <c r="H743" s="8">
        <v>1</v>
      </c>
      <c r="I743" s="8">
        <f>Table1[[#This Row],[kids]]+Table1[[#This Row],[teens]]</f>
        <v>2</v>
      </c>
      <c r="J743" s="9">
        <v>41339</v>
      </c>
      <c r="K743" s="8">
        <v>26</v>
      </c>
      <c r="L743" s="6">
        <v>39</v>
      </c>
      <c r="M743" s="5">
        <v>2</v>
      </c>
      <c r="N743" s="5">
        <v>25</v>
      </c>
      <c r="O743" s="5">
        <v>4</v>
      </c>
      <c r="P743" s="5">
        <v>3</v>
      </c>
      <c r="Q743" s="5">
        <v>24</v>
      </c>
      <c r="R743" s="8">
        <v>2</v>
      </c>
      <c r="S743" s="8">
        <v>3</v>
      </c>
      <c r="T743" s="8">
        <v>0</v>
      </c>
      <c r="U743" s="8">
        <v>3</v>
      </c>
      <c r="V743" s="8">
        <v>8</v>
      </c>
      <c r="W743" t="s">
        <v>473</v>
      </c>
      <c r="X743" t="s">
        <v>473</v>
      </c>
      <c r="Y743" t="s">
        <v>473</v>
      </c>
      <c r="Z743" t="s">
        <v>473</v>
      </c>
      <c r="AA743" t="s">
        <v>473</v>
      </c>
      <c r="AB743" t="s">
        <v>473</v>
      </c>
      <c r="AC743" s="10">
        <v>3</v>
      </c>
      <c r="AD743" s="10">
        <v>11</v>
      </c>
      <c r="AE743" t="s">
        <v>473</v>
      </c>
    </row>
    <row r="744" spans="1:31" x14ac:dyDescent="0.25">
      <c r="A744">
        <v>5237</v>
      </c>
      <c r="B744">
        <v>1950</v>
      </c>
      <c r="C744" t="s">
        <v>33</v>
      </c>
      <c r="D744" t="s">
        <v>30</v>
      </c>
      <c r="E744" t="str">
        <f>IF(OR(Table1[[#This Row],[marital_status]]="Married", Table1[[#This Row],[marital_status]]="Together"), "Partnered", "Single")</f>
        <v>Single</v>
      </c>
      <c r="F744" s="7">
        <v>48767</v>
      </c>
      <c r="G744" s="8">
        <v>1</v>
      </c>
      <c r="H744" s="8">
        <v>2</v>
      </c>
      <c r="I744" s="8">
        <f>Table1[[#This Row],[kids]]+Table1[[#This Row],[teens]]</f>
        <v>3</v>
      </c>
      <c r="J744" s="9">
        <v>41640</v>
      </c>
      <c r="K744" s="8">
        <v>79</v>
      </c>
      <c r="L744" s="6">
        <v>28</v>
      </c>
      <c r="M744" s="5">
        <v>1</v>
      </c>
      <c r="N744" s="5">
        <v>21</v>
      </c>
      <c r="O744" s="5">
        <v>3</v>
      </c>
      <c r="P744" s="5">
        <v>0</v>
      </c>
      <c r="Q744" s="5">
        <v>10</v>
      </c>
      <c r="R744" s="8">
        <v>3</v>
      </c>
      <c r="S744" s="8">
        <v>2</v>
      </c>
      <c r="T744" s="8">
        <v>1</v>
      </c>
      <c r="U744" s="8">
        <v>3</v>
      </c>
      <c r="V744" s="8">
        <v>5</v>
      </c>
      <c r="W744" t="s">
        <v>473</v>
      </c>
      <c r="X744" t="s">
        <v>473</v>
      </c>
      <c r="Y744" t="s">
        <v>473</v>
      </c>
      <c r="Z744" t="s">
        <v>473</v>
      </c>
      <c r="AA744" t="s">
        <v>473</v>
      </c>
      <c r="AB744" t="s">
        <v>473</v>
      </c>
      <c r="AC744" s="10">
        <v>3</v>
      </c>
      <c r="AD744" s="10">
        <v>11</v>
      </c>
      <c r="AE744" t="s">
        <v>473</v>
      </c>
    </row>
    <row r="745" spans="1:31" x14ac:dyDescent="0.25">
      <c r="A745">
        <v>7761</v>
      </c>
      <c r="B745">
        <v>1978</v>
      </c>
      <c r="C745" t="s">
        <v>46</v>
      </c>
      <c r="D745" t="s">
        <v>31</v>
      </c>
      <c r="E745" t="str">
        <f>IF(OR(Table1[[#This Row],[marital_status]]="Married", Table1[[#This Row],[marital_status]]="Together"), "Partnered", "Single")</f>
        <v>Partnered</v>
      </c>
      <c r="F745" s="7">
        <v>38702</v>
      </c>
      <c r="G745" s="8">
        <v>1</v>
      </c>
      <c r="H745" s="8">
        <v>0</v>
      </c>
      <c r="I745" s="8">
        <f>Table1[[#This Row],[kids]]+Table1[[#This Row],[teens]]</f>
        <v>1</v>
      </c>
      <c r="J745" s="9">
        <v>41487</v>
      </c>
      <c r="K745" s="8">
        <v>71</v>
      </c>
      <c r="L745" s="6">
        <v>13</v>
      </c>
      <c r="M745" s="5">
        <v>11</v>
      </c>
      <c r="N745" s="5">
        <v>24</v>
      </c>
      <c r="O745" s="5">
        <v>13</v>
      </c>
      <c r="P745" s="5">
        <v>8</v>
      </c>
      <c r="Q745" s="5">
        <v>40</v>
      </c>
      <c r="R745" s="8">
        <v>2</v>
      </c>
      <c r="S745" s="8">
        <v>3</v>
      </c>
      <c r="T745" s="8">
        <v>0</v>
      </c>
      <c r="U745" s="8">
        <v>4</v>
      </c>
      <c r="V745" s="8">
        <v>6</v>
      </c>
      <c r="W745" t="s">
        <v>473</v>
      </c>
      <c r="X745" t="s">
        <v>473</v>
      </c>
      <c r="Y745" t="s">
        <v>473</v>
      </c>
      <c r="Z745" t="s">
        <v>473</v>
      </c>
      <c r="AA745" t="s">
        <v>473</v>
      </c>
      <c r="AB745" t="s">
        <v>473</v>
      </c>
      <c r="AC745" s="10">
        <v>3</v>
      </c>
      <c r="AD745" s="10">
        <v>11</v>
      </c>
      <c r="AE745" t="s">
        <v>473</v>
      </c>
    </row>
    <row r="746" spans="1:31" x14ac:dyDescent="0.25">
      <c r="A746">
        <v>5278</v>
      </c>
      <c r="B746">
        <v>1964</v>
      </c>
      <c r="C746" t="s">
        <v>466</v>
      </c>
      <c r="D746" t="s">
        <v>34</v>
      </c>
      <c r="E746" t="str">
        <f>IF(OR(Table1[[#This Row],[marital_status]]="Married", Table1[[#This Row],[marital_status]]="Together"), "Partnered", "Single")</f>
        <v>Partnered</v>
      </c>
      <c r="F746" s="7">
        <v>82224</v>
      </c>
      <c r="G746" s="8">
        <v>0</v>
      </c>
      <c r="H746" s="8">
        <v>0</v>
      </c>
      <c r="I746" s="8">
        <f>Table1[[#This Row],[kids]]+Table1[[#This Row],[teens]]</f>
        <v>0</v>
      </c>
      <c r="J746" s="9">
        <v>41664</v>
      </c>
      <c r="K746" s="8">
        <v>83</v>
      </c>
      <c r="L746" s="6">
        <v>307</v>
      </c>
      <c r="M746" s="5">
        <v>26</v>
      </c>
      <c r="N746" s="5">
        <v>360</v>
      </c>
      <c r="O746" s="5">
        <v>138</v>
      </c>
      <c r="P746" s="5">
        <v>31</v>
      </c>
      <c r="Q746" s="5">
        <v>40</v>
      </c>
      <c r="R746" s="8">
        <v>1</v>
      </c>
      <c r="S746" s="8">
        <v>6</v>
      </c>
      <c r="T746" s="8">
        <v>9</v>
      </c>
      <c r="U746" s="8">
        <v>5</v>
      </c>
      <c r="V746" s="8">
        <v>3</v>
      </c>
      <c r="W746" t="s">
        <v>473</v>
      </c>
      <c r="X746" t="s">
        <v>473</v>
      </c>
      <c r="Y746" t="s">
        <v>473</v>
      </c>
      <c r="Z746" t="s">
        <v>474</v>
      </c>
      <c r="AA746" t="s">
        <v>473</v>
      </c>
      <c r="AB746" t="s">
        <v>473</v>
      </c>
      <c r="AC746" s="10">
        <v>3</v>
      </c>
      <c r="AD746" s="10">
        <v>11</v>
      </c>
      <c r="AE746" t="s">
        <v>473</v>
      </c>
    </row>
    <row r="747" spans="1:31" x14ac:dyDescent="0.25">
      <c r="A747">
        <v>3560</v>
      </c>
      <c r="B747">
        <v>1952</v>
      </c>
      <c r="C747" t="s">
        <v>466</v>
      </c>
      <c r="D747" t="s">
        <v>31</v>
      </c>
      <c r="E747" t="str">
        <f>IF(OR(Table1[[#This Row],[marital_status]]="Married", Table1[[#This Row],[marital_status]]="Together"), "Partnered", "Single")</f>
        <v>Partnered</v>
      </c>
      <c r="F747" s="7">
        <v>83844</v>
      </c>
      <c r="G747" s="8">
        <v>0</v>
      </c>
      <c r="H747" s="8">
        <v>0</v>
      </c>
      <c r="I747" s="8">
        <f>Table1[[#This Row],[kids]]+Table1[[#This Row],[teens]]</f>
        <v>0</v>
      </c>
      <c r="J747" s="9">
        <v>41406</v>
      </c>
      <c r="K747" s="8">
        <v>57</v>
      </c>
      <c r="L747" s="6">
        <v>901</v>
      </c>
      <c r="M747" s="5">
        <v>31</v>
      </c>
      <c r="N747" s="5">
        <v>345</v>
      </c>
      <c r="O747" s="5">
        <v>75</v>
      </c>
      <c r="P747" s="5">
        <v>31</v>
      </c>
      <c r="Q747" s="5">
        <v>191</v>
      </c>
      <c r="R747" s="8">
        <v>1</v>
      </c>
      <c r="S747" s="8">
        <v>4</v>
      </c>
      <c r="T747" s="8">
        <v>4</v>
      </c>
      <c r="U747" s="8">
        <v>11</v>
      </c>
      <c r="V747" s="8">
        <v>1</v>
      </c>
      <c r="W747" t="s">
        <v>473</v>
      </c>
      <c r="X747" t="s">
        <v>473</v>
      </c>
      <c r="Y747" t="s">
        <v>474</v>
      </c>
      <c r="Z747" t="s">
        <v>473</v>
      </c>
      <c r="AA747" t="s">
        <v>473</v>
      </c>
      <c r="AB747" t="s">
        <v>473</v>
      </c>
      <c r="AC747" s="10">
        <v>3</v>
      </c>
      <c r="AD747" s="10">
        <v>11</v>
      </c>
      <c r="AE747" t="s">
        <v>473</v>
      </c>
    </row>
    <row r="748" spans="1:31" x14ac:dyDescent="0.25">
      <c r="A748">
        <v>7235</v>
      </c>
      <c r="B748">
        <v>1975</v>
      </c>
      <c r="C748" t="s">
        <v>46</v>
      </c>
      <c r="D748" t="s">
        <v>34</v>
      </c>
      <c r="E748" t="str">
        <f>IF(OR(Table1[[#This Row],[marital_status]]="Married", Table1[[#This Row],[marital_status]]="Together"), "Partnered", "Single")</f>
        <v>Partnered</v>
      </c>
      <c r="F748" s="7">
        <v>17003</v>
      </c>
      <c r="G748" s="8">
        <v>1</v>
      </c>
      <c r="H748" s="8">
        <v>0</v>
      </c>
      <c r="I748" s="8">
        <f>Table1[[#This Row],[kids]]+Table1[[#This Row],[teens]]</f>
        <v>1</v>
      </c>
      <c r="J748" s="9">
        <v>41617</v>
      </c>
      <c r="K748" s="8">
        <v>37</v>
      </c>
      <c r="L748" s="6">
        <v>2</v>
      </c>
      <c r="M748" s="5">
        <v>5</v>
      </c>
      <c r="N748" s="5">
        <v>12</v>
      </c>
      <c r="O748" s="5">
        <v>4</v>
      </c>
      <c r="P748" s="5">
        <v>8</v>
      </c>
      <c r="Q748" s="5">
        <v>7</v>
      </c>
      <c r="R748" s="8">
        <v>3</v>
      </c>
      <c r="S748" s="8">
        <v>2</v>
      </c>
      <c r="T748" s="8">
        <v>0</v>
      </c>
      <c r="U748" s="8">
        <v>4</v>
      </c>
      <c r="V748" s="8">
        <v>5</v>
      </c>
      <c r="W748" t="s">
        <v>473</v>
      </c>
      <c r="X748" t="s">
        <v>473</v>
      </c>
      <c r="Y748" t="s">
        <v>473</v>
      </c>
      <c r="Z748" t="s">
        <v>473</v>
      </c>
      <c r="AA748" t="s">
        <v>473</v>
      </c>
      <c r="AB748" t="s">
        <v>473</v>
      </c>
      <c r="AC748" s="10">
        <v>3</v>
      </c>
      <c r="AD748" s="10">
        <v>11</v>
      </c>
      <c r="AE748" t="s">
        <v>473</v>
      </c>
    </row>
    <row r="749" spans="1:31" x14ac:dyDescent="0.25">
      <c r="A749">
        <v>10548</v>
      </c>
      <c r="B749">
        <v>1995</v>
      </c>
      <c r="C749" t="s">
        <v>466</v>
      </c>
      <c r="D749" t="s">
        <v>30</v>
      </c>
      <c r="E749" t="str">
        <f>IF(OR(Table1[[#This Row],[marital_status]]="Married", Table1[[#This Row],[marital_status]]="Together"), "Partnered", "Single")</f>
        <v>Single</v>
      </c>
      <c r="F749" s="7">
        <v>71163</v>
      </c>
      <c r="G749" s="8">
        <v>0</v>
      </c>
      <c r="H749" s="8">
        <v>0</v>
      </c>
      <c r="I749" s="8">
        <f>Table1[[#This Row],[kids]]+Table1[[#This Row],[teens]]</f>
        <v>0</v>
      </c>
      <c r="J749" s="9">
        <v>41707</v>
      </c>
      <c r="K749" s="8">
        <v>30</v>
      </c>
      <c r="L749" s="6">
        <v>283</v>
      </c>
      <c r="M749" s="5">
        <v>17</v>
      </c>
      <c r="N749" s="5">
        <v>372</v>
      </c>
      <c r="O749" s="5">
        <v>138</v>
      </c>
      <c r="P749" s="5">
        <v>106</v>
      </c>
      <c r="Q749" s="5">
        <v>44</v>
      </c>
      <c r="R749" s="8">
        <v>1</v>
      </c>
      <c r="S749" s="8">
        <v>3</v>
      </c>
      <c r="T749" s="8">
        <v>8</v>
      </c>
      <c r="U749" s="8">
        <v>12</v>
      </c>
      <c r="V749" s="8">
        <v>1</v>
      </c>
      <c r="W749" t="s">
        <v>473</v>
      </c>
      <c r="X749" t="s">
        <v>473</v>
      </c>
      <c r="Y749" t="s">
        <v>473</v>
      </c>
      <c r="Z749" t="s">
        <v>473</v>
      </c>
      <c r="AA749" t="s">
        <v>473</v>
      </c>
      <c r="AB749" t="s">
        <v>473</v>
      </c>
      <c r="AC749" s="10">
        <v>3</v>
      </c>
      <c r="AD749" s="10">
        <v>11</v>
      </c>
      <c r="AE749" t="s">
        <v>473</v>
      </c>
    </row>
    <row r="750" spans="1:31" x14ac:dyDescent="0.25">
      <c r="A750">
        <v>2281</v>
      </c>
      <c r="B750">
        <v>1970</v>
      </c>
      <c r="C750" t="s">
        <v>466</v>
      </c>
      <c r="D750" t="s">
        <v>30</v>
      </c>
      <c r="E750" t="str">
        <f>IF(OR(Table1[[#This Row],[marital_status]]="Married", Table1[[#This Row],[marital_status]]="Together"), "Partnered", "Single")</f>
        <v>Single</v>
      </c>
      <c r="F750" s="7">
        <v>33697</v>
      </c>
      <c r="G750" s="8">
        <v>1</v>
      </c>
      <c r="H750" s="8">
        <v>0</v>
      </c>
      <c r="I750" s="8">
        <f>Table1[[#This Row],[kids]]+Table1[[#This Row],[teens]]</f>
        <v>1</v>
      </c>
      <c r="J750" s="9">
        <v>41532</v>
      </c>
      <c r="K750" s="8">
        <v>34</v>
      </c>
      <c r="L750" s="6">
        <v>4</v>
      </c>
      <c r="M750" s="5">
        <v>3</v>
      </c>
      <c r="N750" s="5">
        <v>7</v>
      </c>
      <c r="O750" s="5">
        <v>0</v>
      </c>
      <c r="P750" s="5">
        <v>3</v>
      </c>
      <c r="Q750" s="5">
        <v>11</v>
      </c>
      <c r="R750" s="8">
        <v>1</v>
      </c>
      <c r="S750" s="8">
        <v>1</v>
      </c>
      <c r="T750" s="8">
        <v>0</v>
      </c>
      <c r="U750" s="8">
        <v>2</v>
      </c>
      <c r="V750" s="8">
        <v>7</v>
      </c>
      <c r="W750" t="s">
        <v>474</v>
      </c>
      <c r="X750" t="s">
        <v>473</v>
      </c>
      <c r="Y750" t="s">
        <v>473</v>
      </c>
      <c r="Z750" t="s">
        <v>473</v>
      </c>
      <c r="AA750" t="s">
        <v>473</v>
      </c>
      <c r="AB750" t="s">
        <v>473</v>
      </c>
      <c r="AC750" s="10">
        <v>3</v>
      </c>
      <c r="AD750" s="10">
        <v>11</v>
      </c>
      <c r="AE750" t="s">
        <v>473</v>
      </c>
    </row>
    <row r="751" spans="1:31" x14ac:dyDescent="0.25">
      <c r="A751">
        <v>4073</v>
      </c>
      <c r="B751">
        <v>1954</v>
      </c>
      <c r="C751" t="s">
        <v>46</v>
      </c>
      <c r="D751" t="s">
        <v>34</v>
      </c>
      <c r="E751" t="str">
        <f>IF(OR(Table1[[#This Row],[marital_status]]="Married", Table1[[#This Row],[marital_status]]="Together"), "Partnered", "Single")</f>
        <v>Partnered</v>
      </c>
      <c r="F751" s="7">
        <v>63564</v>
      </c>
      <c r="G751" s="8">
        <v>0</v>
      </c>
      <c r="H751" s="8">
        <v>0</v>
      </c>
      <c r="I751" s="8">
        <f>Table1[[#This Row],[kids]]+Table1[[#This Row],[teens]]</f>
        <v>0</v>
      </c>
      <c r="J751" s="9">
        <v>41668</v>
      </c>
      <c r="K751" s="8">
        <v>0</v>
      </c>
      <c r="L751" s="6">
        <v>769</v>
      </c>
      <c r="M751" s="5">
        <v>80</v>
      </c>
      <c r="N751" s="5">
        <v>252</v>
      </c>
      <c r="O751" s="5">
        <v>15</v>
      </c>
      <c r="P751" s="5">
        <v>34</v>
      </c>
      <c r="Q751" s="5">
        <v>65</v>
      </c>
      <c r="R751" s="8">
        <v>1</v>
      </c>
      <c r="S751" s="8">
        <v>10</v>
      </c>
      <c r="T751" s="8">
        <v>10</v>
      </c>
      <c r="U751" s="8">
        <v>7</v>
      </c>
      <c r="V751" s="8">
        <v>6</v>
      </c>
      <c r="W751" t="s">
        <v>474</v>
      </c>
      <c r="X751" t="s">
        <v>473</v>
      </c>
      <c r="Y751" t="s">
        <v>473</v>
      </c>
      <c r="Z751" t="s">
        <v>473</v>
      </c>
      <c r="AA751" t="s">
        <v>473</v>
      </c>
      <c r="AB751" t="s">
        <v>473</v>
      </c>
      <c r="AC751" s="10">
        <v>3</v>
      </c>
      <c r="AD751" s="10">
        <v>11</v>
      </c>
      <c r="AE751" t="s">
        <v>474</v>
      </c>
    </row>
    <row r="752" spans="1:31" x14ac:dyDescent="0.25">
      <c r="A752">
        <v>6974</v>
      </c>
      <c r="B752">
        <v>1972</v>
      </c>
      <c r="C752" t="s">
        <v>33</v>
      </c>
      <c r="D752" t="s">
        <v>31</v>
      </c>
      <c r="E752" t="str">
        <f>IF(OR(Table1[[#This Row],[marital_status]]="Married", Table1[[#This Row],[marital_status]]="Together"), "Partnered", "Single")</f>
        <v>Partnered</v>
      </c>
      <c r="F752" s="7">
        <v>83443</v>
      </c>
      <c r="G752" s="8">
        <v>0</v>
      </c>
      <c r="H752" s="8">
        <v>0</v>
      </c>
      <c r="I752" s="8">
        <f>Table1[[#This Row],[kids]]+Table1[[#This Row],[teens]]</f>
        <v>0</v>
      </c>
      <c r="J752" s="9">
        <v>41639</v>
      </c>
      <c r="K752" s="8">
        <v>89</v>
      </c>
      <c r="L752" s="6">
        <v>518</v>
      </c>
      <c r="M752" s="5">
        <v>42</v>
      </c>
      <c r="N752" s="5">
        <v>742</v>
      </c>
      <c r="O752" s="5">
        <v>55</v>
      </c>
      <c r="P752" s="5">
        <v>56</v>
      </c>
      <c r="Q752" s="5">
        <v>84</v>
      </c>
      <c r="R752" s="8">
        <v>1</v>
      </c>
      <c r="S752" s="8">
        <v>6</v>
      </c>
      <c r="T752" s="8">
        <v>10</v>
      </c>
      <c r="U752" s="8">
        <v>5</v>
      </c>
      <c r="V752" s="8">
        <v>2</v>
      </c>
      <c r="W752" t="s">
        <v>473</v>
      </c>
      <c r="X752" t="s">
        <v>473</v>
      </c>
      <c r="Y752" t="s">
        <v>473</v>
      </c>
      <c r="Z752" t="s">
        <v>473</v>
      </c>
      <c r="AA752" t="s">
        <v>473</v>
      </c>
      <c r="AB752" t="s">
        <v>473</v>
      </c>
      <c r="AC752" s="10">
        <v>3</v>
      </c>
      <c r="AD752" s="10">
        <v>11</v>
      </c>
      <c r="AE752" t="s">
        <v>473</v>
      </c>
    </row>
    <row r="753" spans="1:31" x14ac:dyDescent="0.25">
      <c r="A753">
        <v>7938</v>
      </c>
      <c r="B753">
        <v>1958</v>
      </c>
      <c r="C753" t="s">
        <v>33</v>
      </c>
      <c r="D753" t="s">
        <v>31</v>
      </c>
      <c r="E753" t="str">
        <f>IF(OR(Table1[[#This Row],[marital_status]]="Married", Table1[[#This Row],[marital_status]]="Together"), "Partnered", "Single")</f>
        <v>Partnered</v>
      </c>
      <c r="F753" s="7">
        <v>51518</v>
      </c>
      <c r="G753" s="8">
        <v>0</v>
      </c>
      <c r="H753" s="8">
        <v>1</v>
      </c>
      <c r="I753" s="8">
        <f>Table1[[#This Row],[kids]]+Table1[[#This Row],[teens]]</f>
        <v>1</v>
      </c>
      <c r="J753" s="9">
        <v>41550</v>
      </c>
      <c r="K753" s="8">
        <v>92</v>
      </c>
      <c r="L753" s="6">
        <v>350</v>
      </c>
      <c r="M753" s="5">
        <v>8</v>
      </c>
      <c r="N753" s="5">
        <v>66</v>
      </c>
      <c r="O753" s="5">
        <v>17</v>
      </c>
      <c r="P753" s="5">
        <v>4</v>
      </c>
      <c r="Q753" s="5">
        <v>4</v>
      </c>
      <c r="R753" s="8">
        <v>2</v>
      </c>
      <c r="S753" s="8">
        <v>3</v>
      </c>
      <c r="T753" s="8">
        <v>2</v>
      </c>
      <c r="U753" s="8">
        <v>10</v>
      </c>
      <c r="V753" s="8">
        <v>3</v>
      </c>
      <c r="W753" t="s">
        <v>473</v>
      </c>
      <c r="X753" t="s">
        <v>473</v>
      </c>
      <c r="Y753" t="s">
        <v>473</v>
      </c>
      <c r="Z753" t="s">
        <v>473</v>
      </c>
      <c r="AA753" t="s">
        <v>473</v>
      </c>
      <c r="AB753" t="s">
        <v>473</v>
      </c>
      <c r="AC753" s="10">
        <v>3</v>
      </c>
      <c r="AD753" s="10">
        <v>11</v>
      </c>
      <c r="AE753" t="s">
        <v>473</v>
      </c>
    </row>
    <row r="754" spans="1:31" x14ac:dyDescent="0.25">
      <c r="A754">
        <v>7094</v>
      </c>
      <c r="B754">
        <v>1975</v>
      </c>
      <c r="C754" t="s">
        <v>466</v>
      </c>
      <c r="D754" t="s">
        <v>57</v>
      </c>
      <c r="E754" t="str">
        <f>IF(OR(Table1[[#This Row],[marital_status]]="Married", Table1[[#This Row],[marital_status]]="Together"), "Partnered", "Single")</f>
        <v>Single</v>
      </c>
      <c r="F754" s="7">
        <v>58330</v>
      </c>
      <c r="G754" s="8">
        <v>0</v>
      </c>
      <c r="H754" s="8">
        <v>1</v>
      </c>
      <c r="I754" s="8">
        <f>Table1[[#This Row],[kids]]+Table1[[#This Row],[teens]]</f>
        <v>1</v>
      </c>
      <c r="J754" s="9">
        <v>41633</v>
      </c>
      <c r="K754" s="8">
        <v>87</v>
      </c>
      <c r="L754" s="6">
        <v>445</v>
      </c>
      <c r="M754" s="5">
        <v>53</v>
      </c>
      <c r="N754" s="5">
        <v>213</v>
      </c>
      <c r="O754" s="5">
        <v>104</v>
      </c>
      <c r="P754" s="5">
        <v>98</v>
      </c>
      <c r="Q754" s="5">
        <v>151</v>
      </c>
      <c r="R754" s="8">
        <v>1</v>
      </c>
      <c r="S754" s="8">
        <v>6</v>
      </c>
      <c r="T754" s="8">
        <v>4</v>
      </c>
      <c r="U754" s="8">
        <v>13</v>
      </c>
      <c r="V754" s="8">
        <v>4</v>
      </c>
      <c r="W754" t="s">
        <v>473</v>
      </c>
      <c r="X754" t="s">
        <v>473</v>
      </c>
      <c r="Y754" t="s">
        <v>473</v>
      </c>
      <c r="Z754" t="s">
        <v>473</v>
      </c>
      <c r="AA754" t="s">
        <v>473</v>
      </c>
      <c r="AB754" t="s">
        <v>473</v>
      </c>
      <c r="AC754" s="10">
        <v>3</v>
      </c>
      <c r="AD754" s="10">
        <v>11</v>
      </c>
      <c r="AE754" t="s">
        <v>473</v>
      </c>
    </row>
    <row r="755" spans="1:31" x14ac:dyDescent="0.25">
      <c r="A755">
        <v>3667</v>
      </c>
      <c r="B755">
        <v>1969</v>
      </c>
      <c r="C755" t="s">
        <v>466</v>
      </c>
      <c r="D755" t="s">
        <v>34</v>
      </c>
      <c r="E755" t="str">
        <f>IF(OR(Table1[[#This Row],[marital_status]]="Married", Table1[[#This Row],[marital_status]]="Together"), "Partnered", "Single")</f>
        <v>Partnered</v>
      </c>
      <c r="F755" s="7">
        <v>80952</v>
      </c>
      <c r="G755" s="8">
        <v>0</v>
      </c>
      <c r="H755" s="8">
        <v>0</v>
      </c>
      <c r="I755" s="8">
        <f>Table1[[#This Row],[kids]]+Table1[[#This Row],[teens]]</f>
        <v>0</v>
      </c>
      <c r="J755" s="9">
        <v>41333</v>
      </c>
      <c r="K755" s="8">
        <v>20</v>
      </c>
      <c r="L755" s="6">
        <v>778</v>
      </c>
      <c r="M755" s="5">
        <v>178</v>
      </c>
      <c r="N755" s="5">
        <v>689</v>
      </c>
      <c r="O755" s="5">
        <v>41</v>
      </c>
      <c r="P755" s="5">
        <v>27</v>
      </c>
      <c r="Q755" s="5">
        <v>44</v>
      </c>
      <c r="R755" s="8">
        <v>1</v>
      </c>
      <c r="S755" s="8">
        <v>8</v>
      </c>
      <c r="T755" s="8">
        <v>5</v>
      </c>
      <c r="U755" s="8">
        <v>11</v>
      </c>
      <c r="V755" s="8">
        <v>8</v>
      </c>
      <c r="W755" t="s">
        <v>473</v>
      </c>
      <c r="X755" t="s">
        <v>474</v>
      </c>
      <c r="Y755" t="s">
        <v>474</v>
      </c>
      <c r="Z755" t="s">
        <v>474</v>
      </c>
      <c r="AA755" t="s">
        <v>473</v>
      </c>
      <c r="AB755" t="s">
        <v>473</v>
      </c>
      <c r="AC755" s="10">
        <v>3</v>
      </c>
      <c r="AD755" s="10">
        <v>11</v>
      </c>
      <c r="AE755" t="s">
        <v>474</v>
      </c>
    </row>
    <row r="756" spans="1:31" x14ac:dyDescent="0.25">
      <c r="A756">
        <v>7723</v>
      </c>
      <c r="B756">
        <v>1979</v>
      </c>
      <c r="C756" t="s">
        <v>466</v>
      </c>
      <c r="D756" t="s">
        <v>31</v>
      </c>
      <c r="E756" t="str">
        <f>IF(OR(Table1[[#This Row],[marital_status]]="Married", Table1[[#This Row],[marital_status]]="Together"), "Partnered", "Single")</f>
        <v>Partnered</v>
      </c>
      <c r="F756" s="7">
        <v>75507</v>
      </c>
      <c r="G756" s="8">
        <v>0</v>
      </c>
      <c r="H756" s="8">
        <v>0</v>
      </c>
      <c r="I756" s="8">
        <f>Table1[[#This Row],[kids]]+Table1[[#This Row],[teens]]</f>
        <v>0</v>
      </c>
      <c r="J756" s="9">
        <v>41761</v>
      </c>
      <c r="K756" s="8">
        <v>56</v>
      </c>
      <c r="L756" s="6">
        <v>709</v>
      </c>
      <c r="M756" s="5">
        <v>93</v>
      </c>
      <c r="N756" s="5">
        <v>374</v>
      </c>
      <c r="O756" s="5">
        <v>104</v>
      </c>
      <c r="P756" s="5">
        <v>80</v>
      </c>
      <c r="Q756" s="5">
        <v>80</v>
      </c>
      <c r="R756" s="8">
        <v>1</v>
      </c>
      <c r="S756" s="8">
        <v>8</v>
      </c>
      <c r="T756" s="8">
        <v>6</v>
      </c>
      <c r="U756" s="8">
        <v>6</v>
      </c>
      <c r="V756" s="8">
        <v>3</v>
      </c>
      <c r="W756" t="s">
        <v>473</v>
      </c>
      <c r="X756" t="s">
        <v>473</v>
      </c>
      <c r="Y756" t="s">
        <v>473</v>
      </c>
      <c r="Z756" t="s">
        <v>473</v>
      </c>
      <c r="AA756" t="s">
        <v>473</v>
      </c>
      <c r="AB756" t="s">
        <v>473</v>
      </c>
      <c r="AC756" s="10">
        <v>3</v>
      </c>
      <c r="AD756" s="10">
        <v>11</v>
      </c>
      <c r="AE756" t="s">
        <v>473</v>
      </c>
    </row>
    <row r="757" spans="1:31" x14ac:dyDescent="0.25">
      <c r="A757">
        <v>3870</v>
      </c>
      <c r="B757">
        <v>1978</v>
      </c>
      <c r="C757" t="s">
        <v>46</v>
      </c>
      <c r="D757" t="s">
        <v>31</v>
      </c>
      <c r="E757" t="str">
        <f>IF(OR(Table1[[#This Row],[marital_status]]="Married", Table1[[#This Row],[marital_status]]="Together"), "Partnered", "Single")</f>
        <v>Partnered</v>
      </c>
      <c r="F757" s="7">
        <v>63855</v>
      </c>
      <c r="G757" s="8">
        <v>0</v>
      </c>
      <c r="H757" s="8">
        <v>0</v>
      </c>
      <c r="I757" s="8">
        <f>Table1[[#This Row],[kids]]+Table1[[#This Row],[teens]]</f>
        <v>0</v>
      </c>
      <c r="J757" s="9">
        <v>41314</v>
      </c>
      <c r="K757" s="8">
        <v>28</v>
      </c>
      <c r="L757" s="6">
        <v>359</v>
      </c>
      <c r="M757" s="5">
        <v>35</v>
      </c>
      <c r="N757" s="5">
        <v>314</v>
      </c>
      <c r="O757" s="5">
        <v>93</v>
      </c>
      <c r="P757" s="5">
        <v>116</v>
      </c>
      <c r="Q757" s="5">
        <v>89</v>
      </c>
      <c r="R757" s="8">
        <v>1</v>
      </c>
      <c r="S757" s="8">
        <v>7</v>
      </c>
      <c r="T757" s="8">
        <v>3</v>
      </c>
      <c r="U757" s="8">
        <v>13</v>
      </c>
      <c r="V757" s="8">
        <v>4</v>
      </c>
      <c r="W757" t="s">
        <v>473</v>
      </c>
      <c r="X757" t="s">
        <v>473</v>
      </c>
      <c r="Y757" t="s">
        <v>473</v>
      </c>
      <c r="Z757" t="s">
        <v>473</v>
      </c>
      <c r="AA757" t="s">
        <v>473</v>
      </c>
      <c r="AB757" t="s">
        <v>473</v>
      </c>
      <c r="AC757" s="10">
        <v>3</v>
      </c>
      <c r="AD757" s="10">
        <v>11</v>
      </c>
      <c r="AE757" t="s">
        <v>473</v>
      </c>
    </row>
    <row r="758" spans="1:31" x14ac:dyDescent="0.25">
      <c r="A758">
        <v>4012</v>
      </c>
      <c r="B758">
        <v>1972</v>
      </c>
      <c r="C758" t="s">
        <v>33</v>
      </c>
      <c r="D758" t="s">
        <v>31</v>
      </c>
      <c r="E758" t="str">
        <f>IF(OR(Table1[[#This Row],[marital_status]]="Married", Table1[[#This Row],[marital_status]]="Together"), "Partnered", "Single")</f>
        <v>Partnered</v>
      </c>
      <c r="F758" s="7">
        <v>62220</v>
      </c>
      <c r="G758" s="8">
        <v>0</v>
      </c>
      <c r="H758" s="8">
        <v>1</v>
      </c>
      <c r="I758" s="8">
        <f>Table1[[#This Row],[kids]]+Table1[[#This Row],[teens]]</f>
        <v>1</v>
      </c>
      <c r="J758" s="9">
        <v>41132</v>
      </c>
      <c r="K758" s="8">
        <v>55</v>
      </c>
      <c r="L758" s="6">
        <v>799</v>
      </c>
      <c r="M758" s="5">
        <v>12</v>
      </c>
      <c r="N758" s="5">
        <v>375</v>
      </c>
      <c r="O758" s="5">
        <v>16</v>
      </c>
      <c r="P758" s="5">
        <v>12</v>
      </c>
      <c r="Q758" s="5">
        <v>12</v>
      </c>
      <c r="R758" s="8">
        <v>5</v>
      </c>
      <c r="S758" s="8">
        <v>7</v>
      </c>
      <c r="T758" s="8">
        <v>6</v>
      </c>
      <c r="U758" s="8">
        <v>5</v>
      </c>
      <c r="V758" s="8">
        <v>6</v>
      </c>
      <c r="W758" t="s">
        <v>473</v>
      </c>
      <c r="X758" t="s">
        <v>473</v>
      </c>
      <c r="Y758" t="s">
        <v>473</v>
      </c>
      <c r="Z758" t="s">
        <v>473</v>
      </c>
      <c r="AA758" t="s">
        <v>473</v>
      </c>
      <c r="AB758" t="s">
        <v>473</v>
      </c>
      <c r="AC758" s="10">
        <v>3</v>
      </c>
      <c r="AD758" s="10">
        <v>11</v>
      </c>
      <c r="AE758" t="s">
        <v>474</v>
      </c>
    </row>
    <row r="759" spans="1:31" x14ac:dyDescent="0.25">
      <c r="A759">
        <v>5909</v>
      </c>
      <c r="B759">
        <v>1964</v>
      </c>
      <c r="C759" t="s">
        <v>466</v>
      </c>
      <c r="D759" t="s">
        <v>34</v>
      </c>
      <c r="E759" t="str">
        <f>IF(OR(Table1[[#This Row],[marital_status]]="Married", Table1[[#This Row],[marital_status]]="Together"), "Partnered", "Single")</f>
        <v>Partnered</v>
      </c>
      <c r="F759" s="7">
        <v>58512</v>
      </c>
      <c r="G759" s="8">
        <v>0</v>
      </c>
      <c r="H759" s="8">
        <v>1</v>
      </c>
      <c r="I759" s="8">
        <f>Table1[[#This Row],[kids]]+Table1[[#This Row],[teens]]</f>
        <v>1</v>
      </c>
      <c r="J759" s="9">
        <v>41536</v>
      </c>
      <c r="K759" s="8">
        <v>25</v>
      </c>
      <c r="L759" s="6">
        <v>895</v>
      </c>
      <c r="M759" s="5">
        <v>10</v>
      </c>
      <c r="N759" s="5">
        <v>101</v>
      </c>
      <c r="O759" s="5">
        <v>13</v>
      </c>
      <c r="P759" s="5">
        <v>0</v>
      </c>
      <c r="Q759" s="5">
        <v>152</v>
      </c>
      <c r="R759" s="8">
        <v>5</v>
      </c>
      <c r="S759" s="8">
        <v>3</v>
      </c>
      <c r="T759" s="8">
        <v>4</v>
      </c>
      <c r="U759" s="8">
        <v>8</v>
      </c>
      <c r="V759" s="8">
        <v>8</v>
      </c>
      <c r="W759" t="s">
        <v>473</v>
      </c>
      <c r="X759" t="s">
        <v>473</v>
      </c>
      <c r="Y759" t="s">
        <v>473</v>
      </c>
      <c r="Z759" t="s">
        <v>473</v>
      </c>
      <c r="AA759" t="s">
        <v>473</v>
      </c>
      <c r="AB759" t="s">
        <v>473</v>
      </c>
      <c r="AC759" s="10">
        <v>3</v>
      </c>
      <c r="AD759" s="10">
        <v>11</v>
      </c>
      <c r="AE759" t="s">
        <v>473</v>
      </c>
    </row>
    <row r="760" spans="1:31" x14ac:dyDescent="0.25">
      <c r="A760">
        <v>10470</v>
      </c>
      <c r="B760">
        <v>1979</v>
      </c>
      <c r="C760" t="s">
        <v>36</v>
      </c>
      <c r="D760" t="s">
        <v>34</v>
      </c>
      <c r="E760" t="str">
        <f>IF(OR(Table1[[#This Row],[marital_status]]="Married", Table1[[#This Row],[marital_status]]="Together"), "Partnered", "Single")</f>
        <v>Partnered</v>
      </c>
      <c r="F760" s="7">
        <v>40662</v>
      </c>
      <c r="G760" s="8">
        <v>1</v>
      </c>
      <c r="H760" s="8">
        <v>0</v>
      </c>
      <c r="I760" s="8">
        <f>Table1[[#This Row],[kids]]+Table1[[#This Row],[teens]]</f>
        <v>1</v>
      </c>
      <c r="J760" s="9">
        <v>41348</v>
      </c>
      <c r="K760" s="8">
        <v>0</v>
      </c>
      <c r="L760" s="6">
        <v>40</v>
      </c>
      <c r="M760" s="5">
        <v>2</v>
      </c>
      <c r="N760" s="5">
        <v>23</v>
      </c>
      <c r="O760" s="5">
        <v>0</v>
      </c>
      <c r="P760" s="5">
        <v>4</v>
      </c>
      <c r="Q760" s="5">
        <v>23</v>
      </c>
      <c r="R760" s="8">
        <v>2</v>
      </c>
      <c r="S760" s="8">
        <v>2</v>
      </c>
      <c r="T760" s="8">
        <v>1</v>
      </c>
      <c r="U760" s="8">
        <v>3</v>
      </c>
      <c r="V760" s="8">
        <v>4</v>
      </c>
      <c r="W760" t="s">
        <v>473</v>
      </c>
      <c r="X760" t="s">
        <v>473</v>
      </c>
      <c r="Y760" t="s">
        <v>473</v>
      </c>
      <c r="Z760" t="s">
        <v>473</v>
      </c>
      <c r="AA760" t="s">
        <v>473</v>
      </c>
      <c r="AB760" t="s">
        <v>473</v>
      </c>
      <c r="AC760" s="10">
        <v>3</v>
      </c>
      <c r="AD760" s="10">
        <v>11</v>
      </c>
      <c r="AE760" t="s">
        <v>473</v>
      </c>
    </row>
    <row r="761" spans="1:31" x14ac:dyDescent="0.25">
      <c r="A761">
        <v>6488</v>
      </c>
      <c r="B761">
        <v>1959</v>
      </c>
      <c r="C761" t="s">
        <v>33</v>
      </c>
      <c r="D761" t="s">
        <v>34</v>
      </c>
      <c r="E761" t="str">
        <f>IF(OR(Table1[[#This Row],[marital_status]]="Married", Table1[[#This Row],[marital_status]]="Together"), "Partnered", "Single")</f>
        <v>Partnered</v>
      </c>
      <c r="F761" s="7">
        <v>38829</v>
      </c>
      <c r="G761" s="8">
        <v>0</v>
      </c>
      <c r="H761" s="8">
        <v>1</v>
      </c>
      <c r="I761" s="8">
        <f>Table1[[#This Row],[kids]]+Table1[[#This Row],[teens]]</f>
        <v>1</v>
      </c>
      <c r="J761" s="9">
        <v>41735</v>
      </c>
      <c r="K761" s="8">
        <v>86</v>
      </c>
      <c r="L761" s="6">
        <v>76</v>
      </c>
      <c r="M761" s="5">
        <v>0</v>
      </c>
      <c r="N761" s="5">
        <v>7</v>
      </c>
      <c r="O761" s="5">
        <v>0</v>
      </c>
      <c r="P761" s="5">
        <v>0</v>
      </c>
      <c r="Q761" s="5">
        <v>16</v>
      </c>
      <c r="R761" s="8">
        <v>1</v>
      </c>
      <c r="S761" s="8">
        <v>3</v>
      </c>
      <c r="T761" s="8">
        <v>2</v>
      </c>
      <c r="U761" s="8">
        <v>2</v>
      </c>
      <c r="V761" s="8">
        <v>5</v>
      </c>
      <c r="W761" t="s">
        <v>473</v>
      </c>
      <c r="X761" t="s">
        <v>473</v>
      </c>
      <c r="Y761" t="s">
        <v>473</v>
      </c>
      <c r="Z761" t="s">
        <v>473</v>
      </c>
      <c r="AA761" t="s">
        <v>473</v>
      </c>
      <c r="AB761" t="s">
        <v>473</v>
      </c>
      <c r="AC761" s="10">
        <v>3</v>
      </c>
      <c r="AD761" s="10">
        <v>11</v>
      </c>
      <c r="AE761" t="s">
        <v>473</v>
      </c>
    </row>
    <row r="762" spans="1:31" x14ac:dyDescent="0.25">
      <c r="A762">
        <v>10270</v>
      </c>
      <c r="B762">
        <v>1981</v>
      </c>
      <c r="C762" t="s">
        <v>46</v>
      </c>
      <c r="D762" t="s">
        <v>34</v>
      </c>
      <c r="E762" t="str">
        <f>IF(OR(Table1[[#This Row],[marital_status]]="Married", Table1[[#This Row],[marital_status]]="Together"), "Partnered", "Single")</f>
        <v>Partnered</v>
      </c>
      <c r="F762" s="7">
        <v>35523</v>
      </c>
      <c r="G762" s="8">
        <v>1</v>
      </c>
      <c r="H762" s="8">
        <v>0</v>
      </c>
      <c r="I762" s="8">
        <f>Table1[[#This Row],[kids]]+Table1[[#This Row],[teens]]</f>
        <v>1</v>
      </c>
      <c r="J762" s="9">
        <v>41550</v>
      </c>
      <c r="K762" s="8">
        <v>8</v>
      </c>
      <c r="L762" s="6">
        <v>11</v>
      </c>
      <c r="M762" s="5">
        <v>5</v>
      </c>
      <c r="N762" s="5">
        <v>22</v>
      </c>
      <c r="O762" s="5">
        <v>12</v>
      </c>
      <c r="P762" s="5">
        <v>5</v>
      </c>
      <c r="Q762" s="5">
        <v>11</v>
      </c>
      <c r="R762" s="8">
        <v>2</v>
      </c>
      <c r="S762" s="8">
        <v>3</v>
      </c>
      <c r="T762" s="8">
        <v>0</v>
      </c>
      <c r="U762" s="8">
        <v>3</v>
      </c>
      <c r="V762" s="8">
        <v>7</v>
      </c>
      <c r="W762" t="s">
        <v>473</v>
      </c>
      <c r="X762" t="s">
        <v>473</v>
      </c>
      <c r="Y762" t="s">
        <v>473</v>
      </c>
      <c r="Z762" t="s">
        <v>473</v>
      </c>
      <c r="AA762" t="s">
        <v>473</v>
      </c>
      <c r="AB762" t="s">
        <v>473</v>
      </c>
      <c r="AC762" s="10">
        <v>3</v>
      </c>
      <c r="AD762" s="10">
        <v>11</v>
      </c>
      <c r="AE762" t="s">
        <v>473</v>
      </c>
    </row>
    <row r="763" spans="1:31" x14ac:dyDescent="0.25">
      <c r="A763">
        <v>6887</v>
      </c>
      <c r="B763">
        <v>1967</v>
      </c>
      <c r="C763" t="s">
        <v>466</v>
      </c>
      <c r="D763" t="s">
        <v>30</v>
      </c>
      <c r="E763" t="str">
        <f>IF(OR(Table1[[#This Row],[marital_status]]="Married", Table1[[#This Row],[marital_status]]="Together"), "Partnered", "Single")</f>
        <v>Single</v>
      </c>
      <c r="F763" s="7">
        <v>79146</v>
      </c>
      <c r="G763" s="8">
        <v>1</v>
      </c>
      <c r="H763" s="8">
        <v>1</v>
      </c>
      <c r="I763" s="8">
        <f>Table1[[#This Row],[kids]]+Table1[[#This Row],[teens]]</f>
        <v>2</v>
      </c>
      <c r="J763" s="9">
        <v>41753</v>
      </c>
      <c r="K763" s="8">
        <v>33</v>
      </c>
      <c r="L763" s="6">
        <v>245</v>
      </c>
      <c r="M763" s="5">
        <v>16</v>
      </c>
      <c r="N763" s="5">
        <v>223</v>
      </c>
      <c r="O763" s="5">
        <v>21</v>
      </c>
      <c r="P763" s="5">
        <v>43</v>
      </c>
      <c r="Q763" s="5">
        <v>16</v>
      </c>
      <c r="R763" s="8">
        <v>2</v>
      </c>
      <c r="S763" s="8">
        <v>8</v>
      </c>
      <c r="T763" s="8">
        <v>1</v>
      </c>
      <c r="U763" s="8">
        <v>8</v>
      </c>
      <c r="V763" s="8">
        <v>6</v>
      </c>
      <c r="W763" t="s">
        <v>473</v>
      </c>
      <c r="X763" t="s">
        <v>473</v>
      </c>
      <c r="Y763" t="s">
        <v>473</v>
      </c>
      <c r="Z763" t="s">
        <v>473</v>
      </c>
      <c r="AA763" t="s">
        <v>473</v>
      </c>
      <c r="AB763" t="s">
        <v>473</v>
      </c>
      <c r="AC763" s="10">
        <v>3</v>
      </c>
      <c r="AD763" s="10">
        <v>11</v>
      </c>
      <c r="AE763" t="s">
        <v>473</v>
      </c>
    </row>
    <row r="764" spans="1:31" x14ac:dyDescent="0.25">
      <c r="A764">
        <v>6406</v>
      </c>
      <c r="B764">
        <v>1988</v>
      </c>
      <c r="C764" t="s">
        <v>36</v>
      </c>
      <c r="D764" t="s">
        <v>34</v>
      </c>
      <c r="E764" t="str">
        <f>IF(OR(Table1[[#This Row],[marital_status]]="Married", Table1[[#This Row],[marital_status]]="Together"), "Partnered", "Single")</f>
        <v>Partnered</v>
      </c>
      <c r="F764" s="7">
        <v>78285</v>
      </c>
      <c r="G764" s="8">
        <v>0</v>
      </c>
      <c r="H764" s="8">
        <v>0</v>
      </c>
      <c r="I764" s="8">
        <f>Table1[[#This Row],[kids]]+Table1[[#This Row],[teens]]</f>
        <v>0</v>
      </c>
      <c r="J764" s="9">
        <v>41575</v>
      </c>
      <c r="K764" s="8">
        <v>13</v>
      </c>
      <c r="L764" s="6">
        <v>647</v>
      </c>
      <c r="M764" s="5">
        <v>107</v>
      </c>
      <c r="N764" s="5">
        <v>391</v>
      </c>
      <c r="O764" s="5">
        <v>175</v>
      </c>
      <c r="P764" s="5">
        <v>67</v>
      </c>
      <c r="Q764" s="5">
        <v>40</v>
      </c>
      <c r="R764" s="8">
        <v>1</v>
      </c>
      <c r="S764" s="8">
        <v>6</v>
      </c>
      <c r="T764" s="8">
        <v>4</v>
      </c>
      <c r="U764" s="8">
        <v>10</v>
      </c>
      <c r="V764" s="8">
        <v>3</v>
      </c>
      <c r="W764" t="s">
        <v>473</v>
      </c>
      <c r="X764" t="s">
        <v>473</v>
      </c>
      <c r="Y764" t="s">
        <v>473</v>
      </c>
      <c r="Z764" t="s">
        <v>473</v>
      </c>
      <c r="AA764" t="s">
        <v>473</v>
      </c>
      <c r="AB764" t="s">
        <v>473</v>
      </c>
      <c r="AC764" s="10">
        <v>3</v>
      </c>
      <c r="AD764" s="10">
        <v>11</v>
      </c>
      <c r="AE764" t="s">
        <v>473</v>
      </c>
    </row>
    <row r="765" spans="1:31" x14ac:dyDescent="0.25">
      <c r="A765">
        <v>7573</v>
      </c>
      <c r="B765">
        <v>1978</v>
      </c>
      <c r="C765" t="s">
        <v>33</v>
      </c>
      <c r="D765" t="s">
        <v>30</v>
      </c>
      <c r="E765" t="str">
        <f>IF(OR(Table1[[#This Row],[marital_status]]="Married", Table1[[#This Row],[marital_status]]="Together"), "Partnered", "Single")</f>
        <v>Single</v>
      </c>
      <c r="F765" s="7">
        <v>31626</v>
      </c>
      <c r="G765" s="8">
        <v>1</v>
      </c>
      <c r="H765" s="8">
        <v>0</v>
      </c>
      <c r="I765" s="8">
        <f>Table1[[#This Row],[kids]]+Table1[[#This Row],[teens]]</f>
        <v>1</v>
      </c>
      <c r="J765" s="9">
        <v>41404</v>
      </c>
      <c r="K765" s="8">
        <v>12</v>
      </c>
      <c r="L765" s="6">
        <v>39</v>
      </c>
      <c r="M765" s="5">
        <v>1</v>
      </c>
      <c r="N765" s="5">
        <v>9</v>
      </c>
      <c r="O765" s="5">
        <v>2</v>
      </c>
      <c r="P765" s="5">
        <v>1</v>
      </c>
      <c r="Q765" s="5">
        <v>34</v>
      </c>
      <c r="R765" s="8">
        <v>1</v>
      </c>
      <c r="S765" s="8">
        <v>2</v>
      </c>
      <c r="T765" s="8">
        <v>1</v>
      </c>
      <c r="U765" s="8">
        <v>2</v>
      </c>
      <c r="V765" s="8">
        <v>7</v>
      </c>
      <c r="W765" t="s">
        <v>474</v>
      </c>
      <c r="X765" t="s">
        <v>473</v>
      </c>
      <c r="Y765" t="s">
        <v>473</v>
      </c>
      <c r="Z765" t="s">
        <v>473</v>
      </c>
      <c r="AA765" t="s">
        <v>473</v>
      </c>
      <c r="AB765" t="s">
        <v>473</v>
      </c>
      <c r="AC765" s="10">
        <v>3</v>
      </c>
      <c r="AD765" s="10">
        <v>11</v>
      </c>
      <c r="AE765" t="s">
        <v>474</v>
      </c>
    </row>
    <row r="766" spans="1:31" x14ac:dyDescent="0.25">
      <c r="A766">
        <v>4508</v>
      </c>
      <c r="B766">
        <v>1952</v>
      </c>
      <c r="C766" t="s">
        <v>466</v>
      </c>
      <c r="D766" t="s">
        <v>30</v>
      </c>
      <c r="E766" t="str">
        <f>IF(OR(Table1[[#This Row],[marital_status]]="Married", Table1[[#This Row],[marital_status]]="Together"), "Partnered", "Single")</f>
        <v>Single</v>
      </c>
      <c r="F766" s="7">
        <v>75127</v>
      </c>
      <c r="G766" s="8">
        <v>0</v>
      </c>
      <c r="H766" s="8">
        <v>0</v>
      </c>
      <c r="I766" s="8">
        <f>Table1[[#This Row],[kids]]+Table1[[#This Row],[teens]]</f>
        <v>0</v>
      </c>
      <c r="J766" s="9">
        <v>41781</v>
      </c>
      <c r="K766" s="8">
        <v>92</v>
      </c>
      <c r="L766" s="6">
        <v>203</v>
      </c>
      <c r="M766" s="5">
        <v>35</v>
      </c>
      <c r="N766" s="5">
        <v>305</v>
      </c>
      <c r="O766" s="5">
        <v>46</v>
      </c>
      <c r="P766" s="5">
        <v>17</v>
      </c>
      <c r="Q766" s="5">
        <v>227</v>
      </c>
      <c r="R766" s="8">
        <v>1</v>
      </c>
      <c r="S766" s="8">
        <v>2</v>
      </c>
      <c r="T766" s="8">
        <v>11</v>
      </c>
      <c r="U766" s="8">
        <v>5</v>
      </c>
      <c r="V766" s="8">
        <v>1</v>
      </c>
      <c r="W766" t="s">
        <v>473</v>
      </c>
      <c r="X766" t="s">
        <v>473</v>
      </c>
      <c r="Y766" t="s">
        <v>473</v>
      </c>
      <c r="Z766" t="s">
        <v>473</v>
      </c>
      <c r="AA766" t="s">
        <v>473</v>
      </c>
      <c r="AB766" t="s">
        <v>473</v>
      </c>
      <c r="AC766" s="10">
        <v>3</v>
      </c>
      <c r="AD766" s="10">
        <v>11</v>
      </c>
      <c r="AE766" t="s">
        <v>473</v>
      </c>
    </row>
    <row r="767" spans="1:31" x14ac:dyDescent="0.25">
      <c r="A767">
        <v>221</v>
      </c>
      <c r="B767">
        <v>1955</v>
      </c>
      <c r="C767" t="s">
        <v>466</v>
      </c>
      <c r="D767" t="s">
        <v>34</v>
      </c>
      <c r="E767" t="str">
        <f>IF(OR(Table1[[#This Row],[marital_status]]="Married", Table1[[#This Row],[marital_status]]="Together"), "Partnered", "Single")</f>
        <v>Partnered</v>
      </c>
      <c r="F767" s="7">
        <v>48726</v>
      </c>
      <c r="G767" s="8">
        <v>0</v>
      </c>
      <c r="H767" s="8">
        <v>1</v>
      </c>
      <c r="I767" s="8">
        <f>Table1[[#This Row],[kids]]+Table1[[#This Row],[teens]]</f>
        <v>1</v>
      </c>
      <c r="J767" s="9">
        <v>41391</v>
      </c>
      <c r="K767" s="8">
        <v>90</v>
      </c>
      <c r="L767" s="6">
        <v>138</v>
      </c>
      <c r="M767" s="5">
        <v>3</v>
      </c>
      <c r="N767" s="5">
        <v>38</v>
      </c>
      <c r="O767" s="5">
        <v>4</v>
      </c>
      <c r="P767" s="5">
        <v>0</v>
      </c>
      <c r="Q767" s="5">
        <v>59</v>
      </c>
      <c r="R767" s="8">
        <v>3</v>
      </c>
      <c r="S767" s="8">
        <v>3</v>
      </c>
      <c r="T767" s="8">
        <v>2</v>
      </c>
      <c r="U767" s="8">
        <v>4</v>
      </c>
      <c r="V767" s="8">
        <v>6</v>
      </c>
      <c r="W767" t="s">
        <v>473</v>
      </c>
      <c r="X767" t="s">
        <v>473</v>
      </c>
      <c r="Y767" t="s">
        <v>473</v>
      </c>
      <c r="Z767" t="s">
        <v>473</v>
      </c>
      <c r="AA767" t="s">
        <v>473</v>
      </c>
      <c r="AB767" t="s">
        <v>473</v>
      </c>
      <c r="AC767" s="10">
        <v>3</v>
      </c>
      <c r="AD767" s="10">
        <v>11</v>
      </c>
      <c r="AE767" t="s">
        <v>473</v>
      </c>
    </row>
    <row r="768" spans="1:31" x14ac:dyDescent="0.25">
      <c r="A768">
        <v>5331</v>
      </c>
      <c r="B768">
        <v>1977</v>
      </c>
      <c r="C768" t="s">
        <v>466</v>
      </c>
      <c r="D768" t="s">
        <v>34</v>
      </c>
      <c r="E768" t="str">
        <f>IF(OR(Table1[[#This Row],[marital_status]]="Married", Table1[[#This Row],[marital_status]]="Together"), "Partnered", "Single")</f>
        <v>Partnered</v>
      </c>
      <c r="F768" s="7">
        <v>74985</v>
      </c>
      <c r="G768" s="8">
        <v>0</v>
      </c>
      <c r="H768" s="8">
        <v>0</v>
      </c>
      <c r="I768" s="8">
        <f>Table1[[#This Row],[kids]]+Table1[[#This Row],[teens]]</f>
        <v>0</v>
      </c>
      <c r="J768" s="9">
        <v>41163</v>
      </c>
      <c r="K768" s="8">
        <v>8</v>
      </c>
      <c r="L768" s="6">
        <v>587</v>
      </c>
      <c r="M768" s="5">
        <v>51</v>
      </c>
      <c r="N768" s="5">
        <v>898</v>
      </c>
      <c r="O768" s="5">
        <v>247</v>
      </c>
      <c r="P768" s="5">
        <v>0</v>
      </c>
      <c r="Q768" s="5">
        <v>86</v>
      </c>
      <c r="R768" s="8">
        <v>1</v>
      </c>
      <c r="S768" s="8">
        <v>3</v>
      </c>
      <c r="T768" s="8">
        <v>6</v>
      </c>
      <c r="U768" s="8">
        <v>7</v>
      </c>
      <c r="V768" s="8">
        <v>2</v>
      </c>
      <c r="W768" t="s">
        <v>473</v>
      </c>
      <c r="X768" t="s">
        <v>473</v>
      </c>
      <c r="Y768" t="s">
        <v>473</v>
      </c>
      <c r="Z768" t="s">
        <v>473</v>
      </c>
      <c r="AA768" t="s">
        <v>473</v>
      </c>
      <c r="AB768" t="s">
        <v>473</v>
      </c>
      <c r="AC768" s="10">
        <v>3</v>
      </c>
      <c r="AD768" s="10">
        <v>11</v>
      </c>
      <c r="AE768" t="s">
        <v>473</v>
      </c>
    </row>
    <row r="769" spans="1:31" x14ac:dyDescent="0.25">
      <c r="A769">
        <v>1911</v>
      </c>
      <c r="B769">
        <v>1987</v>
      </c>
      <c r="C769" t="s">
        <v>466</v>
      </c>
      <c r="D769" t="s">
        <v>31</v>
      </c>
      <c r="E769" t="str">
        <f>IF(OR(Table1[[#This Row],[marital_status]]="Married", Table1[[#This Row],[marital_status]]="Together"), "Partnered", "Single")</f>
        <v>Partnered</v>
      </c>
      <c r="F769" s="7">
        <v>67430</v>
      </c>
      <c r="G769" s="8">
        <v>0</v>
      </c>
      <c r="H769" s="8">
        <v>0</v>
      </c>
      <c r="I769" s="8">
        <f>Table1[[#This Row],[kids]]+Table1[[#This Row],[teens]]</f>
        <v>0</v>
      </c>
      <c r="J769" s="9">
        <v>41157</v>
      </c>
      <c r="K769" s="8">
        <v>6</v>
      </c>
      <c r="L769" s="6">
        <v>595</v>
      </c>
      <c r="M769" s="5">
        <v>97</v>
      </c>
      <c r="N769" s="5">
        <v>291</v>
      </c>
      <c r="O769" s="5">
        <v>127</v>
      </c>
      <c r="P769" s="5">
        <v>133</v>
      </c>
      <c r="Q769" s="5">
        <v>121</v>
      </c>
      <c r="R769" s="8">
        <v>1</v>
      </c>
      <c r="S769" s="8">
        <v>11</v>
      </c>
      <c r="T769" s="8">
        <v>5</v>
      </c>
      <c r="U769" s="8">
        <v>12</v>
      </c>
      <c r="V769" s="8">
        <v>6</v>
      </c>
      <c r="W769" t="s">
        <v>473</v>
      </c>
      <c r="X769" t="s">
        <v>473</v>
      </c>
      <c r="Y769" t="s">
        <v>473</v>
      </c>
      <c r="Z769" t="s">
        <v>473</v>
      </c>
      <c r="AA769" t="s">
        <v>473</v>
      </c>
      <c r="AB769" t="s">
        <v>473</v>
      </c>
      <c r="AC769" s="10">
        <v>3</v>
      </c>
      <c r="AD769" s="10">
        <v>11</v>
      </c>
      <c r="AE769" t="s">
        <v>473</v>
      </c>
    </row>
    <row r="770" spans="1:31" x14ac:dyDescent="0.25">
      <c r="A770">
        <v>20</v>
      </c>
      <c r="B770">
        <v>1965</v>
      </c>
      <c r="C770" t="s">
        <v>46</v>
      </c>
      <c r="D770" t="s">
        <v>34</v>
      </c>
      <c r="E770" t="str">
        <f>IF(OR(Table1[[#This Row],[marital_status]]="Married", Table1[[#This Row],[marital_status]]="Together"), "Partnered", "Single")</f>
        <v>Partnered</v>
      </c>
      <c r="F770" s="7">
        <v>46891</v>
      </c>
      <c r="G770" s="8">
        <v>0</v>
      </c>
      <c r="H770" s="8">
        <v>1</v>
      </c>
      <c r="I770" s="8">
        <f>Table1[[#This Row],[kids]]+Table1[[#This Row],[teens]]</f>
        <v>1</v>
      </c>
      <c r="J770" s="9">
        <v>41518</v>
      </c>
      <c r="K770" s="8">
        <v>91</v>
      </c>
      <c r="L770" s="6">
        <v>43</v>
      </c>
      <c r="M770" s="5">
        <v>12</v>
      </c>
      <c r="N770" s="5">
        <v>23</v>
      </c>
      <c r="O770" s="5">
        <v>29</v>
      </c>
      <c r="P770" s="5">
        <v>15</v>
      </c>
      <c r="Q770" s="5">
        <v>61</v>
      </c>
      <c r="R770" s="8">
        <v>1</v>
      </c>
      <c r="S770" s="8">
        <v>2</v>
      </c>
      <c r="T770" s="8">
        <v>1</v>
      </c>
      <c r="U770" s="8">
        <v>4</v>
      </c>
      <c r="V770" s="8">
        <v>4</v>
      </c>
      <c r="W770" t="s">
        <v>473</v>
      </c>
      <c r="X770" t="s">
        <v>473</v>
      </c>
      <c r="Y770" t="s">
        <v>473</v>
      </c>
      <c r="Z770" t="s">
        <v>473</v>
      </c>
      <c r="AA770" t="s">
        <v>473</v>
      </c>
      <c r="AB770" t="s">
        <v>473</v>
      </c>
      <c r="AC770" s="10">
        <v>3</v>
      </c>
      <c r="AD770" s="10">
        <v>11</v>
      </c>
      <c r="AE770" t="s">
        <v>473</v>
      </c>
    </row>
    <row r="771" spans="1:31" x14ac:dyDescent="0.25">
      <c r="A771">
        <v>8786</v>
      </c>
      <c r="B771">
        <v>1956</v>
      </c>
      <c r="C771" t="s">
        <v>36</v>
      </c>
      <c r="D771" t="s">
        <v>34</v>
      </c>
      <c r="E771" t="str">
        <f>IF(OR(Table1[[#This Row],[marital_status]]="Married", Table1[[#This Row],[marital_status]]="Together"), "Partnered", "Single")</f>
        <v>Partnered</v>
      </c>
      <c r="F771" s="7">
        <v>62058</v>
      </c>
      <c r="G771" s="8">
        <v>0</v>
      </c>
      <c r="H771" s="8">
        <v>1</v>
      </c>
      <c r="I771" s="8">
        <f>Table1[[#This Row],[kids]]+Table1[[#This Row],[teens]]</f>
        <v>1</v>
      </c>
      <c r="J771" s="9">
        <v>41420</v>
      </c>
      <c r="K771" s="8">
        <v>52</v>
      </c>
      <c r="L771" s="6">
        <v>301</v>
      </c>
      <c r="M771" s="5">
        <v>7</v>
      </c>
      <c r="N771" s="5">
        <v>74</v>
      </c>
      <c r="O771" s="5">
        <v>10</v>
      </c>
      <c r="P771" s="5">
        <v>0</v>
      </c>
      <c r="Q771" s="5">
        <v>58</v>
      </c>
      <c r="R771" s="8">
        <v>4</v>
      </c>
      <c r="S771" s="8">
        <v>6</v>
      </c>
      <c r="T771" s="8">
        <v>1</v>
      </c>
      <c r="U771" s="8">
        <v>7</v>
      </c>
      <c r="V771" s="8">
        <v>6</v>
      </c>
      <c r="W771" t="s">
        <v>473</v>
      </c>
      <c r="X771" t="s">
        <v>473</v>
      </c>
      <c r="Y771" t="s">
        <v>473</v>
      </c>
      <c r="Z771" t="s">
        <v>473</v>
      </c>
      <c r="AA771" t="s">
        <v>473</v>
      </c>
      <c r="AB771" t="s">
        <v>473</v>
      </c>
      <c r="AC771" s="10">
        <v>3</v>
      </c>
      <c r="AD771" s="10">
        <v>11</v>
      </c>
      <c r="AE771" t="s">
        <v>473</v>
      </c>
    </row>
    <row r="772" spans="1:31" x14ac:dyDescent="0.25">
      <c r="A772">
        <v>10582</v>
      </c>
      <c r="B772">
        <v>1979</v>
      </c>
      <c r="C772" t="s">
        <v>466</v>
      </c>
      <c r="D772" t="s">
        <v>34</v>
      </c>
      <c r="E772" t="str">
        <f>IF(OR(Table1[[#This Row],[marital_status]]="Married", Table1[[#This Row],[marital_status]]="Together"), "Partnered", "Single")</f>
        <v>Partnered</v>
      </c>
      <c r="F772" s="7">
        <v>72063</v>
      </c>
      <c r="G772" s="8">
        <v>0</v>
      </c>
      <c r="H772" s="8">
        <v>1</v>
      </c>
      <c r="I772" s="8">
        <f>Table1[[#This Row],[kids]]+Table1[[#This Row],[teens]]</f>
        <v>1</v>
      </c>
      <c r="J772" s="9">
        <v>41458</v>
      </c>
      <c r="K772" s="8">
        <v>3</v>
      </c>
      <c r="L772" s="6">
        <v>180</v>
      </c>
      <c r="M772" s="5">
        <v>32</v>
      </c>
      <c r="N772" s="5">
        <v>348</v>
      </c>
      <c r="O772" s="5">
        <v>76</v>
      </c>
      <c r="P772" s="5">
        <v>32</v>
      </c>
      <c r="Q772" s="5">
        <v>90</v>
      </c>
      <c r="R772" s="8">
        <v>2</v>
      </c>
      <c r="S772" s="8">
        <v>5</v>
      </c>
      <c r="T772" s="8">
        <v>2</v>
      </c>
      <c r="U772" s="8">
        <v>12</v>
      </c>
      <c r="V772" s="8">
        <v>2</v>
      </c>
      <c r="W772" t="s">
        <v>473</v>
      </c>
      <c r="X772" t="s">
        <v>473</v>
      </c>
      <c r="Y772" t="s">
        <v>473</v>
      </c>
      <c r="Z772" t="s">
        <v>473</v>
      </c>
      <c r="AA772" t="s">
        <v>473</v>
      </c>
      <c r="AB772" t="s">
        <v>473</v>
      </c>
      <c r="AC772" s="10">
        <v>3</v>
      </c>
      <c r="AD772" s="10">
        <v>11</v>
      </c>
      <c r="AE772" t="s">
        <v>473</v>
      </c>
    </row>
    <row r="773" spans="1:31" x14ac:dyDescent="0.25">
      <c r="A773">
        <v>1915</v>
      </c>
      <c r="B773">
        <v>1951</v>
      </c>
      <c r="C773" t="s">
        <v>33</v>
      </c>
      <c r="D773" t="s">
        <v>34</v>
      </c>
      <c r="E773" t="str">
        <f>IF(OR(Table1[[#This Row],[marital_status]]="Married", Table1[[#This Row],[marital_status]]="Together"), "Partnered", "Single")</f>
        <v>Partnered</v>
      </c>
      <c r="F773" s="7">
        <v>78939</v>
      </c>
      <c r="G773" s="8">
        <v>0</v>
      </c>
      <c r="H773" s="8">
        <v>0</v>
      </c>
      <c r="I773" s="8">
        <f>Table1[[#This Row],[kids]]+Table1[[#This Row],[teens]]</f>
        <v>0</v>
      </c>
      <c r="J773" s="9">
        <v>41620</v>
      </c>
      <c r="K773" s="8">
        <v>57</v>
      </c>
      <c r="L773" s="6">
        <v>794</v>
      </c>
      <c r="M773" s="5">
        <v>115</v>
      </c>
      <c r="N773" s="5">
        <v>243</v>
      </c>
      <c r="O773" s="5">
        <v>150</v>
      </c>
      <c r="P773" s="5">
        <v>0</v>
      </c>
      <c r="Q773" s="5">
        <v>205</v>
      </c>
      <c r="R773" s="8">
        <v>1</v>
      </c>
      <c r="S773" s="8">
        <v>8</v>
      </c>
      <c r="T773" s="8">
        <v>5</v>
      </c>
      <c r="U773" s="8">
        <v>6</v>
      </c>
      <c r="V773" s="8">
        <v>3</v>
      </c>
      <c r="W773" t="s">
        <v>473</v>
      </c>
      <c r="X773" t="s">
        <v>473</v>
      </c>
      <c r="Y773" t="s">
        <v>473</v>
      </c>
      <c r="Z773" t="s">
        <v>473</v>
      </c>
      <c r="AA773" t="s">
        <v>473</v>
      </c>
      <c r="AB773" t="s">
        <v>473</v>
      </c>
      <c r="AC773" s="10">
        <v>3</v>
      </c>
      <c r="AD773" s="10">
        <v>11</v>
      </c>
      <c r="AE773" t="s">
        <v>473</v>
      </c>
    </row>
    <row r="774" spans="1:31" x14ac:dyDescent="0.25">
      <c r="A774">
        <v>8897</v>
      </c>
      <c r="B774">
        <v>1965</v>
      </c>
      <c r="C774" t="s">
        <v>466</v>
      </c>
      <c r="D774" t="s">
        <v>30</v>
      </c>
      <c r="E774" t="str">
        <f>IF(OR(Table1[[#This Row],[marital_status]]="Married", Table1[[#This Row],[marital_status]]="Together"), "Partnered", "Single")</f>
        <v>Single</v>
      </c>
      <c r="F774" s="7">
        <v>42720</v>
      </c>
      <c r="G774" s="8">
        <v>1</v>
      </c>
      <c r="H774" s="8">
        <v>1</v>
      </c>
      <c r="I774" s="8">
        <f>Table1[[#This Row],[kids]]+Table1[[#This Row],[teens]]</f>
        <v>2</v>
      </c>
      <c r="J774" s="9">
        <v>41388</v>
      </c>
      <c r="K774" s="8">
        <v>9</v>
      </c>
      <c r="L774" s="6">
        <v>392</v>
      </c>
      <c r="M774" s="5">
        <v>5</v>
      </c>
      <c r="N774" s="5">
        <v>91</v>
      </c>
      <c r="O774" s="5">
        <v>28</v>
      </c>
      <c r="P774" s="5">
        <v>26</v>
      </c>
      <c r="Q774" s="5">
        <v>112</v>
      </c>
      <c r="R774" s="8">
        <v>8</v>
      </c>
      <c r="S774" s="8">
        <v>7</v>
      </c>
      <c r="T774" s="8">
        <v>3</v>
      </c>
      <c r="U774" s="8">
        <v>7</v>
      </c>
      <c r="V774" s="8">
        <v>8</v>
      </c>
      <c r="W774" t="s">
        <v>473</v>
      </c>
      <c r="X774" t="s">
        <v>473</v>
      </c>
      <c r="Y774" t="s">
        <v>473</v>
      </c>
      <c r="Z774" t="s">
        <v>473</v>
      </c>
      <c r="AA774" t="s">
        <v>473</v>
      </c>
      <c r="AB774" t="s">
        <v>473</v>
      </c>
      <c r="AC774" s="10">
        <v>3</v>
      </c>
      <c r="AD774" s="10">
        <v>11</v>
      </c>
      <c r="AE774" t="s">
        <v>474</v>
      </c>
    </row>
    <row r="775" spans="1:31" x14ac:dyDescent="0.25">
      <c r="A775">
        <v>2371</v>
      </c>
      <c r="B775">
        <v>1972</v>
      </c>
      <c r="C775" t="s">
        <v>466</v>
      </c>
      <c r="D775" t="s">
        <v>34</v>
      </c>
      <c r="E775" t="str">
        <f>IF(OR(Table1[[#This Row],[marital_status]]="Married", Table1[[#This Row],[marital_status]]="Together"), "Partnered", "Single")</f>
        <v>Partnered</v>
      </c>
      <c r="F775" s="7">
        <v>33622</v>
      </c>
      <c r="G775" s="8">
        <v>1</v>
      </c>
      <c r="H775" s="8">
        <v>1</v>
      </c>
      <c r="I775" s="8">
        <f>Table1[[#This Row],[kids]]+Table1[[#This Row],[teens]]</f>
        <v>2</v>
      </c>
      <c r="J775" s="9">
        <v>41377</v>
      </c>
      <c r="K775" s="8">
        <v>22</v>
      </c>
      <c r="L775" s="6">
        <v>39</v>
      </c>
      <c r="M775" s="5">
        <v>1</v>
      </c>
      <c r="N775" s="5">
        <v>22</v>
      </c>
      <c r="O775" s="5">
        <v>3</v>
      </c>
      <c r="P775" s="5">
        <v>4</v>
      </c>
      <c r="Q775" s="5">
        <v>12</v>
      </c>
      <c r="R775" s="8">
        <v>3</v>
      </c>
      <c r="S775" s="8">
        <v>2</v>
      </c>
      <c r="T775" s="8">
        <v>0</v>
      </c>
      <c r="U775" s="8">
        <v>4</v>
      </c>
      <c r="V775" s="8">
        <v>7</v>
      </c>
      <c r="W775" t="s">
        <v>473</v>
      </c>
      <c r="X775" t="s">
        <v>473</v>
      </c>
      <c r="Y775" t="s">
        <v>473</v>
      </c>
      <c r="Z775" t="s">
        <v>473</v>
      </c>
      <c r="AA775" t="s">
        <v>473</v>
      </c>
      <c r="AB775" t="s">
        <v>473</v>
      </c>
      <c r="AC775" s="10">
        <v>3</v>
      </c>
      <c r="AD775" s="10">
        <v>11</v>
      </c>
      <c r="AE775" t="s">
        <v>473</v>
      </c>
    </row>
    <row r="776" spans="1:31" x14ac:dyDescent="0.25">
      <c r="A776">
        <v>4303</v>
      </c>
      <c r="B776">
        <v>1957</v>
      </c>
      <c r="C776" t="s">
        <v>33</v>
      </c>
      <c r="D776" t="s">
        <v>31</v>
      </c>
      <c r="E776" t="str">
        <f>IF(OR(Table1[[#This Row],[marital_status]]="Married", Table1[[#This Row],[marital_status]]="Together"), "Partnered", "Single")</f>
        <v>Partnered</v>
      </c>
      <c r="F776" s="7">
        <v>6835</v>
      </c>
      <c r="G776" s="8">
        <v>0</v>
      </c>
      <c r="H776" s="8">
        <v>1</v>
      </c>
      <c r="I776" s="8">
        <f>Table1[[#This Row],[kids]]+Table1[[#This Row],[teens]]</f>
        <v>1</v>
      </c>
      <c r="J776" s="9">
        <v>41251</v>
      </c>
      <c r="K776" s="8">
        <v>76</v>
      </c>
      <c r="L776" s="6">
        <v>107</v>
      </c>
      <c r="M776" s="5">
        <v>2</v>
      </c>
      <c r="N776" s="5">
        <v>12</v>
      </c>
      <c r="O776" s="5">
        <v>2</v>
      </c>
      <c r="P776" s="5">
        <v>2</v>
      </c>
      <c r="Q776" s="5">
        <v>12</v>
      </c>
      <c r="R776" s="8">
        <v>0</v>
      </c>
      <c r="S776" s="8">
        <v>0</v>
      </c>
      <c r="T776" s="8">
        <v>0</v>
      </c>
      <c r="U776" s="8">
        <v>1</v>
      </c>
      <c r="V776" s="8">
        <v>20</v>
      </c>
      <c r="W776" t="s">
        <v>473</v>
      </c>
      <c r="X776" t="s">
        <v>473</v>
      </c>
      <c r="Y776" t="s">
        <v>473</v>
      </c>
      <c r="Z776" t="s">
        <v>473</v>
      </c>
      <c r="AA776" t="s">
        <v>473</v>
      </c>
      <c r="AB776" t="s">
        <v>473</v>
      </c>
      <c r="AC776" s="10">
        <v>3</v>
      </c>
      <c r="AD776" s="10">
        <v>11</v>
      </c>
      <c r="AE776" t="s">
        <v>473</v>
      </c>
    </row>
    <row r="777" spans="1:31" x14ac:dyDescent="0.25">
      <c r="A777">
        <v>6825</v>
      </c>
      <c r="B777">
        <v>1953</v>
      </c>
      <c r="C777" t="s">
        <v>466</v>
      </c>
      <c r="D777" t="s">
        <v>31</v>
      </c>
      <c r="E777" t="str">
        <f>IF(OR(Table1[[#This Row],[marital_status]]="Married", Table1[[#This Row],[marital_status]]="Together"), "Partnered", "Single")</f>
        <v>Partnered</v>
      </c>
      <c r="F777" s="7">
        <v>41452</v>
      </c>
      <c r="G777" s="8">
        <v>1</v>
      </c>
      <c r="H777" s="8">
        <v>1</v>
      </c>
      <c r="I777" s="8">
        <f>Table1[[#This Row],[kids]]+Table1[[#This Row],[teens]]</f>
        <v>2</v>
      </c>
      <c r="J777" s="9">
        <v>41339</v>
      </c>
      <c r="K777" s="8">
        <v>86</v>
      </c>
      <c r="L777" s="6">
        <v>13</v>
      </c>
      <c r="M777" s="5">
        <v>0</v>
      </c>
      <c r="N777" s="5">
        <v>3</v>
      </c>
      <c r="O777" s="5">
        <v>0</v>
      </c>
      <c r="P777" s="5">
        <v>0</v>
      </c>
      <c r="Q777" s="5">
        <v>0</v>
      </c>
      <c r="R777" s="8">
        <v>1</v>
      </c>
      <c r="S777" s="8">
        <v>1</v>
      </c>
      <c r="T777" s="8">
        <v>0</v>
      </c>
      <c r="U777" s="8">
        <v>2</v>
      </c>
      <c r="V777" s="8">
        <v>7</v>
      </c>
      <c r="W777" t="s">
        <v>473</v>
      </c>
      <c r="X777" t="s">
        <v>473</v>
      </c>
      <c r="Y777" t="s">
        <v>473</v>
      </c>
      <c r="Z777" t="s">
        <v>473</v>
      </c>
      <c r="AA777" t="s">
        <v>473</v>
      </c>
      <c r="AB777" t="s">
        <v>473</v>
      </c>
      <c r="AC777" s="10">
        <v>3</v>
      </c>
      <c r="AD777" s="10">
        <v>11</v>
      </c>
      <c r="AE777" t="s">
        <v>473</v>
      </c>
    </row>
    <row r="778" spans="1:31" x14ac:dyDescent="0.25">
      <c r="A778">
        <v>1072</v>
      </c>
      <c r="B778">
        <v>1965</v>
      </c>
      <c r="C778" t="s">
        <v>33</v>
      </c>
      <c r="D778" t="s">
        <v>30</v>
      </c>
      <c r="E778" t="str">
        <f>IF(OR(Table1[[#This Row],[marital_status]]="Married", Table1[[#This Row],[marital_status]]="Together"), "Partnered", "Single")</f>
        <v>Single</v>
      </c>
      <c r="F778" s="7">
        <v>40760</v>
      </c>
      <c r="G778" s="8">
        <v>0</v>
      </c>
      <c r="H778" s="8">
        <v>1</v>
      </c>
      <c r="I778" s="8">
        <f>Table1[[#This Row],[kids]]+Table1[[#This Row],[teens]]</f>
        <v>1</v>
      </c>
      <c r="J778" s="9">
        <v>41516</v>
      </c>
      <c r="K778" s="8">
        <v>64</v>
      </c>
      <c r="L778" s="6">
        <v>70</v>
      </c>
      <c r="M778" s="5">
        <v>0</v>
      </c>
      <c r="N778" s="5">
        <v>17</v>
      </c>
      <c r="O778" s="5">
        <v>0</v>
      </c>
      <c r="P778" s="5">
        <v>0</v>
      </c>
      <c r="Q778" s="5">
        <v>6</v>
      </c>
      <c r="R778" s="8">
        <v>2</v>
      </c>
      <c r="S778" s="8">
        <v>2</v>
      </c>
      <c r="T778" s="8">
        <v>1</v>
      </c>
      <c r="U778" s="8">
        <v>3</v>
      </c>
      <c r="V778" s="8">
        <v>6</v>
      </c>
      <c r="W778" t="s">
        <v>473</v>
      </c>
      <c r="X778" t="s">
        <v>473</v>
      </c>
      <c r="Y778" t="s">
        <v>473</v>
      </c>
      <c r="Z778" t="s">
        <v>473</v>
      </c>
      <c r="AA778" t="s">
        <v>473</v>
      </c>
      <c r="AB778" t="s">
        <v>473</v>
      </c>
      <c r="AC778" s="10">
        <v>3</v>
      </c>
      <c r="AD778" s="10">
        <v>11</v>
      </c>
      <c r="AE778" t="s">
        <v>473</v>
      </c>
    </row>
    <row r="779" spans="1:31" x14ac:dyDescent="0.25">
      <c r="A779">
        <v>4964</v>
      </c>
      <c r="B779">
        <v>1958</v>
      </c>
      <c r="C779" t="s">
        <v>33</v>
      </c>
      <c r="D779" t="s">
        <v>31</v>
      </c>
      <c r="E779" t="str">
        <f>IF(OR(Table1[[#This Row],[marital_status]]="Married", Table1[[#This Row],[marital_status]]="Together"), "Partnered", "Single")</f>
        <v>Partnered</v>
      </c>
      <c r="F779" s="7">
        <v>74250</v>
      </c>
      <c r="G779" s="8">
        <v>0</v>
      </c>
      <c r="H779" s="8">
        <v>0</v>
      </c>
      <c r="I779" s="8">
        <f>Table1[[#This Row],[kids]]+Table1[[#This Row],[teens]]</f>
        <v>0</v>
      </c>
      <c r="J779" s="9">
        <v>41665</v>
      </c>
      <c r="K779" s="8">
        <v>90</v>
      </c>
      <c r="L779" s="6">
        <v>680</v>
      </c>
      <c r="M779" s="5">
        <v>11</v>
      </c>
      <c r="N779" s="5">
        <v>392</v>
      </c>
      <c r="O779" s="5">
        <v>75</v>
      </c>
      <c r="P779" s="5">
        <v>0</v>
      </c>
      <c r="Q779" s="5">
        <v>0</v>
      </c>
      <c r="R779" s="8">
        <v>1</v>
      </c>
      <c r="S779" s="8">
        <v>2</v>
      </c>
      <c r="T779" s="8">
        <v>11</v>
      </c>
      <c r="U779" s="8">
        <v>4</v>
      </c>
      <c r="V779" s="8">
        <v>1</v>
      </c>
      <c r="W779" t="s">
        <v>473</v>
      </c>
      <c r="X779" t="s">
        <v>473</v>
      </c>
      <c r="Y779" t="s">
        <v>473</v>
      </c>
      <c r="Z779" t="s">
        <v>473</v>
      </c>
      <c r="AA779" t="s">
        <v>473</v>
      </c>
      <c r="AB779" t="s">
        <v>473</v>
      </c>
      <c r="AC779" s="10">
        <v>3</v>
      </c>
      <c r="AD779" s="10">
        <v>11</v>
      </c>
      <c r="AE779" t="s">
        <v>473</v>
      </c>
    </row>
    <row r="780" spans="1:31" x14ac:dyDescent="0.25">
      <c r="A780">
        <v>2461</v>
      </c>
      <c r="B780">
        <v>1955</v>
      </c>
      <c r="C780" t="s">
        <v>36</v>
      </c>
      <c r="D780" t="s">
        <v>30</v>
      </c>
      <c r="E780" t="str">
        <f>IF(OR(Table1[[#This Row],[marital_status]]="Married", Table1[[#This Row],[marital_status]]="Together"), "Partnered", "Single")</f>
        <v>Single</v>
      </c>
      <c r="F780" s="7">
        <v>51124</v>
      </c>
      <c r="G780" s="8">
        <v>1</v>
      </c>
      <c r="H780" s="8">
        <v>1</v>
      </c>
      <c r="I780" s="8">
        <f>Table1[[#This Row],[kids]]+Table1[[#This Row],[teens]]</f>
        <v>2</v>
      </c>
      <c r="J780" s="9">
        <v>41626</v>
      </c>
      <c r="K780" s="8">
        <v>79</v>
      </c>
      <c r="L780" s="6">
        <v>26</v>
      </c>
      <c r="M780" s="5">
        <v>1</v>
      </c>
      <c r="N780" s="5">
        <v>11</v>
      </c>
      <c r="O780" s="5">
        <v>0</v>
      </c>
      <c r="P780" s="5">
        <v>1</v>
      </c>
      <c r="Q780" s="5">
        <v>4</v>
      </c>
      <c r="R780" s="8">
        <v>2</v>
      </c>
      <c r="S780" s="8">
        <v>1</v>
      </c>
      <c r="T780" s="8">
        <v>0</v>
      </c>
      <c r="U780" s="8">
        <v>3</v>
      </c>
      <c r="V780" s="8">
        <v>3</v>
      </c>
      <c r="W780" t="s">
        <v>473</v>
      </c>
      <c r="X780" t="s">
        <v>473</v>
      </c>
      <c r="Y780" t="s">
        <v>473</v>
      </c>
      <c r="Z780" t="s">
        <v>473</v>
      </c>
      <c r="AA780" t="s">
        <v>473</v>
      </c>
      <c r="AB780" t="s">
        <v>473</v>
      </c>
      <c r="AC780" s="10">
        <v>3</v>
      </c>
      <c r="AD780" s="10">
        <v>11</v>
      </c>
      <c r="AE780" t="s">
        <v>473</v>
      </c>
    </row>
    <row r="781" spans="1:31" x14ac:dyDescent="0.25">
      <c r="A781">
        <v>10736</v>
      </c>
      <c r="B781">
        <v>1971</v>
      </c>
      <c r="C781" t="s">
        <v>466</v>
      </c>
      <c r="D781" t="s">
        <v>30</v>
      </c>
      <c r="E781" t="str">
        <f>IF(OR(Table1[[#This Row],[marital_status]]="Married", Table1[[#This Row],[marital_status]]="Together"), "Partnered", "Single")</f>
        <v>Single</v>
      </c>
      <c r="F781" s="7">
        <v>72258</v>
      </c>
      <c r="G781" s="8">
        <v>0</v>
      </c>
      <c r="H781" s="8">
        <v>1</v>
      </c>
      <c r="I781" s="8">
        <f>Table1[[#This Row],[kids]]+Table1[[#This Row],[teens]]</f>
        <v>1</v>
      </c>
      <c r="J781" s="9">
        <v>41529</v>
      </c>
      <c r="K781" s="8">
        <v>28</v>
      </c>
      <c r="L781" s="6">
        <v>522</v>
      </c>
      <c r="M781" s="5">
        <v>0</v>
      </c>
      <c r="N781" s="5">
        <v>522</v>
      </c>
      <c r="O781" s="5">
        <v>227</v>
      </c>
      <c r="P781" s="5">
        <v>120</v>
      </c>
      <c r="Q781" s="5">
        <v>134</v>
      </c>
      <c r="R781" s="8">
        <v>2</v>
      </c>
      <c r="S781" s="8">
        <v>6</v>
      </c>
      <c r="T781" s="8">
        <v>9</v>
      </c>
      <c r="U781" s="8">
        <v>5</v>
      </c>
      <c r="V781" s="8">
        <v>2</v>
      </c>
      <c r="W781" t="s">
        <v>473</v>
      </c>
      <c r="X781" t="s">
        <v>473</v>
      </c>
      <c r="Y781" t="s">
        <v>473</v>
      </c>
      <c r="Z781" t="s">
        <v>473</v>
      </c>
      <c r="AA781" t="s">
        <v>473</v>
      </c>
      <c r="AB781" t="s">
        <v>473</v>
      </c>
      <c r="AC781" s="10">
        <v>3</v>
      </c>
      <c r="AD781" s="10">
        <v>11</v>
      </c>
      <c r="AE781" t="s">
        <v>473</v>
      </c>
    </row>
    <row r="782" spans="1:31" x14ac:dyDescent="0.25">
      <c r="A782">
        <v>3194</v>
      </c>
      <c r="B782">
        <v>1974</v>
      </c>
      <c r="C782" t="s">
        <v>33</v>
      </c>
      <c r="D782" t="s">
        <v>30</v>
      </c>
      <c r="E782" t="str">
        <f>IF(OR(Table1[[#This Row],[marital_status]]="Married", Table1[[#This Row],[marital_status]]="Together"), "Partnered", "Single")</f>
        <v>Single</v>
      </c>
      <c r="F782" s="7">
        <v>71466</v>
      </c>
      <c r="G782" s="8">
        <v>0</v>
      </c>
      <c r="H782" s="8">
        <v>0</v>
      </c>
      <c r="I782" s="8">
        <f>Table1[[#This Row],[kids]]+Table1[[#This Row],[teens]]</f>
        <v>0</v>
      </c>
      <c r="J782" s="9">
        <v>41734</v>
      </c>
      <c r="K782" s="8">
        <v>86</v>
      </c>
      <c r="L782" s="6">
        <v>412</v>
      </c>
      <c r="M782" s="5">
        <v>12</v>
      </c>
      <c r="N782" s="5">
        <v>546</v>
      </c>
      <c r="O782" s="5">
        <v>78</v>
      </c>
      <c r="P782" s="5">
        <v>182</v>
      </c>
      <c r="Q782" s="5">
        <v>0</v>
      </c>
      <c r="R782" s="8">
        <v>1</v>
      </c>
      <c r="S782" s="8">
        <v>4</v>
      </c>
      <c r="T782" s="8">
        <v>4</v>
      </c>
      <c r="U782" s="8">
        <v>10</v>
      </c>
      <c r="V782" s="8">
        <v>1</v>
      </c>
      <c r="W782" t="s">
        <v>473</v>
      </c>
      <c r="X782" t="s">
        <v>473</v>
      </c>
      <c r="Y782" t="s">
        <v>473</v>
      </c>
      <c r="Z782" t="s">
        <v>473</v>
      </c>
      <c r="AA782" t="s">
        <v>473</v>
      </c>
      <c r="AB782" t="s">
        <v>473</v>
      </c>
      <c r="AC782" s="10">
        <v>3</v>
      </c>
      <c r="AD782" s="10">
        <v>11</v>
      </c>
      <c r="AE782" t="s">
        <v>473</v>
      </c>
    </row>
    <row r="783" spans="1:31" x14ac:dyDescent="0.25">
      <c r="A783">
        <v>10839</v>
      </c>
      <c r="B783">
        <v>1976</v>
      </c>
      <c r="C783" t="s">
        <v>466</v>
      </c>
      <c r="D783" t="s">
        <v>31</v>
      </c>
      <c r="E783" t="str">
        <f>IF(OR(Table1[[#This Row],[marital_status]]="Married", Table1[[#This Row],[marital_status]]="Together"), "Partnered", "Single")</f>
        <v>Partnered</v>
      </c>
      <c r="F783" s="7">
        <v>36283</v>
      </c>
      <c r="G783" s="8">
        <v>1</v>
      </c>
      <c r="H783" s="8">
        <v>1</v>
      </c>
      <c r="I783" s="8">
        <f>Table1[[#This Row],[kids]]+Table1[[#This Row],[teens]]</f>
        <v>2</v>
      </c>
      <c r="J783" s="9">
        <v>41743</v>
      </c>
      <c r="K783" s="8">
        <v>42</v>
      </c>
      <c r="L783" s="6">
        <v>6</v>
      </c>
      <c r="M783" s="5">
        <v>5</v>
      </c>
      <c r="N783" s="5">
        <v>5</v>
      </c>
      <c r="O783" s="5">
        <v>8</v>
      </c>
      <c r="P783" s="5">
        <v>0</v>
      </c>
      <c r="Q783" s="5">
        <v>5</v>
      </c>
      <c r="R783" s="8">
        <v>2</v>
      </c>
      <c r="S783" s="8">
        <v>1</v>
      </c>
      <c r="T783" s="8">
        <v>0</v>
      </c>
      <c r="U783" s="8">
        <v>3</v>
      </c>
      <c r="V783" s="8">
        <v>4</v>
      </c>
      <c r="W783" t="s">
        <v>473</v>
      </c>
      <c r="X783" t="s">
        <v>473</v>
      </c>
      <c r="Y783" t="s">
        <v>473</v>
      </c>
      <c r="Z783" t="s">
        <v>473</v>
      </c>
      <c r="AA783" t="s">
        <v>473</v>
      </c>
      <c r="AB783" t="s">
        <v>473</v>
      </c>
      <c r="AC783" s="10">
        <v>3</v>
      </c>
      <c r="AD783" s="10">
        <v>11</v>
      </c>
      <c r="AE783" t="s">
        <v>473</v>
      </c>
    </row>
    <row r="784" spans="1:31" x14ac:dyDescent="0.25">
      <c r="A784">
        <v>49</v>
      </c>
      <c r="B784">
        <v>1970</v>
      </c>
      <c r="C784" t="s">
        <v>466</v>
      </c>
      <c r="D784" t="s">
        <v>30</v>
      </c>
      <c r="E784" t="str">
        <f>IF(OR(Table1[[#This Row],[marital_status]]="Married", Table1[[#This Row],[marital_status]]="Together"), "Partnered", "Single")</f>
        <v>Single</v>
      </c>
      <c r="F784" s="7">
        <v>20587</v>
      </c>
      <c r="G784" s="8">
        <v>1</v>
      </c>
      <c r="H784" s="8">
        <v>0</v>
      </c>
      <c r="I784" s="8">
        <f>Table1[[#This Row],[kids]]+Table1[[#This Row],[teens]]</f>
        <v>1</v>
      </c>
      <c r="J784" s="9">
        <v>41770</v>
      </c>
      <c r="K784" s="8">
        <v>39</v>
      </c>
      <c r="L784" s="6">
        <v>2</v>
      </c>
      <c r="M784" s="5">
        <v>3</v>
      </c>
      <c r="N784" s="5">
        <v>6</v>
      </c>
      <c r="O784" s="5">
        <v>4</v>
      </c>
      <c r="P784" s="5">
        <v>1</v>
      </c>
      <c r="Q784" s="5">
        <v>9</v>
      </c>
      <c r="R784" s="8">
        <v>1</v>
      </c>
      <c r="S784" s="8">
        <v>1</v>
      </c>
      <c r="T784" s="8">
        <v>1</v>
      </c>
      <c r="U784" s="8">
        <v>2</v>
      </c>
      <c r="V784" s="8">
        <v>7</v>
      </c>
      <c r="W784" t="s">
        <v>473</v>
      </c>
      <c r="X784" t="s">
        <v>473</v>
      </c>
      <c r="Y784" t="s">
        <v>473</v>
      </c>
      <c r="Z784" t="s">
        <v>473</v>
      </c>
      <c r="AA784" t="s">
        <v>473</v>
      </c>
      <c r="AB784" t="s">
        <v>473</v>
      </c>
      <c r="AC784" s="10">
        <v>3</v>
      </c>
      <c r="AD784" s="10">
        <v>11</v>
      </c>
      <c r="AE784" t="s">
        <v>473</v>
      </c>
    </row>
    <row r="785" spans="1:31" x14ac:dyDescent="0.25">
      <c r="A785">
        <v>4290</v>
      </c>
      <c r="B785">
        <v>1972</v>
      </c>
      <c r="C785" t="s">
        <v>466</v>
      </c>
      <c r="D785" t="s">
        <v>34</v>
      </c>
      <c r="E785" t="str">
        <f>IF(OR(Table1[[#This Row],[marital_status]]="Married", Table1[[#This Row],[marital_status]]="Together"), "Partnered", "Single")</f>
        <v>Partnered</v>
      </c>
      <c r="F785" s="7">
        <v>30467</v>
      </c>
      <c r="G785" s="8">
        <v>1</v>
      </c>
      <c r="H785" s="8">
        <v>0</v>
      </c>
      <c r="I785" s="8">
        <f>Table1[[#This Row],[kids]]+Table1[[#This Row],[teens]]</f>
        <v>1</v>
      </c>
      <c r="J785" s="9">
        <v>41717</v>
      </c>
      <c r="K785" s="8">
        <v>8</v>
      </c>
      <c r="L785" s="6">
        <v>1</v>
      </c>
      <c r="M785" s="5">
        <v>3</v>
      </c>
      <c r="N785" s="5">
        <v>8</v>
      </c>
      <c r="O785" s="5">
        <v>2</v>
      </c>
      <c r="P785" s="5">
        <v>5</v>
      </c>
      <c r="Q785" s="5">
        <v>5</v>
      </c>
      <c r="R785" s="8">
        <v>1</v>
      </c>
      <c r="S785" s="8">
        <v>1</v>
      </c>
      <c r="T785" s="8">
        <v>0</v>
      </c>
      <c r="U785" s="8">
        <v>2</v>
      </c>
      <c r="V785" s="8">
        <v>7</v>
      </c>
      <c r="W785" t="s">
        <v>473</v>
      </c>
      <c r="X785" t="s">
        <v>473</v>
      </c>
      <c r="Y785" t="s">
        <v>473</v>
      </c>
      <c r="Z785" t="s">
        <v>473</v>
      </c>
      <c r="AA785" t="s">
        <v>473</v>
      </c>
      <c r="AB785" t="s">
        <v>473</v>
      </c>
      <c r="AC785" s="10">
        <v>3</v>
      </c>
      <c r="AD785" s="10">
        <v>11</v>
      </c>
      <c r="AE785" t="s">
        <v>473</v>
      </c>
    </row>
    <row r="786" spans="1:31" x14ac:dyDescent="0.25">
      <c r="A786">
        <v>10219</v>
      </c>
      <c r="B786">
        <v>1972</v>
      </c>
      <c r="C786" t="s">
        <v>466</v>
      </c>
      <c r="D786" t="s">
        <v>31</v>
      </c>
      <c r="E786" t="str">
        <f>IF(OR(Table1[[#This Row],[marital_status]]="Married", Table1[[#This Row],[marital_status]]="Together"), "Partnered", "Single")</f>
        <v>Partnered</v>
      </c>
      <c r="F786" s="7">
        <v>31590</v>
      </c>
      <c r="G786" s="8">
        <v>1</v>
      </c>
      <c r="H786" s="8">
        <v>0</v>
      </c>
      <c r="I786" s="8">
        <f>Table1[[#This Row],[kids]]+Table1[[#This Row],[teens]]</f>
        <v>1</v>
      </c>
      <c r="J786" s="9">
        <v>41443</v>
      </c>
      <c r="K786" s="8">
        <v>40</v>
      </c>
      <c r="L786" s="6">
        <v>6</v>
      </c>
      <c r="M786" s="5">
        <v>2</v>
      </c>
      <c r="N786" s="5">
        <v>15</v>
      </c>
      <c r="O786" s="5">
        <v>6</v>
      </c>
      <c r="P786" s="5">
        <v>6</v>
      </c>
      <c r="Q786" s="5">
        <v>3</v>
      </c>
      <c r="R786" s="8">
        <v>1</v>
      </c>
      <c r="S786" s="8">
        <v>1</v>
      </c>
      <c r="T786" s="8">
        <v>0</v>
      </c>
      <c r="U786" s="8">
        <v>3</v>
      </c>
      <c r="V786" s="8">
        <v>8</v>
      </c>
      <c r="W786" t="s">
        <v>473</v>
      </c>
      <c r="X786" t="s">
        <v>473</v>
      </c>
      <c r="Y786" t="s">
        <v>473</v>
      </c>
      <c r="Z786" t="s">
        <v>473</v>
      </c>
      <c r="AA786" t="s">
        <v>473</v>
      </c>
      <c r="AB786" t="s">
        <v>473</v>
      </c>
      <c r="AC786" s="10">
        <v>3</v>
      </c>
      <c r="AD786" s="10">
        <v>11</v>
      </c>
      <c r="AE786" t="s">
        <v>473</v>
      </c>
    </row>
    <row r="787" spans="1:31" x14ac:dyDescent="0.25">
      <c r="A787">
        <v>4211</v>
      </c>
      <c r="B787">
        <v>1986</v>
      </c>
      <c r="C787" t="s">
        <v>41</v>
      </c>
      <c r="D787" t="s">
        <v>34</v>
      </c>
      <c r="E787" t="str">
        <f>IF(OR(Table1[[#This Row],[marital_status]]="Married", Table1[[#This Row],[marital_status]]="Together"), "Partnered", "Single")</f>
        <v>Partnered</v>
      </c>
      <c r="F787" s="7">
        <v>20425</v>
      </c>
      <c r="G787" s="8">
        <v>1</v>
      </c>
      <c r="H787" s="8">
        <v>0</v>
      </c>
      <c r="I787" s="8">
        <f>Table1[[#This Row],[kids]]+Table1[[#This Row],[teens]]</f>
        <v>1</v>
      </c>
      <c r="J787" s="9">
        <v>41211</v>
      </c>
      <c r="K787" s="8">
        <v>5</v>
      </c>
      <c r="L787" s="6">
        <v>4</v>
      </c>
      <c r="M787" s="5">
        <v>12</v>
      </c>
      <c r="N787" s="5">
        <v>5</v>
      </c>
      <c r="O787" s="5">
        <v>3</v>
      </c>
      <c r="P787" s="5">
        <v>16</v>
      </c>
      <c r="Q787" s="5">
        <v>17</v>
      </c>
      <c r="R787" s="8">
        <v>2</v>
      </c>
      <c r="S787" s="8">
        <v>2</v>
      </c>
      <c r="T787" s="8">
        <v>0</v>
      </c>
      <c r="U787" s="8">
        <v>3</v>
      </c>
      <c r="V787" s="8">
        <v>7</v>
      </c>
      <c r="W787" t="s">
        <v>473</v>
      </c>
      <c r="X787" t="s">
        <v>473</v>
      </c>
      <c r="Y787" t="s">
        <v>473</v>
      </c>
      <c r="Z787" t="s">
        <v>473</v>
      </c>
      <c r="AA787" t="s">
        <v>473</v>
      </c>
      <c r="AB787" t="s">
        <v>473</v>
      </c>
      <c r="AC787" s="10">
        <v>3</v>
      </c>
      <c r="AD787" s="10">
        <v>11</v>
      </c>
      <c r="AE787" t="s">
        <v>473</v>
      </c>
    </row>
    <row r="788" spans="1:31" x14ac:dyDescent="0.25">
      <c r="A788">
        <v>1135</v>
      </c>
      <c r="B788">
        <v>1960</v>
      </c>
      <c r="C788" t="s">
        <v>36</v>
      </c>
      <c r="D788" t="s">
        <v>31</v>
      </c>
      <c r="E788" t="str">
        <f>IF(OR(Table1[[#This Row],[marital_status]]="Married", Table1[[#This Row],[marital_status]]="Together"), "Partnered", "Single")</f>
        <v>Partnered</v>
      </c>
      <c r="F788" s="7">
        <v>17144</v>
      </c>
      <c r="G788" s="8">
        <v>1</v>
      </c>
      <c r="H788" s="8">
        <v>1</v>
      </c>
      <c r="I788" s="8">
        <f>Table1[[#This Row],[kids]]+Table1[[#This Row],[teens]]</f>
        <v>2</v>
      </c>
      <c r="J788" s="9">
        <v>41685</v>
      </c>
      <c r="K788" s="8">
        <v>96</v>
      </c>
      <c r="L788" s="6">
        <v>18</v>
      </c>
      <c r="M788" s="5">
        <v>2</v>
      </c>
      <c r="N788" s="5">
        <v>19</v>
      </c>
      <c r="O788" s="5">
        <v>0</v>
      </c>
      <c r="P788" s="5">
        <v>2</v>
      </c>
      <c r="Q788" s="5">
        <v>6</v>
      </c>
      <c r="R788" s="8">
        <v>5</v>
      </c>
      <c r="S788" s="8">
        <v>3</v>
      </c>
      <c r="T788" s="8">
        <v>0</v>
      </c>
      <c r="U788" s="8">
        <v>4</v>
      </c>
      <c r="V788" s="8">
        <v>7</v>
      </c>
      <c r="W788" t="s">
        <v>473</v>
      </c>
      <c r="X788" t="s">
        <v>473</v>
      </c>
      <c r="Y788" t="s">
        <v>473</v>
      </c>
      <c r="Z788" t="s">
        <v>473</v>
      </c>
      <c r="AA788" t="s">
        <v>473</v>
      </c>
      <c r="AB788" t="s">
        <v>473</v>
      </c>
      <c r="AC788" s="10">
        <v>3</v>
      </c>
      <c r="AD788" s="10">
        <v>11</v>
      </c>
      <c r="AE788" t="s">
        <v>473</v>
      </c>
    </row>
    <row r="789" spans="1:31" x14ac:dyDescent="0.25">
      <c r="A789">
        <v>6299</v>
      </c>
      <c r="B789">
        <v>1968</v>
      </c>
      <c r="C789" t="s">
        <v>33</v>
      </c>
      <c r="D789" t="s">
        <v>37</v>
      </c>
      <c r="E789" t="str">
        <f>IF(OR(Table1[[#This Row],[marital_status]]="Married", Table1[[#This Row],[marital_status]]="Together"), "Partnered", "Single")</f>
        <v>Single</v>
      </c>
      <c r="F789" s="7">
        <v>42564</v>
      </c>
      <c r="G789" s="8">
        <v>0</v>
      </c>
      <c r="H789" s="8">
        <v>1</v>
      </c>
      <c r="I789" s="8">
        <f>Table1[[#This Row],[kids]]+Table1[[#This Row],[teens]]</f>
        <v>1</v>
      </c>
      <c r="J789" s="9">
        <v>41276</v>
      </c>
      <c r="K789" s="8">
        <v>28</v>
      </c>
      <c r="L789" s="6">
        <v>324</v>
      </c>
      <c r="M789" s="5">
        <v>48</v>
      </c>
      <c r="N789" s="5">
        <v>186</v>
      </c>
      <c r="O789" s="5">
        <v>39</v>
      </c>
      <c r="P789" s="5">
        <v>18</v>
      </c>
      <c r="Q789" s="5">
        <v>198</v>
      </c>
      <c r="R789" s="8">
        <v>6</v>
      </c>
      <c r="S789" s="8">
        <v>6</v>
      </c>
      <c r="T789" s="8">
        <v>8</v>
      </c>
      <c r="U789" s="8">
        <v>4</v>
      </c>
      <c r="V789" s="8">
        <v>7</v>
      </c>
      <c r="W789" t="s">
        <v>474</v>
      </c>
      <c r="X789" t="s">
        <v>473</v>
      </c>
      <c r="Y789" t="s">
        <v>473</v>
      </c>
      <c r="Z789" t="s">
        <v>473</v>
      </c>
      <c r="AA789" t="s">
        <v>473</v>
      </c>
      <c r="AB789" t="s">
        <v>473</v>
      </c>
      <c r="AC789" s="10">
        <v>3</v>
      </c>
      <c r="AD789" s="10">
        <v>11</v>
      </c>
      <c r="AE789" t="s">
        <v>474</v>
      </c>
    </row>
    <row r="790" spans="1:31" x14ac:dyDescent="0.25">
      <c r="A790">
        <v>10846</v>
      </c>
      <c r="B790">
        <v>1978</v>
      </c>
      <c r="C790" t="s">
        <v>36</v>
      </c>
      <c r="D790" t="s">
        <v>34</v>
      </c>
      <c r="E790" t="str">
        <f>IF(OR(Table1[[#This Row],[marital_status]]="Married", Table1[[#This Row],[marital_status]]="Together"), "Partnered", "Single")</f>
        <v>Partnered</v>
      </c>
      <c r="F790" s="7">
        <v>43783</v>
      </c>
      <c r="G790" s="8">
        <v>1</v>
      </c>
      <c r="H790" s="8">
        <v>0</v>
      </c>
      <c r="I790" s="8">
        <f>Table1[[#This Row],[kids]]+Table1[[#This Row],[teens]]</f>
        <v>1</v>
      </c>
      <c r="J790" s="9">
        <v>41788</v>
      </c>
      <c r="K790" s="8">
        <v>22</v>
      </c>
      <c r="L790" s="6">
        <v>327</v>
      </c>
      <c r="M790" s="5">
        <v>9</v>
      </c>
      <c r="N790" s="5">
        <v>125</v>
      </c>
      <c r="O790" s="5">
        <v>25</v>
      </c>
      <c r="P790" s="5">
        <v>4</v>
      </c>
      <c r="Q790" s="5">
        <v>139</v>
      </c>
      <c r="R790" s="8">
        <v>6</v>
      </c>
      <c r="S790" s="8">
        <v>7</v>
      </c>
      <c r="T790" s="8">
        <v>1</v>
      </c>
      <c r="U790" s="8">
        <v>8</v>
      </c>
      <c r="V790" s="8">
        <v>7</v>
      </c>
      <c r="W790" t="s">
        <v>474</v>
      </c>
      <c r="X790" t="s">
        <v>473</v>
      </c>
      <c r="Y790" t="s">
        <v>473</v>
      </c>
      <c r="Z790" t="s">
        <v>473</v>
      </c>
      <c r="AA790" t="s">
        <v>473</v>
      </c>
      <c r="AB790" t="s">
        <v>473</v>
      </c>
      <c r="AC790" s="10">
        <v>3</v>
      </c>
      <c r="AD790" s="10">
        <v>11</v>
      </c>
      <c r="AE790" t="s">
        <v>473</v>
      </c>
    </row>
    <row r="791" spans="1:31" x14ac:dyDescent="0.25">
      <c r="A791">
        <v>347</v>
      </c>
      <c r="B791">
        <v>1976</v>
      </c>
      <c r="C791" t="s">
        <v>466</v>
      </c>
      <c r="D791" t="s">
        <v>37</v>
      </c>
      <c r="E791" t="str">
        <f>IF(OR(Table1[[#This Row],[marital_status]]="Married", Table1[[#This Row],[marital_status]]="Together"), "Partnered", "Single")</f>
        <v>Single</v>
      </c>
      <c r="F791" s="7">
        <v>40780</v>
      </c>
      <c r="G791" s="8">
        <v>0</v>
      </c>
      <c r="H791" s="8">
        <v>1</v>
      </c>
      <c r="I791" s="8">
        <f>Table1[[#This Row],[kids]]+Table1[[#This Row],[teens]]</f>
        <v>1</v>
      </c>
      <c r="J791" s="9">
        <v>41160</v>
      </c>
      <c r="K791" s="8">
        <v>30</v>
      </c>
      <c r="L791" s="6">
        <v>229</v>
      </c>
      <c r="M791" s="5">
        <v>27</v>
      </c>
      <c r="N791" s="5">
        <v>71</v>
      </c>
      <c r="O791" s="5">
        <v>13</v>
      </c>
      <c r="P791" s="5">
        <v>3</v>
      </c>
      <c r="Q791" s="5">
        <v>34</v>
      </c>
      <c r="R791" s="8">
        <v>4</v>
      </c>
      <c r="S791" s="8">
        <v>7</v>
      </c>
      <c r="T791" s="8">
        <v>1</v>
      </c>
      <c r="U791" s="8">
        <v>5</v>
      </c>
      <c r="V791" s="8">
        <v>9</v>
      </c>
      <c r="W791" t="s">
        <v>473</v>
      </c>
      <c r="X791" t="s">
        <v>473</v>
      </c>
      <c r="Y791" t="s">
        <v>473</v>
      </c>
      <c r="Z791" t="s">
        <v>473</v>
      </c>
      <c r="AA791" t="s">
        <v>473</v>
      </c>
      <c r="AB791" t="s">
        <v>473</v>
      </c>
      <c r="AC791" s="10">
        <v>3</v>
      </c>
      <c r="AD791" s="10">
        <v>11</v>
      </c>
      <c r="AE791" t="s">
        <v>473</v>
      </c>
    </row>
    <row r="792" spans="1:31" x14ac:dyDescent="0.25">
      <c r="A792">
        <v>6543</v>
      </c>
      <c r="B792">
        <v>1945</v>
      </c>
      <c r="C792" t="s">
        <v>36</v>
      </c>
      <c r="D792" t="s">
        <v>31</v>
      </c>
      <c r="E792" t="str">
        <f>IF(OR(Table1[[#This Row],[marital_status]]="Married", Table1[[#This Row],[marital_status]]="Together"), "Partnered", "Single")</f>
        <v>Partnered</v>
      </c>
      <c r="F792" s="7">
        <v>62847</v>
      </c>
      <c r="G792" s="8">
        <v>0</v>
      </c>
      <c r="H792" s="8">
        <v>0</v>
      </c>
      <c r="I792" s="8">
        <f>Table1[[#This Row],[kids]]+Table1[[#This Row],[teens]]</f>
        <v>0</v>
      </c>
      <c r="J792" s="9">
        <v>41289</v>
      </c>
      <c r="K792" s="8">
        <v>45</v>
      </c>
      <c r="L792" s="6">
        <v>521</v>
      </c>
      <c r="M792" s="5">
        <v>168</v>
      </c>
      <c r="N792" s="5">
        <v>706</v>
      </c>
      <c r="O792" s="5">
        <v>80</v>
      </c>
      <c r="P792" s="5">
        <v>76</v>
      </c>
      <c r="Q792" s="5">
        <v>61</v>
      </c>
      <c r="R792" s="8">
        <v>1</v>
      </c>
      <c r="S792" s="8">
        <v>3</v>
      </c>
      <c r="T792" s="8">
        <v>6</v>
      </c>
      <c r="U792" s="8">
        <v>4</v>
      </c>
      <c r="V792" s="8">
        <v>2</v>
      </c>
      <c r="W792" t="s">
        <v>473</v>
      </c>
      <c r="X792" t="s">
        <v>473</v>
      </c>
      <c r="Y792" t="s">
        <v>473</v>
      </c>
      <c r="Z792" t="s">
        <v>473</v>
      </c>
      <c r="AA792" t="s">
        <v>473</v>
      </c>
      <c r="AB792" t="s">
        <v>473</v>
      </c>
      <c r="AC792" s="10">
        <v>3</v>
      </c>
      <c r="AD792" s="10">
        <v>11</v>
      </c>
      <c r="AE792" t="s">
        <v>473</v>
      </c>
    </row>
    <row r="793" spans="1:31" x14ac:dyDescent="0.25">
      <c r="A793">
        <v>10446</v>
      </c>
      <c r="B793">
        <v>1957</v>
      </c>
      <c r="C793" t="s">
        <v>33</v>
      </c>
      <c r="D793" t="s">
        <v>34</v>
      </c>
      <c r="E793" t="str">
        <f>IF(OR(Table1[[#This Row],[marital_status]]="Married", Table1[[#This Row],[marital_status]]="Together"), "Partnered", "Single")</f>
        <v>Partnered</v>
      </c>
      <c r="F793" s="7">
        <v>82017</v>
      </c>
      <c r="G793" s="8">
        <v>0</v>
      </c>
      <c r="H793" s="8">
        <v>0</v>
      </c>
      <c r="I793" s="8">
        <f>Table1[[#This Row],[kids]]+Table1[[#This Row],[teens]]</f>
        <v>0</v>
      </c>
      <c r="J793" s="9">
        <v>41220</v>
      </c>
      <c r="K793" s="8">
        <v>58</v>
      </c>
      <c r="L793" s="6">
        <v>184</v>
      </c>
      <c r="M793" s="5">
        <v>23</v>
      </c>
      <c r="N793" s="5">
        <v>446</v>
      </c>
      <c r="O793" s="5">
        <v>30</v>
      </c>
      <c r="P793" s="5">
        <v>23</v>
      </c>
      <c r="Q793" s="5">
        <v>23</v>
      </c>
      <c r="R793" s="8">
        <v>1</v>
      </c>
      <c r="S793" s="8">
        <v>5</v>
      </c>
      <c r="T793" s="8">
        <v>4</v>
      </c>
      <c r="U793" s="8">
        <v>7</v>
      </c>
      <c r="V793" s="8">
        <v>2</v>
      </c>
      <c r="W793" t="s">
        <v>473</v>
      </c>
      <c r="X793" t="s">
        <v>474</v>
      </c>
      <c r="Y793" t="s">
        <v>474</v>
      </c>
      <c r="Z793" t="s">
        <v>474</v>
      </c>
      <c r="AA793" t="s">
        <v>473</v>
      </c>
      <c r="AB793" t="s">
        <v>473</v>
      </c>
      <c r="AC793" s="10">
        <v>3</v>
      </c>
      <c r="AD793" s="10">
        <v>11</v>
      </c>
      <c r="AE793" t="s">
        <v>474</v>
      </c>
    </row>
    <row r="794" spans="1:31" x14ac:dyDescent="0.25">
      <c r="A794">
        <v>3479</v>
      </c>
      <c r="B794">
        <v>1950</v>
      </c>
      <c r="C794" t="s">
        <v>466</v>
      </c>
      <c r="D794" t="s">
        <v>30</v>
      </c>
      <c r="E794" t="str">
        <f>IF(OR(Table1[[#This Row],[marital_status]]="Married", Table1[[#This Row],[marital_status]]="Together"), "Partnered", "Single")</f>
        <v>Single</v>
      </c>
      <c r="F794" s="7">
        <v>16813</v>
      </c>
      <c r="G794" s="8">
        <v>0</v>
      </c>
      <c r="H794" s="8">
        <v>0</v>
      </c>
      <c r="I794" s="8">
        <f>Table1[[#This Row],[kids]]+Table1[[#This Row],[teens]]</f>
        <v>0</v>
      </c>
      <c r="J794" s="9">
        <v>41474</v>
      </c>
      <c r="K794" s="8">
        <v>49</v>
      </c>
      <c r="L794" s="6">
        <v>4</v>
      </c>
      <c r="M794" s="5">
        <v>8</v>
      </c>
      <c r="N794" s="5">
        <v>11</v>
      </c>
      <c r="O794" s="5">
        <v>12</v>
      </c>
      <c r="P794" s="5">
        <v>2</v>
      </c>
      <c r="Q794" s="5">
        <v>13</v>
      </c>
      <c r="R794" s="8">
        <v>1</v>
      </c>
      <c r="S794" s="8">
        <v>2</v>
      </c>
      <c r="T794" s="8">
        <v>0</v>
      </c>
      <c r="U794" s="8">
        <v>3</v>
      </c>
      <c r="V794" s="8">
        <v>7</v>
      </c>
      <c r="W794" t="s">
        <v>474</v>
      </c>
      <c r="X794" t="s">
        <v>473</v>
      </c>
      <c r="Y794" t="s">
        <v>473</v>
      </c>
      <c r="Z794" t="s">
        <v>473</v>
      </c>
      <c r="AA794" t="s">
        <v>473</v>
      </c>
      <c r="AB794" t="s">
        <v>473</v>
      </c>
      <c r="AC794" s="10">
        <v>3</v>
      </c>
      <c r="AD794" s="10">
        <v>11</v>
      </c>
      <c r="AE794" t="s">
        <v>473</v>
      </c>
    </row>
    <row r="795" spans="1:31" x14ac:dyDescent="0.25">
      <c r="A795">
        <v>11075</v>
      </c>
      <c r="B795">
        <v>1978</v>
      </c>
      <c r="C795" t="s">
        <v>466</v>
      </c>
      <c r="D795" t="s">
        <v>34</v>
      </c>
      <c r="E795" t="str">
        <f>IF(OR(Table1[[#This Row],[marital_status]]="Married", Table1[[#This Row],[marital_status]]="Together"), "Partnered", "Single")</f>
        <v>Partnered</v>
      </c>
      <c r="F795" s="7">
        <v>51267</v>
      </c>
      <c r="G795" s="8">
        <v>1</v>
      </c>
      <c r="H795" s="8">
        <v>1</v>
      </c>
      <c r="I795" s="8">
        <f>Table1[[#This Row],[kids]]+Table1[[#This Row],[teens]]</f>
        <v>2</v>
      </c>
      <c r="J795" s="9">
        <v>41576</v>
      </c>
      <c r="K795" s="8">
        <v>37</v>
      </c>
      <c r="L795" s="6">
        <v>183</v>
      </c>
      <c r="M795" s="5">
        <v>2</v>
      </c>
      <c r="N795" s="5">
        <v>64</v>
      </c>
      <c r="O795" s="5">
        <v>7</v>
      </c>
      <c r="P795" s="5">
        <v>2</v>
      </c>
      <c r="Q795" s="5">
        <v>12</v>
      </c>
      <c r="R795" s="8">
        <v>4</v>
      </c>
      <c r="S795" s="8">
        <v>3</v>
      </c>
      <c r="T795" s="8">
        <v>3</v>
      </c>
      <c r="U795" s="8">
        <v>5</v>
      </c>
      <c r="V795" s="8">
        <v>4</v>
      </c>
      <c r="W795" t="s">
        <v>473</v>
      </c>
      <c r="X795" t="s">
        <v>473</v>
      </c>
      <c r="Y795" t="s">
        <v>473</v>
      </c>
      <c r="Z795" t="s">
        <v>473</v>
      </c>
      <c r="AA795" t="s">
        <v>473</v>
      </c>
      <c r="AB795" t="s">
        <v>473</v>
      </c>
      <c r="AC795" s="10">
        <v>3</v>
      </c>
      <c r="AD795" s="10">
        <v>11</v>
      </c>
      <c r="AE795" t="s">
        <v>473</v>
      </c>
    </row>
    <row r="796" spans="1:31" x14ac:dyDescent="0.25">
      <c r="A796">
        <v>4442</v>
      </c>
      <c r="B796">
        <v>1961</v>
      </c>
      <c r="C796" t="s">
        <v>466</v>
      </c>
      <c r="D796" t="s">
        <v>30</v>
      </c>
      <c r="E796" t="str">
        <f>IF(OR(Table1[[#This Row],[marital_status]]="Married", Table1[[#This Row],[marital_status]]="Together"), "Partnered", "Single")</f>
        <v>Single</v>
      </c>
      <c r="F796" s="7">
        <v>46524</v>
      </c>
      <c r="G796" s="8">
        <v>0</v>
      </c>
      <c r="H796" s="8">
        <v>1</v>
      </c>
      <c r="I796" s="8">
        <f>Table1[[#This Row],[kids]]+Table1[[#This Row],[teens]]</f>
        <v>1</v>
      </c>
      <c r="J796" s="9">
        <v>41369</v>
      </c>
      <c r="K796" s="8">
        <v>70</v>
      </c>
      <c r="L796" s="6">
        <v>31</v>
      </c>
      <c r="M796" s="5">
        <v>19</v>
      </c>
      <c r="N796" s="5">
        <v>35</v>
      </c>
      <c r="O796" s="5">
        <v>26</v>
      </c>
      <c r="P796" s="5">
        <v>14</v>
      </c>
      <c r="Q796" s="5">
        <v>52</v>
      </c>
      <c r="R796" s="8">
        <v>2</v>
      </c>
      <c r="S796" s="8">
        <v>1</v>
      </c>
      <c r="T796" s="8">
        <v>1</v>
      </c>
      <c r="U796" s="8">
        <v>5</v>
      </c>
      <c r="V796" s="8">
        <v>3</v>
      </c>
      <c r="W796" t="s">
        <v>473</v>
      </c>
      <c r="X796" t="s">
        <v>473</v>
      </c>
      <c r="Y796" t="s">
        <v>473</v>
      </c>
      <c r="Z796" t="s">
        <v>473</v>
      </c>
      <c r="AA796" t="s">
        <v>473</v>
      </c>
      <c r="AB796" t="s">
        <v>473</v>
      </c>
      <c r="AC796" s="10">
        <v>3</v>
      </c>
      <c r="AD796" s="10">
        <v>11</v>
      </c>
      <c r="AE796" t="s">
        <v>473</v>
      </c>
    </row>
    <row r="797" spans="1:31" x14ac:dyDescent="0.25">
      <c r="A797">
        <v>199</v>
      </c>
      <c r="B797">
        <v>1962</v>
      </c>
      <c r="C797" t="s">
        <v>36</v>
      </c>
      <c r="D797" t="s">
        <v>30</v>
      </c>
      <c r="E797" t="str">
        <f>IF(OR(Table1[[#This Row],[marital_status]]="Married", Table1[[#This Row],[marital_status]]="Together"), "Partnered", "Single")</f>
        <v>Single</v>
      </c>
      <c r="F797" s="7">
        <v>45183</v>
      </c>
      <c r="G797" s="8">
        <v>0</v>
      </c>
      <c r="H797" s="8">
        <v>0</v>
      </c>
      <c r="I797" s="8">
        <f>Table1[[#This Row],[kids]]+Table1[[#This Row],[teens]]</f>
        <v>0</v>
      </c>
      <c r="J797" s="9">
        <v>41294</v>
      </c>
      <c r="K797" s="8">
        <v>33</v>
      </c>
      <c r="L797" s="6">
        <v>219</v>
      </c>
      <c r="M797" s="5">
        <v>3</v>
      </c>
      <c r="N797" s="5">
        <v>60</v>
      </c>
      <c r="O797" s="5">
        <v>12</v>
      </c>
      <c r="P797" s="5">
        <v>9</v>
      </c>
      <c r="Q797" s="5">
        <v>12</v>
      </c>
      <c r="R797" s="8">
        <v>1</v>
      </c>
      <c r="S797" s="8">
        <v>4</v>
      </c>
      <c r="T797" s="8">
        <v>1</v>
      </c>
      <c r="U797" s="8">
        <v>7</v>
      </c>
      <c r="V797" s="8">
        <v>7</v>
      </c>
      <c r="W797" t="s">
        <v>473</v>
      </c>
      <c r="X797" t="s">
        <v>474</v>
      </c>
      <c r="Y797" t="s">
        <v>473</v>
      </c>
      <c r="Z797" t="s">
        <v>473</v>
      </c>
      <c r="AA797" t="s">
        <v>473</v>
      </c>
      <c r="AB797" t="s">
        <v>473</v>
      </c>
      <c r="AC797" s="10">
        <v>3</v>
      </c>
      <c r="AD797" s="10">
        <v>11</v>
      </c>
      <c r="AE797" t="s">
        <v>473</v>
      </c>
    </row>
    <row r="798" spans="1:31" x14ac:dyDescent="0.25">
      <c r="A798">
        <v>6722</v>
      </c>
      <c r="B798">
        <v>1954</v>
      </c>
      <c r="C798" t="s">
        <v>33</v>
      </c>
      <c r="D798" t="s">
        <v>34</v>
      </c>
      <c r="E798" t="str">
        <f>IF(OR(Table1[[#This Row],[marital_status]]="Married", Table1[[#This Row],[marital_status]]="Together"), "Partnered", "Single")</f>
        <v>Partnered</v>
      </c>
      <c r="F798" s="7">
        <v>70421</v>
      </c>
      <c r="G798" s="8">
        <v>0</v>
      </c>
      <c r="H798" s="8">
        <v>1</v>
      </c>
      <c r="I798" s="8">
        <f>Table1[[#This Row],[kids]]+Table1[[#This Row],[teens]]</f>
        <v>1</v>
      </c>
      <c r="J798" s="9">
        <v>41818</v>
      </c>
      <c r="K798" s="8">
        <v>98</v>
      </c>
      <c r="L798" s="6">
        <v>479</v>
      </c>
      <c r="M798" s="5">
        <v>28</v>
      </c>
      <c r="N798" s="5">
        <v>136</v>
      </c>
      <c r="O798" s="5">
        <v>75</v>
      </c>
      <c r="P798" s="5">
        <v>14</v>
      </c>
      <c r="Q798" s="5">
        <v>35</v>
      </c>
      <c r="R798" s="8">
        <v>3</v>
      </c>
      <c r="S798" s="8">
        <v>10</v>
      </c>
      <c r="T798" s="8">
        <v>3</v>
      </c>
      <c r="U798" s="8">
        <v>7</v>
      </c>
      <c r="V798" s="8">
        <v>6</v>
      </c>
      <c r="W798" t="s">
        <v>473</v>
      </c>
      <c r="X798" t="s">
        <v>473</v>
      </c>
      <c r="Y798" t="s">
        <v>473</v>
      </c>
      <c r="Z798" t="s">
        <v>473</v>
      </c>
      <c r="AA798" t="s">
        <v>473</v>
      </c>
      <c r="AB798" t="s">
        <v>473</v>
      </c>
      <c r="AC798" s="10">
        <v>3</v>
      </c>
      <c r="AD798" s="10">
        <v>11</v>
      </c>
      <c r="AE798" t="s">
        <v>473</v>
      </c>
    </row>
    <row r="799" spans="1:31" x14ac:dyDescent="0.25">
      <c r="A799">
        <v>796</v>
      </c>
      <c r="B799">
        <v>1965</v>
      </c>
      <c r="C799" t="s">
        <v>46</v>
      </c>
      <c r="D799" t="s">
        <v>37</v>
      </c>
      <c r="E799" t="str">
        <f>IF(OR(Table1[[#This Row],[marital_status]]="Married", Table1[[#This Row],[marital_status]]="Together"), "Partnered", "Single")</f>
        <v>Single</v>
      </c>
      <c r="F799" s="7">
        <v>60161</v>
      </c>
      <c r="G799" s="8">
        <v>0</v>
      </c>
      <c r="H799" s="8">
        <v>1</v>
      </c>
      <c r="I799" s="8">
        <f>Table1[[#This Row],[kids]]+Table1[[#This Row],[teens]]</f>
        <v>1</v>
      </c>
      <c r="J799" s="9">
        <v>41205</v>
      </c>
      <c r="K799" s="8">
        <v>17</v>
      </c>
      <c r="L799" s="6">
        <v>584</v>
      </c>
      <c r="M799" s="5">
        <v>44</v>
      </c>
      <c r="N799" s="5">
        <v>212</v>
      </c>
      <c r="O799" s="5">
        <v>46</v>
      </c>
      <c r="P799" s="5">
        <v>8</v>
      </c>
      <c r="Q799" s="5">
        <v>177</v>
      </c>
      <c r="R799" s="8">
        <v>3</v>
      </c>
      <c r="S799" s="8">
        <v>11</v>
      </c>
      <c r="T799" s="8">
        <v>4</v>
      </c>
      <c r="U799" s="8">
        <v>8</v>
      </c>
      <c r="V799" s="8">
        <v>8</v>
      </c>
      <c r="W799" t="s">
        <v>473</v>
      </c>
      <c r="X799" t="s">
        <v>473</v>
      </c>
      <c r="Y799" t="s">
        <v>473</v>
      </c>
      <c r="Z799" t="s">
        <v>473</v>
      </c>
      <c r="AA799" t="s">
        <v>473</v>
      </c>
      <c r="AB799" t="s">
        <v>473</v>
      </c>
      <c r="AC799" s="10">
        <v>3</v>
      </c>
      <c r="AD799" s="10">
        <v>11</v>
      </c>
      <c r="AE799" t="s">
        <v>473</v>
      </c>
    </row>
    <row r="800" spans="1:31" x14ac:dyDescent="0.25">
      <c r="A800">
        <v>3749</v>
      </c>
      <c r="B800">
        <v>1973</v>
      </c>
      <c r="C800" t="s">
        <v>466</v>
      </c>
      <c r="D800" t="s">
        <v>31</v>
      </c>
      <c r="E800" t="str">
        <f>IF(OR(Table1[[#This Row],[marital_status]]="Married", Table1[[#This Row],[marital_status]]="Together"), "Partnered", "Single")</f>
        <v>Partnered</v>
      </c>
      <c r="F800" s="7">
        <v>73926</v>
      </c>
      <c r="G800" s="8">
        <v>0</v>
      </c>
      <c r="H800" s="8">
        <v>0</v>
      </c>
      <c r="I800" s="8">
        <f>Table1[[#This Row],[kids]]+Table1[[#This Row],[teens]]</f>
        <v>0</v>
      </c>
      <c r="J800" s="9">
        <v>41335</v>
      </c>
      <c r="K800" s="8">
        <v>54</v>
      </c>
      <c r="L800" s="6">
        <v>627</v>
      </c>
      <c r="M800" s="5">
        <v>91</v>
      </c>
      <c r="N800" s="5">
        <v>597</v>
      </c>
      <c r="O800" s="5">
        <v>159</v>
      </c>
      <c r="P800" s="5">
        <v>91</v>
      </c>
      <c r="Q800" s="5">
        <v>15</v>
      </c>
      <c r="R800" s="8">
        <v>1</v>
      </c>
      <c r="S800" s="8">
        <v>6</v>
      </c>
      <c r="T800" s="8">
        <v>5</v>
      </c>
      <c r="U800" s="8">
        <v>12</v>
      </c>
      <c r="V800" s="8">
        <v>3</v>
      </c>
      <c r="W800" t="s">
        <v>473</v>
      </c>
      <c r="X800" t="s">
        <v>473</v>
      </c>
      <c r="Y800" t="s">
        <v>473</v>
      </c>
      <c r="Z800" t="s">
        <v>473</v>
      </c>
      <c r="AA800" t="s">
        <v>473</v>
      </c>
      <c r="AB800" t="s">
        <v>473</v>
      </c>
      <c r="AC800" s="10">
        <v>3</v>
      </c>
      <c r="AD800" s="10">
        <v>11</v>
      </c>
      <c r="AE800" t="s">
        <v>473</v>
      </c>
    </row>
    <row r="801" spans="1:31" x14ac:dyDescent="0.25">
      <c r="A801">
        <v>8523</v>
      </c>
      <c r="B801">
        <v>1968</v>
      </c>
      <c r="C801" t="s">
        <v>466</v>
      </c>
      <c r="D801" t="s">
        <v>34</v>
      </c>
      <c r="E801" t="str">
        <f>IF(OR(Table1[[#This Row],[marital_status]]="Married", Table1[[#This Row],[marital_status]]="Together"), "Partnered", "Single")</f>
        <v>Partnered</v>
      </c>
      <c r="F801" s="7">
        <v>19329</v>
      </c>
      <c r="G801" s="8">
        <v>1</v>
      </c>
      <c r="H801" s="8">
        <v>0</v>
      </c>
      <c r="I801" s="8">
        <f>Table1[[#This Row],[kids]]+Table1[[#This Row],[teens]]</f>
        <v>1</v>
      </c>
      <c r="J801" s="9">
        <v>41622</v>
      </c>
      <c r="K801" s="8">
        <v>39</v>
      </c>
      <c r="L801" s="6">
        <v>24</v>
      </c>
      <c r="M801" s="5">
        <v>1</v>
      </c>
      <c r="N801" s="5">
        <v>16</v>
      </c>
      <c r="O801" s="5">
        <v>12</v>
      </c>
      <c r="P801" s="5">
        <v>2</v>
      </c>
      <c r="Q801" s="5">
        <v>5</v>
      </c>
      <c r="R801" s="8">
        <v>3</v>
      </c>
      <c r="S801" s="8">
        <v>4</v>
      </c>
      <c r="T801" s="8">
        <v>0</v>
      </c>
      <c r="U801" s="8">
        <v>3</v>
      </c>
      <c r="V801" s="8">
        <v>8</v>
      </c>
      <c r="W801" t="s">
        <v>473</v>
      </c>
      <c r="X801" t="s">
        <v>473</v>
      </c>
      <c r="Y801" t="s">
        <v>473</v>
      </c>
      <c r="Z801" t="s">
        <v>473</v>
      </c>
      <c r="AA801" t="s">
        <v>473</v>
      </c>
      <c r="AB801" t="s">
        <v>473</v>
      </c>
      <c r="AC801" s="10">
        <v>3</v>
      </c>
      <c r="AD801" s="10">
        <v>11</v>
      </c>
      <c r="AE801" t="s">
        <v>473</v>
      </c>
    </row>
    <row r="802" spans="1:31" x14ac:dyDescent="0.25">
      <c r="A802">
        <v>310</v>
      </c>
      <c r="B802">
        <v>1970</v>
      </c>
      <c r="C802" t="s">
        <v>36</v>
      </c>
      <c r="D802" t="s">
        <v>34</v>
      </c>
      <c r="E802" t="str">
        <f>IF(OR(Table1[[#This Row],[marital_status]]="Married", Table1[[#This Row],[marital_status]]="Together"), "Partnered", "Single")</f>
        <v>Partnered</v>
      </c>
      <c r="F802" s="7">
        <v>61872</v>
      </c>
      <c r="G802" s="8">
        <v>0</v>
      </c>
      <c r="H802" s="8">
        <v>1</v>
      </c>
      <c r="I802" s="8">
        <f>Table1[[#This Row],[kids]]+Table1[[#This Row],[teens]]</f>
        <v>1</v>
      </c>
      <c r="J802" s="9">
        <v>41621</v>
      </c>
      <c r="K802" s="8">
        <v>81</v>
      </c>
      <c r="L802" s="6">
        <v>330</v>
      </c>
      <c r="M802" s="5">
        <v>5</v>
      </c>
      <c r="N802" s="5">
        <v>159</v>
      </c>
      <c r="O802" s="5">
        <v>36</v>
      </c>
      <c r="P802" s="5">
        <v>27</v>
      </c>
      <c r="Q802" s="5">
        <v>16</v>
      </c>
      <c r="R802" s="8">
        <v>4</v>
      </c>
      <c r="S802" s="8">
        <v>4</v>
      </c>
      <c r="T802" s="8">
        <v>4</v>
      </c>
      <c r="U802" s="8">
        <v>9</v>
      </c>
      <c r="V802" s="8">
        <v>4</v>
      </c>
      <c r="W802" t="s">
        <v>473</v>
      </c>
      <c r="X802" t="s">
        <v>473</v>
      </c>
      <c r="Y802" t="s">
        <v>473</v>
      </c>
      <c r="Z802" t="s">
        <v>473</v>
      </c>
      <c r="AA802" t="s">
        <v>473</v>
      </c>
      <c r="AB802" t="s">
        <v>473</v>
      </c>
      <c r="AC802" s="10">
        <v>3</v>
      </c>
      <c r="AD802" s="10">
        <v>11</v>
      </c>
      <c r="AE802" t="s">
        <v>473</v>
      </c>
    </row>
    <row r="803" spans="1:31" x14ac:dyDescent="0.25">
      <c r="A803">
        <v>8629</v>
      </c>
      <c r="B803">
        <v>1956</v>
      </c>
      <c r="C803" t="s">
        <v>466</v>
      </c>
      <c r="D803" t="s">
        <v>57</v>
      </c>
      <c r="E803" t="str">
        <f>IF(OR(Table1[[#This Row],[marital_status]]="Married", Table1[[#This Row],[marital_status]]="Together"), "Partnered", "Single")</f>
        <v>Single</v>
      </c>
      <c r="F803" s="7">
        <v>46984</v>
      </c>
      <c r="G803" s="8">
        <v>1</v>
      </c>
      <c r="H803" s="8">
        <v>1</v>
      </c>
      <c r="I803" s="8">
        <f>Table1[[#This Row],[kids]]+Table1[[#This Row],[teens]]</f>
        <v>2</v>
      </c>
      <c r="J803" s="9">
        <v>41359</v>
      </c>
      <c r="K803" s="8">
        <v>71</v>
      </c>
      <c r="L803" s="6">
        <v>19</v>
      </c>
      <c r="M803" s="5">
        <v>1</v>
      </c>
      <c r="N803" s="5">
        <v>10</v>
      </c>
      <c r="O803" s="5">
        <v>2</v>
      </c>
      <c r="P803" s="5">
        <v>1</v>
      </c>
      <c r="Q803" s="5">
        <v>8</v>
      </c>
      <c r="R803" s="8">
        <v>1</v>
      </c>
      <c r="S803" s="8">
        <v>1</v>
      </c>
      <c r="T803" s="8">
        <v>0</v>
      </c>
      <c r="U803" s="8">
        <v>3</v>
      </c>
      <c r="V803" s="8">
        <v>5</v>
      </c>
      <c r="W803" t="s">
        <v>473</v>
      </c>
      <c r="X803" t="s">
        <v>473</v>
      </c>
      <c r="Y803" t="s">
        <v>473</v>
      </c>
      <c r="Z803" t="s">
        <v>473</v>
      </c>
      <c r="AA803" t="s">
        <v>473</v>
      </c>
      <c r="AB803" t="s">
        <v>473</v>
      </c>
      <c r="AC803" s="10">
        <v>3</v>
      </c>
      <c r="AD803" s="10">
        <v>11</v>
      </c>
      <c r="AE803" t="s">
        <v>473</v>
      </c>
    </row>
    <row r="804" spans="1:31" x14ac:dyDescent="0.25">
      <c r="A804">
        <v>236</v>
      </c>
      <c r="B804">
        <v>1951</v>
      </c>
      <c r="C804" t="s">
        <v>466</v>
      </c>
      <c r="D804" t="s">
        <v>34</v>
      </c>
      <c r="E804" t="str">
        <f>IF(OR(Table1[[#This Row],[marital_status]]="Married", Table1[[#This Row],[marital_status]]="Together"), "Partnered", "Single")</f>
        <v>Partnered</v>
      </c>
      <c r="F804" s="7">
        <v>34838</v>
      </c>
      <c r="G804" s="8">
        <v>1</v>
      </c>
      <c r="H804" s="8">
        <v>1</v>
      </c>
      <c r="I804" s="8">
        <f>Table1[[#This Row],[kids]]+Table1[[#This Row],[teens]]</f>
        <v>2</v>
      </c>
      <c r="J804" s="9">
        <v>41293</v>
      </c>
      <c r="K804" s="8">
        <v>62</v>
      </c>
      <c r="L804" s="6">
        <v>28</v>
      </c>
      <c r="M804" s="5">
        <v>23</v>
      </c>
      <c r="N804" s="5">
        <v>29</v>
      </c>
      <c r="O804" s="5">
        <v>29</v>
      </c>
      <c r="P804" s="5">
        <v>14</v>
      </c>
      <c r="Q804" s="5">
        <v>47</v>
      </c>
      <c r="R804" s="8">
        <v>3</v>
      </c>
      <c r="S804" s="8">
        <v>2</v>
      </c>
      <c r="T804" s="8">
        <v>1</v>
      </c>
      <c r="U804" s="8">
        <v>4</v>
      </c>
      <c r="V804" s="8">
        <v>6</v>
      </c>
      <c r="W804" t="s">
        <v>473</v>
      </c>
      <c r="X804" t="s">
        <v>473</v>
      </c>
      <c r="Y804" t="s">
        <v>473</v>
      </c>
      <c r="Z804" t="s">
        <v>473</v>
      </c>
      <c r="AA804" t="s">
        <v>473</v>
      </c>
      <c r="AB804" t="s">
        <v>473</v>
      </c>
      <c r="AC804" s="10">
        <v>3</v>
      </c>
      <c r="AD804" s="10">
        <v>11</v>
      </c>
      <c r="AE804" t="s">
        <v>473</v>
      </c>
    </row>
    <row r="805" spans="1:31" x14ac:dyDescent="0.25">
      <c r="A805">
        <v>9930</v>
      </c>
      <c r="B805">
        <v>1944</v>
      </c>
      <c r="C805" t="s">
        <v>33</v>
      </c>
      <c r="D805" t="s">
        <v>30</v>
      </c>
      <c r="E805" t="str">
        <f>IF(OR(Table1[[#This Row],[marital_status]]="Married", Table1[[#This Row],[marital_status]]="Together"), "Partnered", "Single")</f>
        <v>Single</v>
      </c>
      <c r="F805" s="7">
        <v>82716</v>
      </c>
      <c r="G805" s="8">
        <v>0</v>
      </c>
      <c r="H805" s="8">
        <v>0</v>
      </c>
      <c r="I805" s="8">
        <f>Table1[[#This Row],[kids]]+Table1[[#This Row],[teens]]</f>
        <v>0</v>
      </c>
      <c r="J805" s="9">
        <v>41583</v>
      </c>
      <c r="K805" s="8">
        <v>8</v>
      </c>
      <c r="L805" s="6">
        <v>606</v>
      </c>
      <c r="M805" s="5">
        <v>148</v>
      </c>
      <c r="N805" s="5">
        <v>228</v>
      </c>
      <c r="O805" s="5">
        <v>15</v>
      </c>
      <c r="P805" s="5">
        <v>148</v>
      </c>
      <c r="Q805" s="5">
        <v>22</v>
      </c>
      <c r="R805" s="8">
        <v>1</v>
      </c>
      <c r="S805" s="8">
        <v>6</v>
      </c>
      <c r="T805" s="8">
        <v>8</v>
      </c>
      <c r="U805" s="8">
        <v>13</v>
      </c>
      <c r="V805" s="8">
        <v>2</v>
      </c>
      <c r="W805" t="s">
        <v>473</v>
      </c>
      <c r="X805" t="s">
        <v>473</v>
      </c>
      <c r="Y805" t="s">
        <v>473</v>
      </c>
      <c r="Z805" t="s">
        <v>473</v>
      </c>
      <c r="AA805" t="s">
        <v>473</v>
      </c>
      <c r="AB805" t="s">
        <v>473</v>
      </c>
      <c r="AC805" s="10">
        <v>3</v>
      </c>
      <c r="AD805" s="10">
        <v>11</v>
      </c>
      <c r="AE805" t="s">
        <v>473</v>
      </c>
    </row>
    <row r="806" spans="1:31" x14ac:dyDescent="0.25">
      <c r="A806">
        <v>3483</v>
      </c>
      <c r="B806">
        <v>1958</v>
      </c>
      <c r="C806" t="s">
        <v>466</v>
      </c>
      <c r="D806" t="s">
        <v>34</v>
      </c>
      <c r="E806" t="str">
        <f>IF(OR(Table1[[#This Row],[marital_status]]="Married", Table1[[#This Row],[marital_status]]="Together"), "Partnered", "Single")</f>
        <v>Partnered</v>
      </c>
      <c r="F806" s="7">
        <v>48192</v>
      </c>
      <c r="G806" s="8">
        <v>0</v>
      </c>
      <c r="H806" s="8">
        <v>0</v>
      </c>
      <c r="I806" s="8">
        <f>Table1[[#This Row],[kids]]+Table1[[#This Row],[teens]]</f>
        <v>0</v>
      </c>
      <c r="J806" s="9">
        <v>41370</v>
      </c>
      <c r="K806" s="8">
        <v>76</v>
      </c>
      <c r="L806" s="6">
        <v>1039</v>
      </c>
      <c r="M806" s="5">
        <v>43</v>
      </c>
      <c r="N806" s="5">
        <v>204</v>
      </c>
      <c r="O806" s="5">
        <v>153</v>
      </c>
      <c r="P806" s="5">
        <v>58</v>
      </c>
      <c r="Q806" s="5">
        <v>29</v>
      </c>
      <c r="R806" s="8">
        <v>3</v>
      </c>
      <c r="S806" s="8">
        <v>2</v>
      </c>
      <c r="T806" s="8">
        <v>8</v>
      </c>
      <c r="U806" s="8">
        <v>12</v>
      </c>
      <c r="V806" s="8">
        <v>8</v>
      </c>
      <c r="W806" t="s">
        <v>473</v>
      </c>
      <c r="X806" t="s">
        <v>474</v>
      </c>
      <c r="Y806" t="s">
        <v>473</v>
      </c>
      <c r="Z806" t="s">
        <v>474</v>
      </c>
      <c r="AA806" t="s">
        <v>474</v>
      </c>
      <c r="AB806" t="s">
        <v>473</v>
      </c>
      <c r="AC806" s="10">
        <v>3</v>
      </c>
      <c r="AD806" s="10">
        <v>11</v>
      </c>
      <c r="AE806" t="s">
        <v>474</v>
      </c>
    </row>
    <row r="807" spans="1:31" x14ac:dyDescent="0.25">
      <c r="A807">
        <v>4599</v>
      </c>
      <c r="B807">
        <v>1976</v>
      </c>
      <c r="C807" t="s">
        <v>36</v>
      </c>
      <c r="D807" t="s">
        <v>34</v>
      </c>
      <c r="E807" t="str">
        <f>IF(OR(Table1[[#This Row],[marital_status]]="Married", Table1[[#This Row],[marital_status]]="Together"), "Partnered", "Single")</f>
        <v>Partnered</v>
      </c>
      <c r="F807" s="7">
        <v>49681</v>
      </c>
      <c r="G807" s="8">
        <v>0</v>
      </c>
      <c r="H807" s="8">
        <v>2</v>
      </c>
      <c r="I807" s="8">
        <f>Table1[[#This Row],[kids]]+Table1[[#This Row],[teens]]</f>
        <v>2</v>
      </c>
      <c r="J807" s="9">
        <v>41582</v>
      </c>
      <c r="K807" s="8">
        <v>66</v>
      </c>
      <c r="L807" s="6">
        <v>411</v>
      </c>
      <c r="M807" s="5">
        <v>0</v>
      </c>
      <c r="N807" s="5">
        <v>26</v>
      </c>
      <c r="O807" s="5">
        <v>0</v>
      </c>
      <c r="P807" s="5">
        <v>0</v>
      </c>
      <c r="Q807" s="5">
        <v>21</v>
      </c>
      <c r="R807" s="8">
        <v>6</v>
      </c>
      <c r="S807" s="8">
        <v>7</v>
      </c>
      <c r="T807" s="8">
        <v>1</v>
      </c>
      <c r="U807" s="8">
        <v>7</v>
      </c>
      <c r="V807" s="8">
        <v>7</v>
      </c>
      <c r="W807" t="s">
        <v>473</v>
      </c>
      <c r="X807" t="s">
        <v>473</v>
      </c>
      <c r="Y807" t="s">
        <v>473</v>
      </c>
      <c r="Z807" t="s">
        <v>473</v>
      </c>
      <c r="AA807" t="s">
        <v>473</v>
      </c>
      <c r="AB807" t="s">
        <v>473</v>
      </c>
      <c r="AC807" s="10">
        <v>3</v>
      </c>
      <c r="AD807" s="10">
        <v>11</v>
      </c>
      <c r="AE807" t="s">
        <v>473</v>
      </c>
    </row>
    <row r="808" spans="1:31" x14ac:dyDescent="0.25">
      <c r="A808">
        <v>7326</v>
      </c>
      <c r="B808">
        <v>1971</v>
      </c>
      <c r="C808" t="s">
        <v>36</v>
      </c>
      <c r="D808" t="s">
        <v>34</v>
      </c>
      <c r="E808" t="str">
        <f>IF(OR(Table1[[#This Row],[marital_status]]="Married", Table1[[#This Row],[marital_status]]="Together"), "Partnered", "Single")</f>
        <v>Partnered</v>
      </c>
      <c r="F808" s="7">
        <v>56850</v>
      </c>
      <c r="G808" s="8">
        <v>0</v>
      </c>
      <c r="H808" s="8">
        <v>1</v>
      </c>
      <c r="I808" s="8">
        <f>Table1[[#This Row],[kids]]+Table1[[#This Row],[teens]]</f>
        <v>1</v>
      </c>
      <c r="J808" s="9">
        <v>41721</v>
      </c>
      <c r="K808" s="8">
        <v>83</v>
      </c>
      <c r="L808" s="6">
        <v>34</v>
      </c>
      <c r="M808" s="5">
        <v>1</v>
      </c>
      <c r="N808" s="5">
        <v>19</v>
      </c>
      <c r="O808" s="5">
        <v>2</v>
      </c>
      <c r="P808" s="5">
        <v>7</v>
      </c>
      <c r="Q808" s="5">
        <v>0</v>
      </c>
      <c r="R808" s="8">
        <v>1</v>
      </c>
      <c r="S808" s="8">
        <v>1</v>
      </c>
      <c r="T808" s="8">
        <v>1</v>
      </c>
      <c r="U808" s="8">
        <v>3</v>
      </c>
      <c r="V808" s="8">
        <v>2</v>
      </c>
      <c r="W808" t="s">
        <v>473</v>
      </c>
      <c r="X808" t="s">
        <v>473</v>
      </c>
      <c r="Y808" t="s">
        <v>473</v>
      </c>
      <c r="Z808" t="s">
        <v>473</v>
      </c>
      <c r="AA808" t="s">
        <v>473</v>
      </c>
      <c r="AB808" t="s">
        <v>473</v>
      </c>
      <c r="AC808" s="10">
        <v>3</v>
      </c>
      <c r="AD808" s="10">
        <v>11</v>
      </c>
      <c r="AE808" t="s">
        <v>473</v>
      </c>
    </row>
    <row r="809" spans="1:31" x14ac:dyDescent="0.25">
      <c r="A809">
        <v>7352</v>
      </c>
      <c r="B809">
        <v>1957</v>
      </c>
      <c r="C809" t="s">
        <v>466</v>
      </c>
      <c r="D809" t="s">
        <v>34</v>
      </c>
      <c r="E809" t="str">
        <f>IF(OR(Table1[[#This Row],[marital_status]]="Married", Table1[[#This Row],[marital_status]]="Together"), "Partnered", "Single")</f>
        <v>Partnered</v>
      </c>
      <c r="F809" s="7">
        <v>55267</v>
      </c>
      <c r="G809" s="8">
        <v>0</v>
      </c>
      <c r="H809" s="8">
        <v>1</v>
      </c>
      <c r="I809" s="8">
        <f>Table1[[#This Row],[kids]]+Table1[[#This Row],[teens]]</f>
        <v>1</v>
      </c>
      <c r="J809" s="9">
        <v>41568</v>
      </c>
      <c r="K809" s="8">
        <v>28</v>
      </c>
      <c r="L809" s="6">
        <v>161</v>
      </c>
      <c r="M809" s="5">
        <v>28</v>
      </c>
      <c r="N809" s="5">
        <v>136</v>
      </c>
      <c r="O809" s="5">
        <v>32</v>
      </c>
      <c r="P809" s="5">
        <v>3</v>
      </c>
      <c r="Q809" s="5">
        <v>45</v>
      </c>
      <c r="R809" s="8">
        <v>4</v>
      </c>
      <c r="S809" s="8">
        <v>3</v>
      </c>
      <c r="T809" s="8">
        <v>4</v>
      </c>
      <c r="U809" s="8">
        <v>6</v>
      </c>
      <c r="V809" s="8">
        <v>3</v>
      </c>
      <c r="W809" t="s">
        <v>473</v>
      </c>
      <c r="X809" t="s">
        <v>473</v>
      </c>
      <c r="Y809" t="s">
        <v>473</v>
      </c>
      <c r="Z809" t="s">
        <v>473</v>
      </c>
      <c r="AA809" t="s">
        <v>473</v>
      </c>
      <c r="AB809" t="s">
        <v>473</v>
      </c>
      <c r="AC809" s="10">
        <v>3</v>
      </c>
      <c r="AD809" s="10">
        <v>11</v>
      </c>
      <c r="AE809" t="s">
        <v>473</v>
      </c>
    </row>
    <row r="810" spans="1:31" x14ac:dyDescent="0.25">
      <c r="A810">
        <v>2350</v>
      </c>
      <c r="B810">
        <v>1972</v>
      </c>
      <c r="C810" t="s">
        <v>466</v>
      </c>
      <c r="D810" t="s">
        <v>34</v>
      </c>
      <c r="E810" t="str">
        <f>IF(OR(Table1[[#This Row],[marital_status]]="Married", Table1[[#This Row],[marital_status]]="Together"), "Partnered", "Single")</f>
        <v>Partnered</v>
      </c>
      <c r="F810" s="7">
        <v>59666</v>
      </c>
      <c r="G810" s="8">
        <v>1</v>
      </c>
      <c r="H810" s="8">
        <v>1</v>
      </c>
      <c r="I810" s="8">
        <f>Table1[[#This Row],[kids]]+Table1[[#This Row],[teens]]</f>
        <v>2</v>
      </c>
      <c r="J810" s="9">
        <v>41355</v>
      </c>
      <c r="K810" s="8">
        <v>87</v>
      </c>
      <c r="L810" s="6">
        <v>623</v>
      </c>
      <c r="M810" s="5">
        <v>53</v>
      </c>
      <c r="N810" s="5">
        <v>178</v>
      </c>
      <c r="O810" s="5">
        <v>23</v>
      </c>
      <c r="P810" s="5">
        <v>17</v>
      </c>
      <c r="Q810" s="5">
        <v>133</v>
      </c>
      <c r="R810" s="8">
        <v>7</v>
      </c>
      <c r="S810" s="8">
        <v>3</v>
      </c>
      <c r="T810" s="8">
        <v>2</v>
      </c>
      <c r="U810" s="8">
        <v>8</v>
      </c>
      <c r="V810" s="8">
        <v>8</v>
      </c>
      <c r="W810" t="s">
        <v>473</v>
      </c>
      <c r="X810" t="s">
        <v>474</v>
      </c>
      <c r="Y810" t="s">
        <v>473</v>
      </c>
      <c r="Z810" t="s">
        <v>473</v>
      </c>
      <c r="AA810" t="s">
        <v>473</v>
      </c>
      <c r="AB810" t="s">
        <v>473</v>
      </c>
      <c r="AC810" s="10">
        <v>3</v>
      </c>
      <c r="AD810" s="10">
        <v>11</v>
      </c>
      <c r="AE810" t="s">
        <v>473</v>
      </c>
    </row>
    <row r="811" spans="1:31" x14ac:dyDescent="0.25">
      <c r="A811">
        <v>9145</v>
      </c>
      <c r="B811">
        <v>1972</v>
      </c>
      <c r="C811" t="s">
        <v>466</v>
      </c>
      <c r="D811" t="s">
        <v>30</v>
      </c>
      <c r="E811" t="str">
        <f>IF(OR(Table1[[#This Row],[marital_status]]="Married", Table1[[#This Row],[marital_status]]="Together"), "Partnered", "Single")</f>
        <v>Single</v>
      </c>
      <c r="F811" s="7">
        <v>72504</v>
      </c>
      <c r="G811" s="8">
        <v>0</v>
      </c>
      <c r="H811" s="8">
        <v>1</v>
      </c>
      <c r="I811" s="8">
        <f>Table1[[#This Row],[kids]]+Table1[[#This Row],[teens]]</f>
        <v>1</v>
      </c>
      <c r="J811" s="9">
        <v>41370</v>
      </c>
      <c r="K811" s="8">
        <v>43</v>
      </c>
      <c r="L811" s="6">
        <v>604</v>
      </c>
      <c r="M811" s="5">
        <v>26</v>
      </c>
      <c r="N811" s="5">
        <v>470</v>
      </c>
      <c r="O811" s="5">
        <v>123</v>
      </c>
      <c r="P811" s="5">
        <v>161</v>
      </c>
      <c r="Q811" s="5">
        <v>94</v>
      </c>
      <c r="R811" s="8">
        <v>2</v>
      </c>
      <c r="S811" s="8">
        <v>5</v>
      </c>
      <c r="T811" s="8">
        <v>9</v>
      </c>
      <c r="U811" s="8">
        <v>6</v>
      </c>
      <c r="V811" s="8">
        <v>2</v>
      </c>
      <c r="W811" t="s">
        <v>473</v>
      </c>
      <c r="X811" t="s">
        <v>473</v>
      </c>
      <c r="Y811" t="s">
        <v>473</v>
      </c>
      <c r="Z811" t="s">
        <v>473</v>
      </c>
      <c r="AA811" t="s">
        <v>473</v>
      </c>
      <c r="AB811" t="s">
        <v>473</v>
      </c>
      <c r="AC811" s="10">
        <v>3</v>
      </c>
      <c r="AD811" s="10">
        <v>11</v>
      </c>
      <c r="AE811" t="s">
        <v>473</v>
      </c>
    </row>
    <row r="812" spans="1:31" x14ac:dyDescent="0.25">
      <c r="A812">
        <v>2964</v>
      </c>
      <c r="B812">
        <v>1981</v>
      </c>
      <c r="C812" t="s">
        <v>466</v>
      </c>
      <c r="D812" t="s">
        <v>34</v>
      </c>
      <c r="E812" t="str">
        <f>IF(OR(Table1[[#This Row],[marital_status]]="Married", Table1[[#This Row],[marital_status]]="Together"), "Partnered", "Single")</f>
        <v>Partnered</v>
      </c>
      <c r="F812" s="7">
        <v>26872</v>
      </c>
      <c r="G812" s="8">
        <v>0</v>
      </c>
      <c r="H812" s="8">
        <v>0</v>
      </c>
      <c r="I812" s="8">
        <f>Table1[[#This Row],[kids]]+Table1[[#This Row],[teens]]</f>
        <v>0</v>
      </c>
      <c r="J812" s="9">
        <v>41563</v>
      </c>
      <c r="K812" s="8">
        <v>0</v>
      </c>
      <c r="L812" s="6">
        <v>3</v>
      </c>
      <c r="M812" s="5">
        <v>10</v>
      </c>
      <c r="N812" s="5">
        <v>8</v>
      </c>
      <c r="O812" s="5">
        <v>3</v>
      </c>
      <c r="P812" s="5">
        <v>16</v>
      </c>
      <c r="Q812" s="5">
        <v>32</v>
      </c>
      <c r="R812" s="8">
        <v>1</v>
      </c>
      <c r="S812" s="8">
        <v>1</v>
      </c>
      <c r="T812" s="8">
        <v>1</v>
      </c>
      <c r="U812" s="8">
        <v>2</v>
      </c>
      <c r="V812" s="8">
        <v>6</v>
      </c>
      <c r="W812" t="s">
        <v>473</v>
      </c>
      <c r="X812" t="s">
        <v>473</v>
      </c>
      <c r="Y812" t="s">
        <v>473</v>
      </c>
      <c r="Z812" t="s">
        <v>473</v>
      </c>
      <c r="AA812" t="s">
        <v>473</v>
      </c>
      <c r="AB812" t="s">
        <v>473</v>
      </c>
      <c r="AC812" s="10">
        <v>3</v>
      </c>
      <c r="AD812" s="10">
        <v>11</v>
      </c>
      <c r="AE812" t="s">
        <v>473</v>
      </c>
    </row>
    <row r="813" spans="1:31" x14ac:dyDescent="0.25">
      <c r="A813">
        <v>5585</v>
      </c>
      <c r="B813">
        <v>1972</v>
      </c>
      <c r="C813" t="s">
        <v>466</v>
      </c>
      <c r="D813" t="s">
        <v>30</v>
      </c>
      <c r="E813" t="str">
        <f>IF(OR(Table1[[#This Row],[marital_status]]="Married", Table1[[#This Row],[marital_status]]="Together"), "Partnered", "Single")</f>
        <v>Single</v>
      </c>
      <c r="F813" s="7">
        <v>21359</v>
      </c>
      <c r="G813" s="8">
        <v>1</v>
      </c>
      <c r="H813" s="8">
        <v>0</v>
      </c>
      <c r="I813" s="8">
        <f>Table1[[#This Row],[kids]]+Table1[[#This Row],[teens]]</f>
        <v>1</v>
      </c>
      <c r="J813" s="9">
        <v>41384</v>
      </c>
      <c r="K813" s="8">
        <v>1</v>
      </c>
      <c r="L813" s="6">
        <v>12</v>
      </c>
      <c r="M813" s="5">
        <v>2</v>
      </c>
      <c r="N813" s="5">
        <v>17</v>
      </c>
      <c r="O813" s="5">
        <v>6</v>
      </c>
      <c r="P813" s="5">
        <v>1</v>
      </c>
      <c r="Q813" s="5">
        <v>10</v>
      </c>
      <c r="R813" s="8">
        <v>2</v>
      </c>
      <c r="S813" s="8">
        <v>2</v>
      </c>
      <c r="T813" s="8">
        <v>0</v>
      </c>
      <c r="U813" s="8">
        <v>3</v>
      </c>
      <c r="V813" s="8">
        <v>8</v>
      </c>
      <c r="W813" t="s">
        <v>473</v>
      </c>
      <c r="X813" t="s">
        <v>473</v>
      </c>
      <c r="Y813" t="s">
        <v>473</v>
      </c>
      <c r="Z813" t="s">
        <v>473</v>
      </c>
      <c r="AA813" t="s">
        <v>473</v>
      </c>
      <c r="AB813" t="s">
        <v>473</v>
      </c>
      <c r="AC813" s="10">
        <v>3</v>
      </c>
      <c r="AD813" s="10">
        <v>11</v>
      </c>
      <c r="AE813" t="s">
        <v>474</v>
      </c>
    </row>
    <row r="814" spans="1:31" x14ac:dyDescent="0.25">
      <c r="A814">
        <v>9687</v>
      </c>
      <c r="B814">
        <v>1975</v>
      </c>
      <c r="C814" t="s">
        <v>466</v>
      </c>
      <c r="D814" t="s">
        <v>30</v>
      </c>
      <c r="E814" t="str">
        <f>IF(OR(Table1[[#This Row],[marital_status]]="Married", Table1[[#This Row],[marital_status]]="Together"), "Partnered", "Single")</f>
        <v>Single</v>
      </c>
      <c r="F814" s="7">
        <v>73170</v>
      </c>
      <c r="G814" s="8">
        <v>0</v>
      </c>
      <c r="H814" s="8">
        <v>0</v>
      </c>
      <c r="I814" s="8">
        <f>Table1[[#This Row],[kids]]+Table1[[#This Row],[teens]]</f>
        <v>0</v>
      </c>
      <c r="J814" s="9">
        <v>41790</v>
      </c>
      <c r="K814" s="8">
        <v>1</v>
      </c>
      <c r="L814" s="6">
        <v>184</v>
      </c>
      <c r="M814" s="5">
        <v>174</v>
      </c>
      <c r="N814" s="5">
        <v>256</v>
      </c>
      <c r="O814" s="5">
        <v>50</v>
      </c>
      <c r="P814" s="5">
        <v>30</v>
      </c>
      <c r="Q814" s="5">
        <v>32</v>
      </c>
      <c r="R814" s="8">
        <v>1</v>
      </c>
      <c r="S814" s="8">
        <v>5</v>
      </c>
      <c r="T814" s="8">
        <v>4</v>
      </c>
      <c r="U814" s="8">
        <v>6</v>
      </c>
      <c r="V814" s="8">
        <v>2</v>
      </c>
      <c r="W814" t="s">
        <v>473</v>
      </c>
      <c r="X814" t="s">
        <v>473</v>
      </c>
      <c r="Y814" t="s">
        <v>473</v>
      </c>
      <c r="Z814" t="s">
        <v>473</v>
      </c>
      <c r="AA814" t="s">
        <v>473</v>
      </c>
      <c r="AB814" t="s">
        <v>473</v>
      </c>
      <c r="AC814" s="10">
        <v>3</v>
      </c>
      <c r="AD814" s="10">
        <v>11</v>
      </c>
      <c r="AE814" t="s">
        <v>473</v>
      </c>
    </row>
    <row r="815" spans="1:31" x14ac:dyDescent="0.25">
      <c r="A815">
        <v>3732</v>
      </c>
      <c r="B815">
        <v>1955</v>
      </c>
      <c r="C815" t="s">
        <v>36</v>
      </c>
      <c r="D815" t="s">
        <v>34</v>
      </c>
      <c r="E815" t="str">
        <f>IF(OR(Table1[[#This Row],[marital_status]]="Married", Table1[[#This Row],[marital_status]]="Together"), "Partnered", "Single")</f>
        <v>Partnered</v>
      </c>
      <c r="F815" s="7">
        <v>52750</v>
      </c>
      <c r="G815" s="8">
        <v>0</v>
      </c>
      <c r="H815" s="8">
        <v>1</v>
      </c>
      <c r="I815" s="8">
        <f>Table1[[#This Row],[kids]]+Table1[[#This Row],[teens]]</f>
        <v>1</v>
      </c>
      <c r="J815" s="9">
        <v>41309</v>
      </c>
      <c r="K815" s="8">
        <v>72</v>
      </c>
      <c r="L815" s="6">
        <v>393</v>
      </c>
      <c r="M815" s="5">
        <v>0</v>
      </c>
      <c r="N815" s="5">
        <v>239</v>
      </c>
      <c r="O815" s="5">
        <v>90</v>
      </c>
      <c r="P815" s="5">
        <v>69</v>
      </c>
      <c r="Q815" s="5">
        <v>69</v>
      </c>
      <c r="R815" s="8">
        <v>6</v>
      </c>
      <c r="S815" s="8">
        <v>5</v>
      </c>
      <c r="T815" s="8">
        <v>7</v>
      </c>
      <c r="U815" s="8">
        <v>9</v>
      </c>
      <c r="V815" s="8">
        <v>4</v>
      </c>
      <c r="W815" t="s">
        <v>473</v>
      </c>
      <c r="X815" t="s">
        <v>473</v>
      </c>
      <c r="Y815" t="s">
        <v>473</v>
      </c>
      <c r="Z815" t="s">
        <v>473</v>
      </c>
      <c r="AA815" t="s">
        <v>473</v>
      </c>
      <c r="AB815" t="s">
        <v>473</v>
      </c>
      <c r="AC815" s="10">
        <v>3</v>
      </c>
      <c r="AD815" s="10">
        <v>11</v>
      </c>
      <c r="AE815" t="s">
        <v>473</v>
      </c>
    </row>
    <row r="816" spans="1:31" x14ac:dyDescent="0.25">
      <c r="A816">
        <v>6303</v>
      </c>
      <c r="B816">
        <v>1986</v>
      </c>
      <c r="C816" t="s">
        <v>33</v>
      </c>
      <c r="D816" t="s">
        <v>31</v>
      </c>
      <c r="E816" t="str">
        <f>IF(OR(Table1[[#This Row],[marital_status]]="Married", Table1[[#This Row],[marital_status]]="Together"), "Partnered", "Single")</f>
        <v>Partnered</v>
      </c>
      <c r="F816" s="7">
        <v>91820</v>
      </c>
      <c r="G816" s="8">
        <v>0</v>
      </c>
      <c r="H816" s="8">
        <v>0</v>
      </c>
      <c r="I816" s="8">
        <f>Table1[[#This Row],[kids]]+Table1[[#This Row],[teens]]</f>
        <v>0</v>
      </c>
      <c r="J816" s="9">
        <v>41601</v>
      </c>
      <c r="K816" s="8">
        <v>72</v>
      </c>
      <c r="L816" s="6">
        <v>410</v>
      </c>
      <c r="M816" s="5">
        <v>73</v>
      </c>
      <c r="N816" s="5">
        <v>747</v>
      </c>
      <c r="O816" s="5">
        <v>76</v>
      </c>
      <c r="P816" s="5">
        <v>161</v>
      </c>
      <c r="Q816" s="5">
        <v>30</v>
      </c>
      <c r="R816" s="8">
        <v>0</v>
      </c>
      <c r="S816" s="8">
        <v>5</v>
      </c>
      <c r="T816" s="8">
        <v>5</v>
      </c>
      <c r="U816" s="8">
        <v>12</v>
      </c>
      <c r="V816" s="8">
        <v>1</v>
      </c>
      <c r="W816" t="s">
        <v>473</v>
      </c>
      <c r="X816" t="s">
        <v>473</v>
      </c>
      <c r="Y816" t="s">
        <v>473</v>
      </c>
      <c r="Z816" t="s">
        <v>473</v>
      </c>
      <c r="AA816" t="s">
        <v>473</v>
      </c>
      <c r="AB816" t="s">
        <v>473</v>
      </c>
      <c r="AC816" s="10">
        <v>3</v>
      </c>
      <c r="AD816" s="10">
        <v>11</v>
      </c>
      <c r="AE816" t="s">
        <v>473</v>
      </c>
    </row>
    <row r="817" spans="1:31" x14ac:dyDescent="0.25">
      <c r="A817">
        <v>11176</v>
      </c>
      <c r="B817">
        <v>1970</v>
      </c>
      <c r="C817" t="s">
        <v>33</v>
      </c>
      <c r="D817" t="s">
        <v>31</v>
      </c>
      <c r="E817" t="str">
        <f>IF(OR(Table1[[#This Row],[marital_status]]="Married", Table1[[#This Row],[marital_status]]="Together"), "Partnered", "Single")</f>
        <v>Partnered</v>
      </c>
      <c r="F817" s="7">
        <v>65968</v>
      </c>
      <c r="G817" s="8">
        <v>0</v>
      </c>
      <c r="H817" s="8">
        <v>1</v>
      </c>
      <c r="I817" s="8">
        <f>Table1[[#This Row],[kids]]+Table1[[#This Row],[teens]]</f>
        <v>1</v>
      </c>
      <c r="J817" s="9">
        <v>41771</v>
      </c>
      <c r="K817" s="8">
        <v>12</v>
      </c>
      <c r="L817" s="6">
        <v>376</v>
      </c>
      <c r="M817" s="5">
        <v>9</v>
      </c>
      <c r="N817" s="5">
        <v>83</v>
      </c>
      <c r="O817" s="5">
        <v>19</v>
      </c>
      <c r="P817" s="5">
        <v>4</v>
      </c>
      <c r="Q817" s="5">
        <v>4</v>
      </c>
      <c r="R817" s="8">
        <v>2</v>
      </c>
      <c r="S817" s="8">
        <v>5</v>
      </c>
      <c r="T817" s="8">
        <v>4</v>
      </c>
      <c r="U817" s="8">
        <v>7</v>
      </c>
      <c r="V817" s="8">
        <v>3</v>
      </c>
      <c r="W817" t="s">
        <v>473</v>
      </c>
      <c r="X817" t="s">
        <v>473</v>
      </c>
      <c r="Y817" t="s">
        <v>473</v>
      </c>
      <c r="Z817" t="s">
        <v>473</v>
      </c>
      <c r="AA817" t="s">
        <v>473</v>
      </c>
      <c r="AB817" t="s">
        <v>473</v>
      </c>
      <c r="AC817" s="10">
        <v>3</v>
      </c>
      <c r="AD817" s="10">
        <v>11</v>
      </c>
      <c r="AE817" t="s">
        <v>473</v>
      </c>
    </row>
    <row r="818" spans="1:31" x14ac:dyDescent="0.25">
      <c r="A818">
        <v>2986</v>
      </c>
      <c r="B818">
        <v>1976</v>
      </c>
      <c r="C818" t="s">
        <v>466</v>
      </c>
      <c r="D818" t="s">
        <v>34</v>
      </c>
      <c r="E818" t="str">
        <f>IF(OR(Table1[[#This Row],[marital_status]]="Married", Table1[[#This Row],[marital_status]]="Together"), "Partnered", "Single")</f>
        <v>Partnered</v>
      </c>
      <c r="F818" s="7">
        <v>30772</v>
      </c>
      <c r="G818" s="8">
        <v>1</v>
      </c>
      <c r="H818" s="8">
        <v>1</v>
      </c>
      <c r="I818" s="8">
        <f>Table1[[#This Row],[kids]]+Table1[[#This Row],[teens]]</f>
        <v>2</v>
      </c>
      <c r="J818" s="9">
        <v>41710</v>
      </c>
      <c r="K818" s="8">
        <v>89</v>
      </c>
      <c r="L818" s="6">
        <v>7</v>
      </c>
      <c r="M818" s="5">
        <v>2</v>
      </c>
      <c r="N818" s="5">
        <v>4</v>
      </c>
      <c r="O818" s="5">
        <v>2</v>
      </c>
      <c r="P818" s="5">
        <v>1</v>
      </c>
      <c r="Q818" s="5">
        <v>4</v>
      </c>
      <c r="R818" s="8">
        <v>1</v>
      </c>
      <c r="S818" s="8">
        <v>1</v>
      </c>
      <c r="T818" s="8">
        <v>0</v>
      </c>
      <c r="U818" s="8">
        <v>2</v>
      </c>
      <c r="V818" s="8">
        <v>6</v>
      </c>
      <c r="W818" t="s">
        <v>473</v>
      </c>
      <c r="X818" t="s">
        <v>473</v>
      </c>
      <c r="Y818" t="s">
        <v>473</v>
      </c>
      <c r="Z818" t="s">
        <v>473</v>
      </c>
      <c r="AA818" t="s">
        <v>473</v>
      </c>
      <c r="AB818" t="s">
        <v>473</v>
      </c>
      <c r="AC818" s="10">
        <v>3</v>
      </c>
      <c r="AD818" s="10">
        <v>11</v>
      </c>
      <c r="AE818" t="s">
        <v>473</v>
      </c>
    </row>
    <row r="819" spans="1:31" x14ac:dyDescent="0.25">
      <c r="A819">
        <v>7462</v>
      </c>
      <c r="B819">
        <v>1954</v>
      </c>
      <c r="C819" t="s">
        <v>466</v>
      </c>
      <c r="D819" t="s">
        <v>30</v>
      </c>
      <c r="E819" t="str">
        <f>IF(OR(Table1[[#This Row],[marital_status]]="Married", Table1[[#This Row],[marital_status]]="Together"), "Partnered", "Single")</f>
        <v>Single</v>
      </c>
      <c r="F819" s="7">
        <v>22507</v>
      </c>
      <c r="G819" s="8">
        <v>0</v>
      </c>
      <c r="H819" s="8">
        <v>0</v>
      </c>
      <c r="I819" s="8">
        <f>Table1[[#This Row],[kids]]+Table1[[#This Row],[teens]]</f>
        <v>0</v>
      </c>
      <c r="J819" s="9">
        <v>41237</v>
      </c>
      <c r="K819" s="8">
        <v>67</v>
      </c>
      <c r="L819" s="6">
        <v>68</v>
      </c>
      <c r="M819" s="5">
        <v>0</v>
      </c>
      <c r="N819" s="5">
        <v>226</v>
      </c>
      <c r="O819" s="5">
        <v>51</v>
      </c>
      <c r="P819" s="5">
        <v>157</v>
      </c>
      <c r="Q819" s="5">
        <v>68</v>
      </c>
      <c r="R819" s="8">
        <v>3</v>
      </c>
      <c r="S819" s="8">
        <v>10</v>
      </c>
      <c r="T819" s="8">
        <v>2</v>
      </c>
      <c r="U819" s="8">
        <v>4</v>
      </c>
      <c r="V819" s="8">
        <v>9</v>
      </c>
      <c r="W819" t="s">
        <v>473</v>
      </c>
      <c r="X819" t="s">
        <v>473</v>
      </c>
      <c r="Y819" t="s">
        <v>473</v>
      </c>
      <c r="Z819" t="s">
        <v>473</v>
      </c>
      <c r="AA819" t="s">
        <v>473</v>
      </c>
      <c r="AB819" t="s">
        <v>473</v>
      </c>
      <c r="AC819" s="10">
        <v>3</v>
      </c>
      <c r="AD819" s="10">
        <v>11</v>
      </c>
      <c r="AE819" t="s">
        <v>473</v>
      </c>
    </row>
    <row r="820" spans="1:31" x14ac:dyDescent="0.25">
      <c r="A820">
        <v>3900</v>
      </c>
      <c r="B820">
        <v>1972</v>
      </c>
      <c r="C820" t="s">
        <v>466</v>
      </c>
      <c r="D820" t="s">
        <v>34</v>
      </c>
      <c r="E820" t="str">
        <f>IF(OR(Table1[[#This Row],[marital_status]]="Married", Table1[[#This Row],[marital_status]]="Together"), "Partnered", "Single")</f>
        <v>Partnered</v>
      </c>
      <c r="F820" s="7">
        <v>65685</v>
      </c>
      <c r="G820" s="8">
        <v>0</v>
      </c>
      <c r="H820" s="8">
        <v>1</v>
      </c>
      <c r="I820" s="8">
        <f>Table1[[#This Row],[kids]]+Table1[[#This Row],[teens]]</f>
        <v>1</v>
      </c>
      <c r="J820" s="9">
        <v>41727</v>
      </c>
      <c r="K820" s="8">
        <v>54</v>
      </c>
      <c r="L820" s="6">
        <v>642</v>
      </c>
      <c r="M820" s="5">
        <v>14</v>
      </c>
      <c r="N820" s="5">
        <v>49</v>
      </c>
      <c r="O820" s="5">
        <v>0</v>
      </c>
      <c r="P820" s="5">
        <v>7</v>
      </c>
      <c r="Q820" s="5">
        <v>57</v>
      </c>
      <c r="R820" s="8">
        <v>1</v>
      </c>
      <c r="S820" s="8">
        <v>9</v>
      </c>
      <c r="T820" s="8">
        <v>2</v>
      </c>
      <c r="U820" s="8">
        <v>9</v>
      </c>
      <c r="V820" s="8">
        <v>5</v>
      </c>
      <c r="W820" t="s">
        <v>473</v>
      </c>
      <c r="X820" t="s">
        <v>473</v>
      </c>
      <c r="Y820" t="s">
        <v>473</v>
      </c>
      <c r="Z820" t="s">
        <v>473</v>
      </c>
      <c r="AA820" t="s">
        <v>473</v>
      </c>
      <c r="AB820" t="s">
        <v>473</v>
      </c>
      <c r="AC820" s="10">
        <v>3</v>
      </c>
      <c r="AD820" s="10">
        <v>11</v>
      </c>
      <c r="AE820" t="s">
        <v>473</v>
      </c>
    </row>
    <row r="821" spans="1:31" x14ac:dyDescent="0.25">
      <c r="A821">
        <v>7034</v>
      </c>
      <c r="B821">
        <v>1978</v>
      </c>
      <c r="C821" t="s">
        <v>46</v>
      </c>
      <c r="D821" t="s">
        <v>34</v>
      </c>
      <c r="E821" t="str">
        <f>IF(OR(Table1[[#This Row],[marital_status]]="Married", Table1[[#This Row],[marital_status]]="Together"), "Partnered", "Single")</f>
        <v>Partnered</v>
      </c>
      <c r="F821" s="7">
        <v>25804</v>
      </c>
      <c r="G821" s="8">
        <v>1</v>
      </c>
      <c r="H821" s="8">
        <v>0</v>
      </c>
      <c r="I821" s="8">
        <f>Table1[[#This Row],[kids]]+Table1[[#This Row],[teens]]</f>
        <v>1</v>
      </c>
      <c r="J821" s="9">
        <v>41518</v>
      </c>
      <c r="K821" s="8">
        <v>34</v>
      </c>
      <c r="L821" s="6">
        <v>8</v>
      </c>
      <c r="M821" s="5">
        <v>7</v>
      </c>
      <c r="N821" s="5">
        <v>9</v>
      </c>
      <c r="O821" s="5">
        <v>13</v>
      </c>
      <c r="P821" s="5">
        <v>6</v>
      </c>
      <c r="Q821" s="5">
        <v>12</v>
      </c>
      <c r="R821" s="8">
        <v>2</v>
      </c>
      <c r="S821" s="8">
        <v>2</v>
      </c>
      <c r="T821" s="8">
        <v>0</v>
      </c>
      <c r="U821" s="8">
        <v>3</v>
      </c>
      <c r="V821" s="8">
        <v>8</v>
      </c>
      <c r="W821" t="s">
        <v>473</v>
      </c>
      <c r="X821" t="s">
        <v>473</v>
      </c>
      <c r="Y821" t="s">
        <v>473</v>
      </c>
      <c r="Z821" t="s">
        <v>473</v>
      </c>
      <c r="AA821" t="s">
        <v>473</v>
      </c>
      <c r="AB821" t="s">
        <v>473</v>
      </c>
      <c r="AC821" s="10">
        <v>3</v>
      </c>
      <c r="AD821" s="10">
        <v>11</v>
      </c>
      <c r="AE821" t="s">
        <v>473</v>
      </c>
    </row>
    <row r="822" spans="1:31" x14ac:dyDescent="0.25">
      <c r="A822">
        <v>9493</v>
      </c>
      <c r="B822">
        <v>1980</v>
      </c>
      <c r="C822" t="s">
        <v>33</v>
      </c>
      <c r="D822" t="s">
        <v>30</v>
      </c>
      <c r="E822" t="str">
        <f>IF(OR(Table1[[#This Row],[marital_status]]="Married", Table1[[#This Row],[marital_status]]="Together"), "Partnered", "Single")</f>
        <v>Single</v>
      </c>
      <c r="F822" s="7">
        <v>76412</v>
      </c>
      <c r="G822" s="8">
        <v>0</v>
      </c>
      <c r="H822" s="8">
        <v>0</v>
      </c>
      <c r="I822" s="8">
        <f>Table1[[#This Row],[kids]]+Table1[[#This Row],[teens]]</f>
        <v>0</v>
      </c>
      <c r="J822" s="9">
        <v>41399</v>
      </c>
      <c r="K822" s="8">
        <v>15</v>
      </c>
      <c r="L822" s="6">
        <v>840</v>
      </c>
      <c r="M822" s="5">
        <v>53</v>
      </c>
      <c r="N822" s="5">
        <v>804</v>
      </c>
      <c r="O822" s="5">
        <v>23</v>
      </c>
      <c r="P822" s="5">
        <v>71</v>
      </c>
      <c r="Q822" s="5">
        <v>17</v>
      </c>
      <c r="R822" s="8">
        <v>1</v>
      </c>
      <c r="S822" s="8">
        <v>5</v>
      </c>
      <c r="T822" s="8">
        <v>4</v>
      </c>
      <c r="U822" s="8">
        <v>8</v>
      </c>
      <c r="V822" s="8">
        <v>3</v>
      </c>
      <c r="W822" t="s">
        <v>473</v>
      </c>
      <c r="X822" t="s">
        <v>473</v>
      </c>
      <c r="Y822" t="s">
        <v>474</v>
      </c>
      <c r="Z822" t="s">
        <v>474</v>
      </c>
      <c r="AA822" t="s">
        <v>473</v>
      </c>
      <c r="AB822" t="s">
        <v>473</v>
      </c>
      <c r="AC822" s="10">
        <v>3</v>
      </c>
      <c r="AD822" s="10">
        <v>11</v>
      </c>
      <c r="AE822" t="s">
        <v>474</v>
      </c>
    </row>
    <row r="823" spans="1:31" x14ac:dyDescent="0.25">
      <c r="A823">
        <v>1143</v>
      </c>
      <c r="B823">
        <v>1972</v>
      </c>
      <c r="C823" t="s">
        <v>466</v>
      </c>
      <c r="D823" t="s">
        <v>34</v>
      </c>
      <c r="E823" t="str">
        <f>IF(OR(Table1[[#This Row],[marital_status]]="Married", Table1[[#This Row],[marital_status]]="Together"), "Partnered", "Single")</f>
        <v>Partnered</v>
      </c>
      <c r="F823" s="7">
        <v>22063</v>
      </c>
      <c r="G823" s="8">
        <v>1</v>
      </c>
      <c r="H823" s="8">
        <v>0</v>
      </c>
      <c r="I823" s="8">
        <f>Table1[[#This Row],[kids]]+Table1[[#This Row],[teens]]</f>
        <v>1</v>
      </c>
      <c r="J823" s="9">
        <v>41494</v>
      </c>
      <c r="K823" s="8">
        <v>43</v>
      </c>
      <c r="L823" s="6">
        <v>7</v>
      </c>
      <c r="M823" s="5">
        <v>10</v>
      </c>
      <c r="N823" s="5">
        <v>13</v>
      </c>
      <c r="O823" s="5">
        <v>3</v>
      </c>
      <c r="P823" s="5">
        <v>11</v>
      </c>
      <c r="Q823" s="5">
        <v>11</v>
      </c>
      <c r="R823" s="8">
        <v>2</v>
      </c>
      <c r="S823" s="8">
        <v>2</v>
      </c>
      <c r="T823" s="8">
        <v>0</v>
      </c>
      <c r="U823" s="8">
        <v>3</v>
      </c>
      <c r="V823" s="8">
        <v>7</v>
      </c>
      <c r="W823" t="s">
        <v>473</v>
      </c>
      <c r="X823" t="s">
        <v>473</v>
      </c>
      <c r="Y823" t="s">
        <v>473</v>
      </c>
      <c r="Z823" t="s">
        <v>473</v>
      </c>
      <c r="AA823" t="s">
        <v>473</v>
      </c>
      <c r="AB823" t="s">
        <v>473</v>
      </c>
      <c r="AC823" s="10">
        <v>3</v>
      </c>
      <c r="AD823" s="10">
        <v>11</v>
      </c>
      <c r="AE823" t="s">
        <v>473</v>
      </c>
    </row>
    <row r="824" spans="1:31" x14ac:dyDescent="0.25">
      <c r="A824">
        <v>1</v>
      </c>
      <c r="B824">
        <v>1961</v>
      </c>
      <c r="C824" t="s">
        <v>466</v>
      </c>
      <c r="D824" t="s">
        <v>30</v>
      </c>
      <c r="E824" t="str">
        <f>IF(OR(Table1[[#This Row],[marital_status]]="Married", Table1[[#This Row],[marital_status]]="Together"), "Partnered", "Single")</f>
        <v>Single</v>
      </c>
      <c r="F824" s="7">
        <v>57091</v>
      </c>
      <c r="G824" s="8">
        <v>0</v>
      </c>
      <c r="H824" s="8">
        <v>0</v>
      </c>
      <c r="I824" s="8">
        <f>Table1[[#This Row],[kids]]+Table1[[#This Row],[teens]]</f>
        <v>0</v>
      </c>
      <c r="J824" s="9">
        <v>41805</v>
      </c>
      <c r="K824" s="8">
        <v>0</v>
      </c>
      <c r="L824" s="6">
        <v>464</v>
      </c>
      <c r="M824" s="5">
        <v>5</v>
      </c>
      <c r="N824" s="5">
        <v>64</v>
      </c>
      <c r="O824" s="5">
        <v>7</v>
      </c>
      <c r="P824" s="5">
        <v>0</v>
      </c>
      <c r="Q824" s="5">
        <v>37</v>
      </c>
      <c r="R824" s="8">
        <v>1</v>
      </c>
      <c r="S824" s="8">
        <v>7</v>
      </c>
      <c r="T824" s="8">
        <v>3</v>
      </c>
      <c r="U824" s="8">
        <v>7</v>
      </c>
      <c r="V824" s="8">
        <v>5</v>
      </c>
      <c r="W824" t="s">
        <v>473</v>
      </c>
      <c r="X824" t="s">
        <v>473</v>
      </c>
      <c r="Y824" t="s">
        <v>473</v>
      </c>
      <c r="Z824" t="s">
        <v>473</v>
      </c>
      <c r="AA824" t="s">
        <v>474</v>
      </c>
      <c r="AB824" t="s">
        <v>473</v>
      </c>
      <c r="AC824" s="10">
        <v>3</v>
      </c>
      <c r="AD824" s="10">
        <v>11</v>
      </c>
      <c r="AE824" t="s">
        <v>474</v>
      </c>
    </row>
    <row r="825" spans="1:31" x14ac:dyDescent="0.25">
      <c r="A825">
        <v>3855</v>
      </c>
      <c r="B825">
        <v>1963</v>
      </c>
      <c r="C825" t="s">
        <v>466</v>
      </c>
      <c r="D825" t="s">
        <v>34</v>
      </c>
      <c r="E825" t="str">
        <f>IF(OR(Table1[[#This Row],[marital_status]]="Married", Table1[[#This Row],[marital_status]]="Together"), "Partnered", "Single")</f>
        <v>Partnered</v>
      </c>
      <c r="F825" s="7">
        <v>22419</v>
      </c>
      <c r="G825" s="8">
        <v>0</v>
      </c>
      <c r="H825" s="8">
        <v>0</v>
      </c>
      <c r="I825" s="8">
        <f>Table1[[#This Row],[kids]]+Table1[[#This Row],[teens]]</f>
        <v>0</v>
      </c>
      <c r="J825" s="9">
        <v>41382</v>
      </c>
      <c r="K825" s="8">
        <v>74</v>
      </c>
      <c r="L825" s="6">
        <v>30</v>
      </c>
      <c r="M825" s="5">
        <v>3</v>
      </c>
      <c r="N825" s="5">
        <v>47</v>
      </c>
      <c r="O825" s="5">
        <v>19</v>
      </c>
      <c r="P825" s="5">
        <v>21</v>
      </c>
      <c r="Q825" s="5">
        <v>42</v>
      </c>
      <c r="R825" s="8">
        <v>1</v>
      </c>
      <c r="S825" s="8">
        <v>3</v>
      </c>
      <c r="T825" s="8">
        <v>2</v>
      </c>
      <c r="U825" s="8">
        <v>2</v>
      </c>
      <c r="V825" s="8">
        <v>8</v>
      </c>
      <c r="W825" t="s">
        <v>473</v>
      </c>
      <c r="X825" t="s">
        <v>473</v>
      </c>
      <c r="Y825" t="s">
        <v>473</v>
      </c>
      <c r="Z825" t="s">
        <v>473</v>
      </c>
      <c r="AA825" t="s">
        <v>473</v>
      </c>
      <c r="AB825" t="s">
        <v>473</v>
      </c>
      <c r="AC825" s="10">
        <v>3</v>
      </c>
      <c r="AD825" s="10">
        <v>11</v>
      </c>
      <c r="AE825" t="s">
        <v>473</v>
      </c>
    </row>
    <row r="826" spans="1:31" x14ac:dyDescent="0.25">
      <c r="A826">
        <v>5536</v>
      </c>
      <c r="B826">
        <v>1959</v>
      </c>
      <c r="C826" t="s">
        <v>466</v>
      </c>
      <c r="D826" t="s">
        <v>31</v>
      </c>
      <c r="E826" t="str">
        <f>IF(OR(Table1[[#This Row],[marital_status]]="Married", Table1[[#This Row],[marital_status]]="Together"), "Partnered", "Single")</f>
        <v>Partnered</v>
      </c>
      <c r="F826" s="7">
        <v>87771</v>
      </c>
      <c r="G826" s="8">
        <v>0</v>
      </c>
      <c r="H826" s="8">
        <v>1</v>
      </c>
      <c r="I826" s="8">
        <f>Table1[[#This Row],[kids]]+Table1[[#This Row],[teens]]</f>
        <v>1</v>
      </c>
      <c r="J826" s="9">
        <v>41416</v>
      </c>
      <c r="K826" s="8">
        <v>61</v>
      </c>
      <c r="L826" s="6">
        <v>1492</v>
      </c>
      <c r="M826" s="5">
        <v>38</v>
      </c>
      <c r="N826" s="5">
        <v>287</v>
      </c>
      <c r="O826" s="5">
        <v>50</v>
      </c>
      <c r="P826" s="5">
        <v>57</v>
      </c>
      <c r="Q826" s="5">
        <v>33</v>
      </c>
      <c r="R826" s="8">
        <v>1</v>
      </c>
      <c r="S826" s="8">
        <v>5</v>
      </c>
      <c r="T826" s="8">
        <v>10</v>
      </c>
      <c r="U826" s="8">
        <v>4</v>
      </c>
      <c r="V826" s="8">
        <v>6</v>
      </c>
      <c r="W826" t="s">
        <v>473</v>
      </c>
      <c r="X826" t="s">
        <v>474</v>
      </c>
      <c r="Y826" t="s">
        <v>474</v>
      </c>
      <c r="Z826" t="s">
        <v>474</v>
      </c>
      <c r="AA826" t="s">
        <v>474</v>
      </c>
      <c r="AB826" t="s">
        <v>473</v>
      </c>
      <c r="AC826" s="10">
        <v>3</v>
      </c>
      <c r="AD826" s="10">
        <v>11</v>
      </c>
      <c r="AE826" t="s">
        <v>474</v>
      </c>
    </row>
    <row r="827" spans="1:31" x14ac:dyDescent="0.25">
      <c r="A827">
        <v>5989</v>
      </c>
      <c r="B827">
        <v>1959</v>
      </c>
      <c r="C827" t="s">
        <v>46</v>
      </c>
      <c r="D827" t="s">
        <v>37</v>
      </c>
      <c r="E827" t="str">
        <f>IF(OR(Table1[[#This Row],[marital_status]]="Married", Table1[[#This Row],[marital_status]]="Together"), "Partnered", "Single")</f>
        <v>Single</v>
      </c>
      <c r="F827" s="7">
        <v>78353</v>
      </c>
      <c r="G827" s="8">
        <v>0</v>
      </c>
      <c r="H827" s="8">
        <v>1</v>
      </c>
      <c r="I827" s="8">
        <f>Table1[[#This Row],[kids]]+Table1[[#This Row],[teens]]</f>
        <v>1</v>
      </c>
      <c r="J827" s="9">
        <v>41380</v>
      </c>
      <c r="K827" s="8">
        <v>51</v>
      </c>
      <c r="L827" s="6">
        <v>752</v>
      </c>
      <c r="M827" s="5">
        <v>122</v>
      </c>
      <c r="N827" s="5">
        <v>476</v>
      </c>
      <c r="O827" s="5">
        <v>39</v>
      </c>
      <c r="P827" s="5">
        <v>153</v>
      </c>
      <c r="Q827" s="5">
        <v>34</v>
      </c>
      <c r="R827" s="8">
        <v>1</v>
      </c>
      <c r="S827" s="8">
        <v>10</v>
      </c>
      <c r="T827" s="8">
        <v>2</v>
      </c>
      <c r="U827" s="8">
        <v>11</v>
      </c>
      <c r="V827" s="8">
        <v>8</v>
      </c>
      <c r="W827" t="s">
        <v>473</v>
      </c>
      <c r="X827" t="s">
        <v>473</v>
      </c>
      <c r="Y827" t="s">
        <v>473</v>
      </c>
      <c r="Z827" t="s">
        <v>473</v>
      </c>
      <c r="AA827" t="s">
        <v>473</v>
      </c>
      <c r="AB827" t="s">
        <v>473</v>
      </c>
      <c r="AC827" s="10">
        <v>3</v>
      </c>
      <c r="AD827" s="10">
        <v>11</v>
      </c>
      <c r="AE827" t="s">
        <v>473</v>
      </c>
    </row>
    <row r="828" spans="1:31" x14ac:dyDescent="0.25">
      <c r="A828">
        <v>9499</v>
      </c>
      <c r="B828">
        <v>1954</v>
      </c>
      <c r="C828" t="s">
        <v>466</v>
      </c>
      <c r="D828" t="s">
        <v>34</v>
      </c>
      <c r="E828" t="str">
        <f>IF(OR(Table1[[#This Row],[marital_status]]="Married", Table1[[#This Row],[marital_status]]="Together"), "Partnered", "Single")</f>
        <v>Partnered</v>
      </c>
      <c r="F828" s="7">
        <v>93404</v>
      </c>
      <c r="G828" s="8">
        <v>1</v>
      </c>
      <c r="H828" s="8">
        <v>2</v>
      </c>
      <c r="I828" s="8">
        <f>Table1[[#This Row],[kids]]+Table1[[#This Row],[teens]]</f>
        <v>3</v>
      </c>
      <c r="J828" s="9">
        <v>41401</v>
      </c>
      <c r="K828" s="8">
        <v>97</v>
      </c>
      <c r="L828" s="6">
        <v>1279</v>
      </c>
      <c r="M828" s="5">
        <v>15</v>
      </c>
      <c r="N828" s="5">
        <v>287</v>
      </c>
      <c r="O828" s="5">
        <v>20</v>
      </c>
      <c r="P828" s="5">
        <v>0</v>
      </c>
      <c r="Q828" s="5">
        <v>15</v>
      </c>
      <c r="R828" s="8">
        <v>3</v>
      </c>
      <c r="S828" s="8">
        <v>3</v>
      </c>
      <c r="T828" s="8">
        <v>4</v>
      </c>
      <c r="U828" s="8">
        <v>7</v>
      </c>
      <c r="V828" s="8">
        <v>5</v>
      </c>
      <c r="W828" t="s">
        <v>473</v>
      </c>
      <c r="X828" t="s">
        <v>474</v>
      </c>
      <c r="Y828" t="s">
        <v>474</v>
      </c>
      <c r="Z828" t="s">
        <v>473</v>
      </c>
      <c r="AA828" t="s">
        <v>473</v>
      </c>
      <c r="AB828" t="s">
        <v>473</v>
      </c>
      <c r="AC828" s="10">
        <v>3</v>
      </c>
      <c r="AD828" s="10">
        <v>11</v>
      </c>
      <c r="AE828" t="s">
        <v>473</v>
      </c>
    </row>
    <row r="829" spans="1:31" x14ac:dyDescent="0.25">
      <c r="A829">
        <v>6768</v>
      </c>
      <c r="B829">
        <v>1962</v>
      </c>
      <c r="C829" t="s">
        <v>466</v>
      </c>
      <c r="D829" t="s">
        <v>37</v>
      </c>
      <c r="E829" t="str">
        <f>IF(OR(Table1[[#This Row],[marital_status]]="Married", Table1[[#This Row],[marital_status]]="Together"), "Partnered", "Single")</f>
        <v>Single</v>
      </c>
      <c r="F829" s="7">
        <v>37859</v>
      </c>
      <c r="G829" s="8">
        <v>1</v>
      </c>
      <c r="H829" s="8">
        <v>2</v>
      </c>
      <c r="I829" s="8">
        <f>Table1[[#This Row],[kids]]+Table1[[#This Row],[teens]]</f>
        <v>3</v>
      </c>
      <c r="J829" s="9">
        <v>41286</v>
      </c>
      <c r="K829" s="8">
        <v>75</v>
      </c>
      <c r="L829" s="6">
        <v>22</v>
      </c>
      <c r="M829" s="5">
        <v>1</v>
      </c>
      <c r="N829" s="5">
        <v>8</v>
      </c>
      <c r="O829" s="5">
        <v>2</v>
      </c>
      <c r="P829" s="5">
        <v>1</v>
      </c>
      <c r="Q829" s="5">
        <v>2</v>
      </c>
      <c r="R829" s="8">
        <v>2</v>
      </c>
      <c r="S829" s="8">
        <v>1</v>
      </c>
      <c r="T829" s="8">
        <v>0</v>
      </c>
      <c r="U829" s="8">
        <v>3</v>
      </c>
      <c r="V829" s="8">
        <v>8</v>
      </c>
      <c r="W829" t="s">
        <v>473</v>
      </c>
      <c r="X829" t="s">
        <v>473</v>
      </c>
      <c r="Y829" t="s">
        <v>473</v>
      </c>
      <c r="Z829" t="s">
        <v>473</v>
      </c>
      <c r="AA829" t="s">
        <v>473</v>
      </c>
      <c r="AB829" t="s">
        <v>473</v>
      </c>
      <c r="AC829" s="10">
        <v>3</v>
      </c>
      <c r="AD829" s="10">
        <v>11</v>
      </c>
      <c r="AE829" t="s">
        <v>473</v>
      </c>
    </row>
    <row r="830" spans="1:31" x14ac:dyDescent="0.25">
      <c r="A830">
        <v>2150</v>
      </c>
      <c r="B830">
        <v>1958</v>
      </c>
      <c r="C830" t="s">
        <v>33</v>
      </c>
      <c r="D830" t="s">
        <v>57</v>
      </c>
      <c r="E830" t="str">
        <f>IF(OR(Table1[[#This Row],[marital_status]]="Married", Table1[[#This Row],[marital_status]]="Together"), "Partnered", "Single")</f>
        <v>Single</v>
      </c>
      <c r="F830" s="7">
        <v>80995</v>
      </c>
      <c r="G830" s="8">
        <v>0</v>
      </c>
      <c r="H830" s="8">
        <v>1</v>
      </c>
      <c r="I830" s="8">
        <f>Table1[[#This Row],[kids]]+Table1[[#This Row],[teens]]</f>
        <v>1</v>
      </c>
      <c r="J830" s="9">
        <v>41405</v>
      </c>
      <c r="K830" s="8">
        <v>83</v>
      </c>
      <c r="L830" s="6">
        <v>860</v>
      </c>
      <c r="M830" s="5">
        <v>28</v>
      </c>
      <c r="N830" s="5">
        <v>409</v>
      </c>
      <c r="O830" s="5">
        <v>73</v>
      </c>
      <c r="P830" s="5">
        <v>56</v>
      </c>
      <c r="Q830" s="5">
        <v>56</v>
      </c>
      <c r="R830" s="8">
        <v>1</v>
      </c>
      <c r="S830" s="8">
        <v>8</v>
      </c>
      <c r="T830" s="8">
        <v>9</v>
      </c>
      <c r="U830" s="8">
        <v>4</v>
      </c>
      <c r="V830" s="8">
        <v>4</v>
      </c>
      <c r="W830" t="s">
        <v>473</v>
      </c>
      <c r="X830" t="s">
        <v>473</v>
      </c>
      <c r="Y830" t="s">
        <v>473</v>
      </c>
      <c r="Z830" t="s">
        <v>473</v>
      </c>
      <c r="AA830" t="s">
        <v>473</v>
      </c>
      <c r="AB830" t="s">
        <v>473</v>
      </c>
      <c r="AC830" s="10">
        <v>3</v>
      </c>
      <c r="AD830" s="10">
        <v>11</v>
      </c>
      <c r="AE830" t="s">
        <v>473</v>
      </c>
    </row>
    <row r="831" spans="1:31" x14ac:dyDescent="0.25">
      <c r="A831">
        <v>6646</v>
      </c>
      <c r="B831">
        <v>1984</v>
      </c>
      <c r="C831" t="s">
        <v>466</v>
      </c>
      <c r="D831" t="s">
        <v>31</v>
      </c>
      <c r="E831" t="str">
        <f>IF(OR(Table1[[#This Row],[marital_status]]="Married", Table1[[#This Row],[marital_status]]="Together"), "Partnered", "Single")</f>
        <v>Partnered</v>
      </c>
      <c r="F831" s="7">
        <v>16529</v>
      </c>
      <c r="G831" s="8">
        <v>1</v>
      </c>
      <c r="H831" s="8">
        <v>0</v>
      </c>
      <c r="I831" s="8">
        <f>Table1[[#This Row],[kids]]+Table1[[#This Row],[teens]]</f>
        <v>1</v>
      </c>
      <c r="J831" s="9">
        <v>41699</v>
      </c>
      <c r="K831" s="8">
        <v>23</v>
      </c>
      <c r="L831" s="6">
        <v>3</v>
      </c>
      <c r="M831" s="5">
        <v>0</v>
      </c>
      <c r="N831" s="5">
        <v>5</v>
      </c>
      <c r="O831" s="5">
        <v>13</v>
      </c>
      <c r="P831" s="5">
        <v>0</v>
      </c>
      <c r="Q831" s="5">
        <v>1</v>
      </c>
      <c r="R831" s="8">
        <v>1</v>
      </c>
      <c r="S831" s="8">
        <v>1</v>
      </c>
      <c r="T831" s="8">
        <v>0</v>
      </c>
      <c r="U831" s="8">
        <v>3</v>
      </c>
      <c r="V831" s="8">
        <v>6</v>
      </c>
      <c r="W831" t="s">
        <v>473</v>
      </c>
      <c r="X831" t="s">
        <v>473</v>
      </c>
      <c r="Y831" t="s">
        <v>473</v>
      </c>
      <c r="Z831" t="s">
        <v>473</v>
      </c>
      <c r="AA831" t="s">
        <v>473</v>
      </c>
      <c r="AB831" t="s">
        <v>473</v>
      </c>
      <c r="AC831" s="10">
        <v>3</v>
      </c>
      <c r="AD831" s="10">
        <v>11</v>
      </c>
      <c r="AE831" t="s">
        <v>473</v>
      </c>
    </row>
    <row r="832" spans="1:31" x14ac:dyDescent="0.25">
      <c r="A832">
        <v>4887</v>
      </c>
      <c r="B832">
        <v>1976</v>
      </c>
      <c r="C832" t="s">
        <v>33</v>
      </c>
      <c r="D832" t="s">
        <v>37</v>
      </c>
      <c r="E832" t="str">
        <f>IF(OR(Table1[[#This Row],[marital_status]]="Married", Table1[[#This Row],[marital_status]]="Together"), "Partnered", "Single")</f>
        <v>Single</v>
      </c>
      <c r="F832" s="7">
        <v>55412</v>
      </c>
      <c r="G832" s="8">
        <v>1</v>
      </c>
      <c r="H832" s="8">
        <v>1</v>
      </c>
      <c r="I832" s="8">
        <f>Table1[[#This Row],[kids]]+Table1[[#This Row],[teens]]</f>
        <v>2</v>
      </c>
      <c r="J832" s="9">
        <v>41600</v>
      </c>
      <c r="K832" s="8">
        <v>65</v>
      </c>
      <c r="L832" s="6">
        <v>10</v>
      </c>
      <c r="M832" s="5">
        <v>5</v>
      </c>
      <c r="N832" s="5">
        <v>28</v>
      </c>
      <c r="O832" s="5">
        <v>11</v>
      </c>
      <c r="P832" s="5">
        <v>1</v>
      </c>
      <c r="Q832" s="5">
        <v>8</v>
      </c>
      <c r="R832" s="8">
        <v>1</v>
      </c>
      <c r="S832" s="8">
        <v>2</v>
      </c>
      <c r="T832" s="8">
        <v>0</v>
      </c>
      <c r="U832" s="8">
        <v>3</v>
      </c>
      <c r="V832" s="8">
        <v>5</v>
      </c>
      <c r="W832" t="s">
        <v>473</v>
      </c>
      <c r="X832" t="s">
        <v>473</v>
      </c>
      <c r="Y832" t="s">
        <v>473</v>
      </c>
      <c r="Z832" t="s">
        <v>473</v>
      </c>
      <c r="AA832" t="s">
        <v>473</v>
      </c>
      <c r="AB832" t="s">
        <v>473</v>
      </c>
      <c r="AC832" s="10">
        <v>3</v>
      </c>
      <c r="AD832" s="10">
        <v>11</v>
      </c>
      <c r="AE832" t="s">
        <v>473</v>
      </c>
    </row>
    <row r="833" spans="1:31" x14ac:dyDescent="0.25">
      <c r="A833">
        <v>8560</v>
      </c>
      <c r="B833">
        <v>1992</v>
      </c>
      <c r="C833" t="s">
        <v>466</v>
      </c>
      <c r="D833" t="s">
        <v>30</v>
      </c>
      <c r="E833" t="str">
        <f>IF(OR(Table1[[#This Row],[marital_status]]="Married", Table1[[#This Row],[marital_status]]="Together"), "Partnered", "Single")</f>
        <v>Single</v>
      </c>
      <c r="F833" s="7">
        <v>48789</v>
      </c>
      <c r="G833" s="8">
        <v>0</v>
      </c>
      <c r="H833" s="8">
        <v>0</v>
      </c>
      <c r="I833" s="8">
        <f>Table1[[#This Row],[kids]]+Table1[[#This Row],[teens]]</f>
        <v>0</v>
      </c>
      <c r="J833" s="9">
        <v>41162</v>
      </c>
      <c r="K833" s="8">
        <v>94</v>
      </c>
      <c r="L833" s="6">
        <v>351</v>
      </c>
      <c r="M833" s="5">
        <v>16</v>
      </c>
      <c r="N833" s="5">
        <v>156</v>
      </c>
      <c r="O833" s="5">
        <v>7</v>
      </c>
      <c r="P833" s="5">
        <v>5</v>
      </c>
      <c r="Q833" s="5">
        <v>145</v>
      </c>
      <c r="R833" s="8">
        <v>1</v>
      </c>
      <c r="S833" s="8">
        <v>6</v>
      </c>
      <c r="T833" s="8">
        <v>4</v>
      </c>
      <c r="U833" s="8">
        <v>7</v>
      </c>
      <c r="V833" s="8">
        <v>6</v>
      </c>
      <c r="W833" t="s">
        <v>473</v>
      </c>
      <c r="X833" t="s">
        <v>473</v>
      </c>
      <c r="Y833" t="s">
        <v>473</v>
      </c>
      <c r="Z833" t="s">
        <v>473</v>
      </c>
      <c r="AA833" t="s">
        <v>473</v>
      </c>
      <c r="AB833" t="s">
        <v>473</v>
      </c>
      <c r="AC833" s="10">
        <v>3</v>
      </c>
      <c r="AD833" s="10">
        <v>11</v>
      </c>
      <c r="AE833" t="s">
        <v>473</v>
      </c>
    </row>
    <row r="834" spans="1:31" x14ac:dyDescent="0.25">
      <c r="A834">
        <v>3321</v>
      </c>
      <c r="B834">
        <v>1967</v>
      </c>
      <c r="C834" t="s">
        <v>33</v>
      </c>
      <c r="D834" t="s">
        <v>31</v>
      </c>
      <c r="E834" t="str">
        <f>IF(OR(Table1[[#This Row],[marital_status]]="Married", Table1[[#This Row],[marital_status]]="Together"), "Partnered", "Single")</f>
        <v>Partnered</v>
      </c>
      <c r="F834" s="7">
        <v>56575</v>
      </c>
      <c r="G834" s="8">
        <v>0</v>
      </c>
      <c r="H834" s="8">
        <v>2</v>
      </c>
      <c r="I834" s="8">
        <f>Table1[[#This Row],[kids]]+Table1[[#This Row],[teens]]</f>
        <v>2</v>
      </c>
      <c r="J834" s="9">
        <v>41399</v>
      </c>
      <c r="K834" s="8">
        <v>42</v>
      </c>
      <c r="L834" s="6">
        <v>421</v>
      </c>
      <c r="M834" s="5">
        <v>5</v>
      </c>
      <c r="N834" s="5">
        <v>90</v>
      </c>
      <c r="O834" s="5">
        <v>0</v>
      </c>
      <c r="P834" s="5">
        <v>16</v>
      </c>
      <c r="Q834" s="5">
        <v>10</v>
      </c>
      <c r="R834" s="8">
        <v>3</v>
      </c>
      <c r="S834" s="8">
        <v>7</v>
      </c>
      <c r="T834" s="8">
        <v>3</v>
      </c>
      <c r="U834" s="8">
        <v>7</v>
      </c>
      <c r="V834" s="8">
        <v>5</v>
      </c>
      <c r="W834" t="s">
        <v>473</v>
      </c>
      <c r="X834" t="s">
        <v>473</v>
      </c>
      <c r="Y834" t="s">
        <v>473</v>
      </c>
      <c r="Z834" t="s">
        <v>473</v>
      </c>
      <c r="AA834" t="s">
        <v>473</v>
      </c>
      <c r="AB834" t="s">
        <v>473</v>
      </c>
      <c r="AC834" s="10">
        <v>3</v>
      </c>
      <c r="AD834" s="10">
        <v>11</v>
      </c>
      <c r="AE834" t="s">
        <v>473</v>
      </c>
    </row>
    <row r="835" spans="1:31" x14ac:dyDescent="0.25">
      <c r="A835">
        <v>11003</v>
      </c>
      <c r="B835">
        <v>1980</v>
      </c>
      <c r="C835" t="s">
        <v>46</v>
      </c>
      <c r="D835" t="s">
        <v>31</v>
      </c>
      <c r="E835" t="str">
        <f>IF(OR(Table1[[#This Row],[marital_status]]="Married", Table1[[#This Row],[marital_status]]="Together"), "Partnered", "Single")</f>
        <v>Partnered</v>
      </c>
      <c r="F835" s="7">
        <v>25130</v>
      </c>
      <c r="G835" s="8">
        <v>1</v>
      </c>
      <c r="H835" s="8">
        <v>0</v>
      </c>
      <c r="I835" s="8">
        <f>Table1[[#This Row],[kids]]+Table1[[#This Row],[teens]]</f>
        <v>1</v>
      </c>
      <c r="J835" s="9">
        <v>41549</v>
      </c>
      <c r="K835" s="8">
        <v>10</v>
      </c>
      <c r="L835" s="6">
        <v>2</v>
      </c>
      <c r="M835" s="5">
        <v>5</v>
      </c>
      <c r="N835" s="5">
        <v>7</v>
      </c>
      <c r="O835" s="5">
        <v>0</v>
      </c>
      <c r="P835" s="5">
        <v>18</v>
      </c>
      <c r="Q835" s="5">
        <v>18</v>
      </c>
      <c r="R835" s="8">
        <v>2</v>
      </c>
      <c r="S835" s="8">
        <v>2</v>
      </c>
      <c r="T835" s="8">
        <v>0</v>
      </c>
      <c r="U835" s="8">
        <v>3</v>
      </c>
      <c r="V835" s="8">
        <v>7</v>
      </c>
      <c r="W835" t="s">
        <v>473</v>
      </c>
      <c r="X835" t="s">
        <v>473</v>
      </c>
      <c r="Y835" t="s">
        <v>473</v>
      </c>
      <c r="Z835" t="s">
        <v>473</v>
      </c>
      <c r="AA835" t="s">
        <v>473</v>
      </c>
      <c r="AB835" t="s">
        <v>473</v>
      </c>
      <c r="AC835" s="10">
        <v>3</v>
      </c>
      <c r="AD835" s="10">
        <v>11</v>
      </c>
      <c r="AE835" t="s">
        <v>473</v>
      </c>
    </row>
    <row r="836" spans="1:31" x14ac:dyDescent="0.25">
      <c r="A836">
        <v>10402</v>
      </c>
      <c r="B836">
        <v>1967</v>
      </c>
      <c r="C836" t="s">
        <v>466</v>
      </c>
      <c r="D836" t="s">
        <v>34</v>
      </c>
      <c r="E836" t="str">
        <f>IF(OR(Table1[[#This Row],[marital_status]]="Married", Table1[[#This Row],[marital_status]]="Together"), "Partnered", "Single")</f>
        <v>Partnered</v>
      </c>
      <c r="F836" s="7">
        <v>35441</v>
      </c>
      <c r="G836" s="8">
        <v>1</v>
      </c>
      <c r="H836" s="8">
        <v>1</v>
      </c>
      <c r="I836" s="8">
        <f>Table1[[#This Row],[kids]]+Table1[[#This Row],[teens]]</f>
        <v>2</v>
      </c>
      <c r="J836" s="9">
        <v>41319</v>
      </c>
      <c r="K836" s="8">
        <v>94</v>
      </c>
      <c r="L836" s="6">
        <v>25</v>
      </c>
      <c r="M836" s="5">
        <v>1</v>
      </c>
      <c r="N836" s="5">
        <v>9</v>
      </c>
      <c r="O836" s="5">
        <v>2</v>
      </c>
      <c r="P836" s="5">
        <v>1</v>
      </c>
      <c r="Q836" s="5">
        <v>1</v>
      </c>
      <c r="R836" s="8">
        <v>2</v>
      </c>
      <c r="S836" s="8">
        <v>1</v>
      </c>
      <c r="T836" s="8">
        <v>0</v>
      </c>
      <c r="U836" s="8">
        <v>3</v>
      </c>
      <c r="V836" s="8">
        <v>8</v>
      </c>
      <c r="W836" t="s">
        <v>473</v>
      </c>
      <c r="X836" t="s">
        <v>473</v>
      </c>
      <c r="Y836" t="s">
        <v>473</v>
      </c>
      <c r="Z836" t="s">
        <v>473</v>
      </c>
      <c r="AA836" t="s">
        <v>473</v>
      </c>
      <c r="AB836" t="s">
        <v>473</v>
      </c>
      <c r="AC836" s="10">
        <v>3</v>
      </c>
      <c r="AD836" s="10">
        <v>11</v>
      </c>
      <c r="AE836" t="s">
        <v>473</v>
      </c>
    </row>
    <row r="837" spans="1:31" x14ac:dyDescent="0.25">
      <c r="A837">
        <v>9904</v>
      </c>
      <c r="B837">
        <v>1956</v>
      </c>
      <c r="C837" t="s">
        <v>466</v>
      </c>
      <c r="D837" t="s">
        <v>34</v>
      </c>
      <c r="E837" t="str">
        <f>IF(OR(Table1[[#This Row],[marital_status]]="Married", Table1[[#This Row],[marital_status]]="Together"), "Partnered", "Single")</f>
        <v>Partnered</v>
      </c>
      <c r="F837" s="7">
        <v>71391</v>
      </c>
      <c r="G837" s="8">
        <v>0</v>
      </c>
      <c r="H837" s="8">
        <v>1</v>
      </c>
      <c r="I837" s="8">
        <f>Table1[[#This Row],[kids]]+Table1[[#This Row],[teens]]</f>
        <v>1</v>
      </c>
      <c r="J837" s="9">
        <v>41362</v>
      </c>
      <c r="K837" s="8">
        <v>50</v>
      </c>
      <c r="L837" s="6">
        <v>336</v>
      </c>
      <c r="M837" s="5">
        <v>123</v>
      </c>
      <c r="N837" s="5">
        <v>274</v>
      </c>
      <c r="O837" s="5">
        <v>46</v>
      </c>
      <c r="P837" s="5">
        <v>123</v>
      </c>
      <c r="Q837" s="5">
        <v>141</v>
      </c>
      <c r="R837" s="8">
        <v>5</v>
      </c>
      <c r="S837" s="8">
        <v>6</v>
      </c>
      <c r="T837" s="8">
        <v>5</v>
      </c>
      <c r="U837" s="8">
        <v>12</v>
      </c>
      <c r="V837" s="8">
        <v>3</v>
      </c>
      <c r="W837" t="s">
        <v>473</v>
      </c>
      <c r="X837" t="s">
        <v>473</v>
      </c>
      <c r="Y837" t="s">
        <v>473</v>
      </c>
      <c r="Z837" t="s">
        <v>473</v>
      </c>
      <c r="AA837" t="s">
        <v>473</v>
      </c>
      <c r="AB837" t="s">
        <v>473</v>
      </c>
      <c r="AC837" s="10">
        <v>3</v>
      </c>
      <c r="AD837" s="10">
        <v>11</v>
      </c>
      <c r="AE837" t="s">
        <v>473</v>
      </c>
    </row>
    <row r="838" spans="1:31" x14ac:dyDescent="0.25">
      <c r="A838">
        <v>6141</v>
      </c>
      <c r="B838">
        <v>1972</v>
      </c>
      <c r="C838" t="s">
        <v>36</v>
      </c>
      <c r="D838" t="s">
        <v>30</v>
      </c>
      <c r="E838" t="str">
        <f>IF(OR(Table1[[#This Row],[marital_status]]="Married", Table1[[#This Row],[marital_status]]="Together"), "Partnered", "Single")</f>
        <v>Single</v>
      </c>
      <c r="F838" s="7">
        <v>49494</v>
      </c>
      <c r="G838" s="8">
        <v>1</v>
      </c>
      <c r="H838" s="8">
        <v>0</v>
      </c>
      <c r="I838" s="8">
        <f>Table1[[#This Row],[kids]]+Table1[[#This Row],[teens]]</f>
        <v>1</v>
      </c>
      <c r="J838" s="9">
        <v>41389</v>
      </c>
      <c r="K838" s="8">
        <v>46</v>
      </c>
      <c r="L838" s="6">
        <v>191</v>
      </c>
      <c r="M838" s="5">
        <v>9</v>
      </c>
      <c r="N838" s="5">
        <v>97</v>
      </c>
      <c r="O838" s="5">
        <v>0</v>
      </c>
      <c r="P838" s="5">
        <v>6</v>
      </c>
      <c r="Q838" s="5">
        <v>82</v>
      </c>
      <c r="R838" s="8">
        <v>2</v>
      </c>
      <c r="S838" s="8">
        <v>6</v>
      </c>
      <c r="T838" s="8">
        <v>1</v>
      </c>
      <c r="U838" s="8">
        <v>5</v>
      </c>
      <c r="V838" s="8">
        <v>7</v>
      </c>
      <c r="W838" t="s">
        <v>473</v>
      </c>
      <c r="X838" t="s">
        <v>473</v>
      </c>
      <c r="Y838" t="s">
        <v>473</v>
      </c>
      <c r="Z838" t="s">
        <v>473</v>
      </c>
      <c r="AA838" t="s">
        <v>473</v>
      </c>
      <c r="AB838" t="s">
        <v>473</v>
      </c>
      <c r="AC838" s="10">
        <v>3</v>
      </c>
      <c r="AD838" s="10">
        <v>11</v>
      </c>
      <c r="AE838" t="s">
        <v>473</v>
      </c>
    </row>
    <row r="839" spans="1:31" x14ac:dyDescent="0.25">
      <c r="A839">
        <v>5687</v>
      </c>
      <c r="B839">
        <v>1980</v>
      </c>
      <c r="C839" t="s">
        <v>466</v>
      </c>
      <c r="D839" t="s">
        <v>37</v>
      </c>
      <c r="E839" t="str">
        <f>IF(OR(Table1[[#This Row],[marital_status]]="Married", Table1[[#This Row],[marital_status]]="Together"), "Partnered", "Single")</f>
        <v>Single</v>
      </c>
      <c r="F839" s="7">
        <v>81702</v>
      </c>
      <c r="G839" s="8">
        <v>0</v>
      </c>
      <c r="H839" s="8">
        <v>0</v>
      </c>
      <c r="I839" s="8">
        <f>Table1[[#This Row],[kids]]+Table1[[#This Row],[teens]]</f>
        <v>0</v>
      </c>
      <c r="J839" s="9">
        <v>41175</v>
      </c>
      <c r="K839" s="8">
        <v>98</v>
      </c>
      <c r="L839" s="6">
        <v>563</v>
      </c>
      <c r="M839" s="5">
        <v>50</v>
      </c>
      <c r="N839" s="5">
        <v>774</v>
      </c>
      <c r="O839" s="5">
        <v>28</v>
      </c>
      <c r="P839" s="5">
        <v>31</v>
      </c>
      <c r="Q839" s="5">
        <v>187</v>
      </c>
      <c r="R839" s="8">
        <v>1</v>
      </c>
      <c r="S839" s="8">
        <v>7</v>
      </c>
      <c r="T839" s="8">
        <v>7</v>
      </c>
      <c r="U839" s="8">
        <v>12</v>
      </c>
      <c r="V839" s="8">
        <v>3</v>
      </c>
      <c r="W839" t="s">
        <v>473</v>
      </c>
      <c r="X839" t="s">
        <v>473</v>
      </c>
      <c r="Y839" t="s">
        <v>473</v>
      </c>
      <c r="Z839" t="s">
        <v>473</v>
      </c>
      <c r="AA839" t="s">
        <v>473</v>
      </c>
      <c r="AB839" t="s">
        <v>473</v>
      </c>
      <c r="AC839" s="10">
        <v>3</v>
      </c>
      <c r="AD839" s="10">
        <v>11</v>
      </c>
      <c r="AE839" t="s">
        <v>473</v>
      </c>
    </row>
    <row r="840" spans="1:31" x14ac:dyDescent="0.25">
      <c r="A840">
        <v>10856</v>
      </c>
      <c r="B840">
        <v>1980</v>
      </c>
      <c r="C840" t="s">
        <v>46</v>
      </c>
      <c r="D840" t="s">
        <v>30</v>
      </c>
      <c r="E840" t="str">
        <f>IF(OR(Table1[[#This Row],[marital_status]]="Married", Table1[[#This Row],[marital_status]]="Together"), "Partnered", "Single")</f>
        <v>Single</v>
      </c>
      <c r="F840" s="7">
        <v>45889</v>
      </c>
      <c r="G840" s="8">
        <v>0</v>
      </c>
      <c r="H840" s="8">
        <v>1</v>
      </c>
      <c r="I840" s="8">
        <f>Table1[[#This Row],[kids]]+Table1[[#This Row],[teens]]</f>
        <v>1</v>
      </c>
      <c r="J840" s="9">
        <v>41457</v>
      </c>
      <c r="K840" s="8">
        <v>42</v>
      </c>
      <c r="L840" s="6">
        <v>31</v>
      </c>
      <c r="M840" s="5">
        <v>0</v>
      </c>
      <c r="N840" s="5">
        <v>6</v>
      </c>
      <c r="O840" s="5">
        <v>0</v>
      </c>
      <c r="P840" s="5">
        <v>1</v>
      </c>
      <c r="Q840" s="5">
        <v>8</v>
      </c>
      <c r="R840" s="8">
        <v>1</v>
      </c>
      <c r="S840" s="8">
        <v>1</v>
      </c>
      <c r="T840" s="8">
        <v>0</v>
      </c>
      <c r="U840" s="8">
        <v>3</v>
      </c>
      <c r="V840" s="8">
        <v>6</v>
      </c>
      <c r="W840" t="s">
        <v>473</v>
      </c>
      <c r="X840" t="s">
        <v>473</v>
      </c>
      <c r="Y840" t="s">
        <v>473</v>
      </c>
      <c r="Z840" t="s">
        <v>473</v>
      </c>
      <c r="AA840" t="s">
        <v>473</v>
      </c>
      <c r="AB840" t="s">
        <v>473</v>
      </c>
      <c r="AC840" s="10">
        <v>3</v>
      </c>
      <c r="AD840" s="10">
        <v>11</v>
      </c>
      <c r="AE840" t="s">
        <v>473</v>
      </c>
    </row>
    <row r="841" spans="1:31" x14ac:dyDescent="0.25">
      <c r="A841">
        <v>5121</v>
      </c>
      <c r="B841">
        <v>1977</v>
      </c>
      <c r="C841" t="s">
        <v>466</v>
      </c>
      <c r="D841" t="s">
        <v>30</v>
      </c>
      <c r="E841" t="str">
        <f>IF(OR(Table1[[#This Row],[marital_status]]="Married", Table1[[#This Row],[marital_status]]="Together"), "Partnered", "Single")</f>
        <v>Single</v>
      </c>
      <c r="F841" s="7">
        <v>56628</v>
      </c>
      <c r="G841" s="8">
        <v>0</v>
      </c>
      <c r="H841" s="8">
        <v>1</v>
      </c>
      <c r="I841" s="8">
        <f>Table1[[#This Row],[kids]]+Table1[[#This Row],[teens]]</f>
        <v>1</v>
      </c>
      <c r="J841" s="9">
        <v>41719</v>
      </c>
      <c r="K841" s="8">
        <v>30</v>
      </c>
      <c r="L841" s="6">
        <v>479</v>
      </c>
      <c r="M841" s="5">
        <v>5</v>
      </c>
      <c r="N841" s="5">
        <v>82</v>
      </c>
      <c r="O841" s="5">
        <v>7</v>
      </c>
      <c r="P841" s="5">
        <v>17</v>
      </c>
      <c r="Q841" s="5">
        <v>171</v>
      </c>
      <c r="R841" s="8">
        <v>2</v>
      </c>
      <c r="S841" s="8">
        <v>7</v>
      </c>
      <c r="T841" s="8">
        <v>6</v>
      </c>
      <c r="U841" s="8">
        <v>5</v>
      </c>
      <c r="V841" s="8">
        <v>5</v>
      </c>
      <c r="W841" t="s">
        <v>474</v>
      </c>
      <c r="X841" t="s">
        <v>473</v>
      </c>
      <c r="Y841" t="s">
        <v>473</v>
      </c>
      <c r="Z841" t="s">
        <v>473</v>
      </c>
      <c r="AA841" t="s">
        <v>473</v>
      </c>
      <c r="AB841" t="s">
        <v>473</v>
      </c>
      <c r="AC841" s="10">
        <v>3</v>
      </c>
      <c r="AD841" s="10">
        <v>11</v>
      </c>
      <c r="AE841" t="s">
        <v>473</v>
      </c>
    </row>
    <row r="842" spans="1:31" x14ac:dyDescent="0.25">
      <c r="A842">
        <v>4186</v>
      </c>
      <c r="B842">
        <v>1950</v>
      </c>
      <c r="C842" t="s">
        <v>466</v>
      </c>
      <c r="D842" t="s">
        <v>31</v>
      </c>
      <c r="E842" t="str">
        <f>IF(OR(Table1[[#This Row],[marital_status]]="Married", Table1[[#This Row],[marital_status]]="Together"), "Partnered", "Single")</f>
        <v>Partnered</v>
      </c>
      <c r="F842" s="7">
        <v>34026</v>
      </c>
      <c r="G842" s="8">
        <v>1</v>
      </c>
      <c r="H842" s="8">
        <v>1</v>
      </c>
      <c r="I842" s="8">
        <f>Table1[[#This Row],[kids]]+Table1[[#This Row],[teens]]</f>
        <v>2</v>
      </c>
      <c r="J842" s="9">
        <v>41491</v>
      </c>
      <c r="K842" s="8">
        <v>11</v>
      </c>
      <c r="L842" s="6">
        <v>18</v>
      </c>
      <c r="M842" s="5">
        <v>6</v>
      </c>
      <c r="N842" s="5">
        <v>15</v>
      </c>
      <c r="O842" s="5">
        <v>12</v>
      </c>
      <c r="P842" s="5">
        <v>8</v>
      </c>
      <c r="Q842" s="5">
        <v>17</v>
      </c>
      <c r="R842" s="8">
        <v>3</v>
      </c>
      <c r="S842" s="8">
        <v>2</v>
      </c>
      <c r="T842" s="8">
        <v>1</v>
      </c>
      <c r="U842" s="8">
        <v>3</v>
      </c>
      <c r="V842" s="8">
        <v>5</v>
      </c>
      <c r="W842" t="s">
        <v>473</v>
      </c>
      <c r="X842" t="s">
        <v>473</v>
      </c>
      <c r="Y842" t="s">
        <v>473</v>
      </c>
      <c r="Z842" t="s">
        <v>473</v>
      </c>
      <c r="AA842" t="s">
        <v>473</v>
      </c>
      <c r="AB842" t="s">
        <v>473</v>
      </c>
      <c r="AC842" s="10">
        <v>3</v>
      </c>
      <c r="AD842" s="10">
        <v>11</v>
      </c>
      <c r="AE842" t="s">
        <v>473</v>
      </c>
    </row>
    <row r="843" spans="1:31" x14ac:dyDescent="0.25">
      <c r="A843">
        <v>368</v>
      </c>
      <c r="B843">
        <v>1974</v>
      </c>
      <c r="C843" t="s">
        <v>466</v>
      </c>
      <c r="D843" t="s">
        <v>34</v>
      </c>
      <c r="E843" t="str">
        <f>IF(OR(Table1[[#This Row],[marital_status]]="Married", Table1[[#This Row],[marital_status]]="Together"), "Partnered", "Single")</f>
        <v>Partnered</v>
      </c>
      <c r="F843" s="7">
        <v>40049</v>
      </c>
      <c r="G843" s="8">
        <v>0</v>
      </c>
      <c r="H843" s="8">
        <v>1</v>
      </c>
      <c r="I843" s="8">
        <f>Table1[[#This Row],[kids]]+Table1[[#This Row],[teens]]</f>
        <v>1</v>
      </c>
      <c r="J843" s="9">
        <v>41242</v>
      </c>
      <c r="K843" s="8">
        <v>61</v>
      </c>
      <c r="L843" s="6">
        <v>91</v>
      </c>
      <c r="M843" s="5">
        <v>65</v>
      </c>
      <c r="N843" s="5">
        <v>52</v>
      </c>
      <c r="O843" s="5">
        <v>10</v>
      </c>
      <c r="P843" s="5">
        <v>44</v>
      </c>
      <c r="Q843" s="5">
        <v>28</v>
      </c>
      <c r="R843" s="8">
        <v>3</v>
      </c>
      <c r="S843" s="8">
        <v>3</v>
      </c>
      <c r="T843" s="8">
        <v>2</v>
      </c>
      <c r="U843" s="8">
        <v>6</v>
      </c>
      <c r="V843" s="8">
        <v>5</v>
      </c>
      <c r="W843" t="s">
        <v>473</v>
      </c>
      <c r="X843" t="s">
        <v>473</v>
      </c>
      <c r="Y843" t="s">
        <v>473</v>
      </c>
      <c r="Z843" t="s">
        <v>473</v>
      </c>
      <c r="AA843" t="s">
        <v>473</v>
      </c>
      <c r="AB843" t="s">
        <v>473</v>
      </c>
      <c r="AC843" s="10">
        <v>3</v>
      </c>
      <c r="AD843" s="10">
        <v>11</v>
      </c>
      <c r="AE843" t="s">
        <v>473</v>
      </c>
    </row>
    <row r="844" spans="1:31" x14ac:dyDescent="0.25">
      <c r="A844">
        <v>3312</v>
      </c>
      <c r="B844">
        <v>1988</v>
      </c>
      <c r="C844" t="s">
        <v>466</v>
      </c>
      <c r="D844" t="s">
        <v>30</v>
      </c>
      <c r="E844" t="str">
        <f>IF(OR(Table1[[#This Row],[marital_status]]="Married", Table1[[#This Row],[marital_status]]="Together"), "Partnered", "Single")</f>
        <v>Single</v>
      </c>
      <c r="F844" s="7">
        <v>34176</v>
      </c>
      <c r="G844" s="8">
        <v>1</v>
      </c>
      <c r="H844" s="8">
        <v>0</v>
      </c>
      <c r="I844" s="8">
        <f>Table1[[#This Row],[kids]]+Table1[[#This Row],[teens]]</f>
        <v>1</v>
      </c>
      <c r="J844" s="9">
        <v>41771</v>
      </c>
      <c r="K844" s="8">
        <v>12</v>
      </c>
      <c r="L844" s="6">
        <v>5</v>
      </c>
      <c r="M844" s="5">
        <v>7</v>
      </c>
      <c r="N844" s="5">
        <v>24</v>
      </c>
      <c r="O844" s="5">
        <v>19</v>
      </c>
      <c r="P844" s="5">
        <v>14</v>
      </c>
      <c r="Q844" s="5">
        <v>20</v>
      </c>
      <c r="R844" s="8">
        <v>4</v>
      </c>
      <c r="S844" s="8">
        <v>3</v>
      </c>
      <c r="T844" s="8">
        <v>0</v>
      </c>
      <c r="U844" s="8">
        <v>4</v>
      </c>
      <c r="V844" s="8">
        <v>6</v>
      </c>
      <c r="W844" t="s">
        <v>473</v>
      </c>
      <c r="X844" t="s">
        <v>473</v>
      </c>
      <c r="Y844" t="s">
        <v>473</v>
      </c>
      <c r="Z844" t="s">
        <v>473</v>
      </c>
      <c r="AA844" t="s">
        <v>473</v>
      </c>
      <c r="AB844" t="s">
        <v>473</v>
      </c>
      <c r="AC844" s="10">
        <v>3</v>
      </c>
      <c r="AD844" s="10">
        <v>11</v>
      </c>
      <c r="AE844" t="s">
        <v>473</v>
      </c>
    </row>
    <row r="845" spans="1:31" x14ac:dyDescent="0.25">
      <c r="A845">
        <v>11121</v>
      </c>
      <c r="B845">
        <v>1981</v>
      </c>
      <c r="C845" t="s">
        <v>466</v>
      </c>
      <c r="D845" t="s">
        <v>34</v>
      </c>
      <c r="E845" t="str">
        <f>IF(OR(Table1[[#This Row],[marital_status]]="Married", Table1[[#This Row],[marital_status]]="Together"), "Partnered", "Single")</f>
        <v>Partnered</v>
      </c>
      <c r="F845" s="7">
        <v>19419</v>
      </c>
      <c r="G845" s="8">
        <v>1</v>
      </c>
      <c r="H845" s="8">
        <v>0</v>
      </c>
      <c r="I845" s="8">
        <f>Table1[[#This Row],[kids]]+Table1[[#This Row],[teens]]</f>
        <v>1</v>
      </c>
      <c r="J845" s="9">
        <v>41223</v>
      </c>
      <c r="K845" s="8">
        <v>76</v>
      </c>
      <c r="L845" s="6">
        <v>2</v>
      </c>
      <c r="M845" s="5">
        <v>14</v>
      </c>
      <c r="N845" s="5">
        <v>28</v>
      </c>
      <c r="O845" s="5">
        <v>16</v>
      </c>
      <c r="P845" s="5">
        <v>3</v>
      </c>
      <c r="Q845" s="5">
        <v>7</v>
      </c>
      <c r="R845" s="8">
        <v>4</v>
      </c>
      <c r="S845" s="8">
        <v>4</v>
      </c>
      <c r="T845" s="8">
        <v>0</v>
      </c>
      <c r="U845" s="8">
        <v>3</v>
      </c>
      <c r="V845" s="8">
        <v>9</v>
      </c>
      <c r="W845" t="s">
        <v>473</v>
      </c>
      <c r="X845" t="s">
        <v>473</v>
      </c>
      <c r="Y845" t="s">
        <v>473</v>
      </c>
      <c r="Z845" t="s">
        <v>473</v>
      </c>
      <c r="AA845" t="s">
        <v>473</v>
      </c>
      <c r="AB845" t="s">
        <v>473</v>
      </c>
      <c r="AC845" s="10">
        <v>3</v>
      </c>
      <c r="AD845" s="10">
        <v>11</v>
      </c>
      <c r="AE845" t="s">
        <v>473</v>
      </c>
    </row>
    <row r="846" spans="1:31" x14ac:dyDescent="0.25">
      <c r="A846">
        <v>5332</v>
      </c>
      <c r="B846">
        <v>1960</v>
      </c>
      <c r="C846" t="s">
        <v>46</v>
      </c>
      <c r="D846" t="s">
        <v>34</v>
      </c>
      <c r="E846" t="str">
        <f>IF(OR(Table1[[#This Row],[marital_status]]="Married", Table1[[#This Row],[marital_status]]="Together"), "Partnered", "Single")</f>
        <v>Partnered</v>
      </c>
      <c r="F846" s="7">
        <v>82504</v>
      </c>
      <c r="G846" s="8">
        <v>0</v>
      </c>
      <c r="H846" s="8">
        <v>0</v>
      </c>
      <c r="I846" s="8">
        <f>Table1[[#This Row],[kids]]+Table1[[#This Row],[teens]]</f>
        <v>0</v>
      </c>
      <c r="J846" s="9">
        <v>41482</v>
      </c>
      <c r="K846" s="8">
        <v>2</v>
      </c>
      <c r="L846" s="6">
        <v>362</v>
      </c>
      <c r="M846" s="5">
        <v>50</v>
      </c>
      <c r="N846" s="5">
        <v>431</v>
      </c>
      <c r="O846" s="5">
        <v>134</v>
      </c>
      <c r="P846" s="5">
        <v>35</v>
      </c>
      <c r="Q846" s="5">
        <v>54</v>
      </c>
      <c r="R846" s="8">
        <v>1</v>
      </c>
      <c r="S846" s="8">
        <v>3</v>
      </c>
      <c r="T846" s="8">
        <v>6</v>
      </c>
      <c r="U846" s="8">
        <v>7</v>
      </c>
      <c r="V846" s="8">
        <v>1</v>
      </c>
      <c r="W846" t="s">
        <v>473</v>
      </c>
      <c r="X846" t="s">
        <v>473</v>
      </c>
      <c r="Y846" t="s">
        <v>473</v>
      </c>
      <c r="Z846" t="s">
        <v>473</v>
      </c>
      <c r="AA846" t="s">
        <v>473</v>
      </c>
      <c r="AB846" t="s">
        <v>473</v>
      </c>
      <c r="AC846" s="10">
        <v>3</v>
      </c>
      <c r="AD846" s="10">
        <v>11</v>
      </c>
      <c r="AE846" t="s">
        <v>473</v>
      </c>
    </row>
    <row r="847" spans="1:31" x14ac:dyDescent="0.25">
      <c r="A847">
        <v>5848</v>
      </c>
      <c r="B847">
        <v>1970</v>
      </c>
      <c r="C847" t="s">
        <v>466</v>
      </c>
      <c r="D847" t="s">
        <v>31</v>
      </c>
      <c r="E847" t="str">
        <f>IF(OR(Table1[[#This Row],[marital_status]]="Married", Table1[[#This Row],[marital_status]]="Together"), "Partnered", "Single")</f>
        <v>Partnered</v>
      </c>
      <c r="F847" s="7">
        <v>81205</v>
      </c>
      <c r="G847" s="8">
        <v>0</v>
      </c>
      <c r="H847" s="8">
        <v>0</v>
      </c>
      <c r="I847" s="8">
        <f>Table1[[#This Row],[kids]]+Table1[[#This Row],[teens]]</f>
        <v>0</v>
      </c>
      <c r="J847" s="9">
        <v>41652</v>
      </c>
      <c r="K847" s="8">
        <v>43</v>
      </c>
      <c r="L847" s="6">
        <v>724</v>
      </c>
      <c r="M847" s="5">
        <v>74</v>
      </c>
      <c r="N847" s="5">
        <v>929</v>
      </c>
      <c r="O847" s="5">
        <v>97</v>
      </c>
      <c r="P847" s="5">
        <v>55</v>
      </c>
      <c r="Q847" s="5">
        <v>130</v>
      </c>
      <c r="R847" s="8">
        <v>1</v>
      </c>
      <c r="S847" s="8">
        <v>5</v>
      </c>
      <c r="T847" s="8">
        <v>6</v>
      </c>
      <c r="U847" s="8">
        <v>7</v>
      </c>
      <c r="V847" s="8">
        <v>2</v>
      </c>
      <c r="W847" t="s">
        <v>474</v>
      </c>
      <c r="X847" t="s">
        <v>473</v>
      </c>
      <c r="Y847" t="s">
        <v>474</v>
      </c>
      <c r="Z847" t="s">
        <v>473</v>
      </c>
      <c r="AA847" t="s">
        <v>474</v>
      </c>
      <c r="AB847" t="s">
        <v>473</v>
      </c>
      <c r="AC847" s="10">
        <v>3</v>
      </c>
      <c r="AD847" s="10">
        <v>11</v>
      </c>
      <c r="AE847" t="s">
        <v>474</v>
      </c>
    </row>
    <row r="848" spans="1:31" x14ac:dyDescent="0.25">
      <c r="A848">
        <v>10343</v>
      </c>
      <c r="B848">
        <v>1991</v>
      </c>
      <c r="C848" t="s">
        <v>46</v>
      </c>
      <c r="D848" t="s">
        <v>30</v>
      </c>
      <c r="E848" t="str">
        <f>IF(OR(Table1[[#This Row],[marital_status]]="Married", Table1[[#This Row],[marital_status]]="Together"), "Partnered", "Single")</f>
        <v>Single</v>
      </c>
      <c r="F848" s="7">
        <v>61618</v>
      </c>
      <c r="G848" s="8">
        <v>0</v>
      </c>
      <c r="H848" s="8">
        <v>0</v>
      </c>
      <c r="I848" s="8">
        <f>Table1[[#This Row],[kids]]+Table1[[#This Row],[teens]]</f>
        <v>0</v>
      </c>
      <c r="J848" s="9">
        <v>41181</v>
      </c>
      <c r="K848" s="8">
        <v>27</v>
      </c>
      <c r="L848" s="6">
        <v>605</v>
      </c>
      <c r="M848" s="5">
        <v>91</v>
      </c>
      <c r="N848" s="5">
        <v>399</v>
      </c>
      <c r="O848" s="5">
        <v>0</v>
      </c>
      <c r="P848" s="5">
        <v>45</v>
      </c>
      <c r="Q848" s="5">
        <v>205</v>
      </c>
      <c r="R848" s="8">
        <v>2</v>
      </c>
      <c r="S848" s="8">
        <v>3</v>
      </c>
      <c r="T848" s="8">
        <v>6</v>
      </c>
      <c r="U848" s="8">
        <v>8</v>
      </c>
      <c r="V848" s="8">
        <v>3</v>
      </c>
      <c r="W848" t="s">
        <v>473</v>
      </c>
      <c r="X848" t="s">
        <v>473</v>
      </c>
      <c r="Y848" t="s">
        <v>473</v>
      </c>
      <c r="Z848" t="s">
        <v>473</v>
      </c>
      <c r="AA848" t="s">
        <v>473</v>
      </c>
      <c r="AB848" t="s">
        <v>473</v>
      </c>
      <c r="AC848" s="10">
        <v>3</v>
      </c>
      <c r="AD848" s="10">
        <v>11</v>
      </c>
      <c r="AE848" t="s">
        <v>473</v>
      </c>
    </row>
    <row r="849" spans="1:31" x14ac:dyDescent="0.25">
      <c r="A849">
        <v>5935</v>
      </c>
      <c r="B849">
        <v>1956</v>
      </c>
      <c r="C849" t="s">
        <v>36</v>
      </c>
      <c r="D849" t="s">
        <v>30</v>
      </c>
      <c r="E849" t="str">
        <f>IF(OR(Table1[[#This Row],[marital_status]]="Married", Table1[[#This Row],[marital_status]]="Together"), "Partnered", "Single")</f>
        <v>Single</v>
      </c>
      <c r="F849" s="7">
        <v>55284</v>
      </c>
      <c r="G849" s="8">
        <v>0</v>
      </c>
      <c r="H849" s="8">
        <v>1</v>
      </c>
      <c r="I849" s="8">
        <f>Table1[[#This Row],[kids]]+Table1[[#This Row],[teens]]</f>
        <v>1</v>
      </c>
      <c r="J849" s="9">
        <v>41267</v>
      </c>
      <c r="K849" s="8">
        <v>60</v>
      </c>
      <c r="L849" s="6">
        <v>547</v>
      </c>
      <c r="M849" s="5">
        <v>7</v>
      </c>
      <c r="N849" s="5">
        <v>140</v>
      </c>
      <c r="O849" s="5">
        <v>0</v>
      </c>
      <c r="P849" s="5">
        <v>7</v>
      </c>
      <c r="Q849" s="5">
        <v>63</v>
      </c>
      <c r="R849" s="8">
        <v>3</v>
      </c>
      <c r="S849" s="8">
        <v>7</v>
      </c>
      <c r="T849" s="8">
        <v>5</v>
      </c>
      <c r="U849" s="8">
        <v>8</v>
      </c>
      <c r="V849" s="8">
        <v>5</v>
      </c>
      <c r="W849" t="s">
        <v>473</v>
      </c>
      <c r="X849" t="s">
        <v>473</v>
      </c>
      <c r="Y849" t="s">
        <v>473</v>
      </c>
      <c r="Z849" t="s">
        <v>473</v>
      </c>
      <c r="AA849" t="s">
        <v>473</v>
      </c>
      <c r="AB849" t="s">
        <v>473</v>
      </c>
      <c r="AC849" s="10">
        <v>3</v>
      </c>
      <c r="AD849" s="10">
        <v>11</v>
      </c>
      <c r="AE849" t="s">
        <v>473</v>
      </c>
    </row>
    <row r="850" spans="1:31" x14ac:dyDescent="0.25">
      <c r="A850">
        <v>2895</v>
      </c>
      <c r="B850">
        <v>1963</v>
      </c>
      <c r="C850" t="s">
        <v>466</v>
      </c>
      <c r="D850" t="s">
        <v>30</v>
      </c>
      <c r="E850" t="str">
        <f>IF(OR(Table1[[#This Row],[marital_status]]="Married", Table1[[#This Row],[marital_status]]="Together"), "Partnered", "Single")</f>
        <v>Single</v>
      </c>
      <c r="F850" s="7">
        <v>49980</v>
      </c>
      <c r="G850" s="8">
        <v>0</v>
      </c>
      <c r="H850" s="8">
        <v>1</v>
      </c>
      <c r="I850" s="8">
        <f>Table1[[#This Row],[kids]]+Table1[[#This Row],[teens]]</f>
        <v>1</v>
      </c>
      <c r="J850" s="9">
        <v>41570</v>
      </c>
      <c r="K850" s="8">
        <v>79</v>
      </c>
      <c r="L850" s="6">
        <v>104</v>
      </c>
      <c r="M850" s="5">
        <v>1</v>
      </c>
      <c r="N850" s="5">
        <v>54</v>
      </c>
      <c r="O850" s="5">
        <v>13</v>
      </c>
      <c r="P850" s="5">
        <v>9</v>
      </c>
      <c r="Q850" s="5">
        <v>14</v>
      </c>
      <c r="R850" s="8">
        <v>2</v>
      </c>
      <c r="S850" s="8">
        <v>3</v>
      </c>
      <c r="T850" s="8">
        <v>1</v>
      </c>
      <c r="U850" s="8">
        <v>5</v>
      </c>
      <c r="V850" s="8">
        <v>5</v>
      </c>
      <c r="W850" t="s">
        <v>473</v>
      </c>
      <c r="X850" t="s">
        <v>473</v>
      </c>
      <c r="Y850" t="s">
        <v>473</v>
      </c>
      <c r="Z850" t="s">
        <v>473</v>
      </c>
      <c r="AA850" t="s">
        <v>473</v>
      </c>
      <c r="AB850" t="s">
        <v>473</v>
      </c>
      <c r="AC850" s="10">
        <v>3</v>
      </c>
      <c r="AD850" s="10">
        <v>11</v>
      </c>
      <c r="AE850" t="s">
        <v>473</v>
      </c>
    </row>
    <row r="851" spans="1:31" x14ac:dyDescent="0.25">
      <c r="A851">
        <v>10262</v>
      </c>
      <c r="B851">
        <v>1980</v>
      </c>
      <c r="C851" t="s">
        <v>466</v>
      </c>
      <c r="D851" t="s">
        <v>34</v>
      </c>
      <c r="E851" t="str">
        <f>IF(OR(Table1[[#This Row],[marital_status]]="Married", Table1[[#This Row],[marital_status]]="Together"), "Partnered", "Single")</f>
        <v>Partnered</v>
      </c>
      <c r="F851" s="7">
        <v>15072</v>
      </c>
      <c r="G851" s="8">
        <v>2</v>
      </c>
      <c r="H851" s="8">
        <v>0</v>
      </c>
      <c r="I851" s="8">
        <f>Table1[[#This Row],[kids]]+Table1[[#This Row],[teens]]</f>
        <v>2</v>
      </c>
      <c r="J851" s="9">
        <v>41404</v>
      </c>
      <c r="K851" s="8">
        <v>96</v>
      </c>
      <c r="L851" s="6">
        <v>8</v>
      </c>
      <c r="M851" s="5">
        <v>2</v>
      </c>
      <c r="N851" s="5">
        <v>15</v>
      </c>
      <c r="O851" s="5">
        <v>0</v>
      </c>
      <c r="P851" s="5">
        <v>10</v>
      </c>
      <c r="Q851" s="5">
        <v>18</v>
      </c>
      <c r="R851" s="8">
        <v>4</v>
      </c>
      <c r="S851" s="8">
        <v>3</v>
      </c>
      <c r="T851" s="8">
        <v>1</v>
      </c>
      <c r="U851" s="8">
        <v>3</v>
      </c>
      <c r="V851" s="8">
        <v>5</v>
      </c>
      <c r="W851" t="s">
        <v>473</v>
      </c>
      <c r="X851" t="s">
        <v>473</v>
      </c>
      <c r="Y851" t="s">
        <v>473</v>
      </c>
      <c r="Z851" t="s">
        <v>473</v>
      </c>
      <c r="AA851" t="s">
        <v>473</v>
      </c>
      <c r="AB851" t="s">
        <v>473</v>
      </c>
      <c r="AC851" s="10">
        <v>3</v>
      </c>
      <c r="AD851" s="10">
        <v>11</v>
      </c>
      <c r="AE851" t="s">
        <v>473</v>
      </c>
    </row>
    <row r="852" spans="1:31" x14ac:dyDescent="0.25">
      <c r="A852">
        <v>7848</v>
      </c>
      <c r="B852">
        <v>1974</v>
      </c>
      <c r="C852" t="s">
        <v>466</v>
      </c>
      <c r="D852" t="s">
        <v>30</v>
      </c>
      <c r="E852" t="str">
        <f>IF(OR(Table1[[#This Row],[marital_status]]="Married", Table1[[#This Row],[marital_status]]="Together"), "Partnered", "Single")</f>
        <v>Single</v>
      </c>
      <c r="F852" s="7">
        <v>49166</v>
      </c>
      <c r="G852" s="8">
        <v>0</v>
      </c>
      <c r="H852" s="8">
        <v>1</v>
      </c>
      <c r="I852" s="8">
        <f>Table1[[#This Row],[kids]]+Table1[[#This Row],[teens]]</f>
        <v>1</v>
      </c>
      <c r="J852" s="9">
        <v>41438</v>
      </c>
      <c r="K852" s="8">
        <v>17</v>
      </c>
      <c r="L852" s="6">
        <v>224</v>
      </c>
      <c r="M852" s="5">
        <v>2</v>
      </c>
      <c r="N852" s="5">
        <v>25</v>
      </c>
      <c r="O852" s="5">
        <v>7</v>
      </c>
      <c r="P852" s="5">
        <v>0</v>
      </c>
      <c r="Q852" s="5">
        <v>110</v>
      </c>
      <c r="R852" s="8">
        <v>2</v>
      </c>
      <c r="S852" s="8">
        <v>5</v>
      </c>
      <c r="T852" s="8">
        <v>3</v>
      </c>
      <c r="U852" s="8">
        <v>3</v>
      </c>
      <c r="V852" s="8">
        <v>6</v>
      </c>
      <c r="W852" t="s">
        <v>473</v>
      </c>
      <c r="X852" t="s">
        <v>473</v>
      </c>
      <c r="Y852" t="s">
        <v>473</v>
      </c>
      <c r="Z852" t="s">
        <v>473</v>
      </c>
      <c r="AA852" t="s">
        <v>473</v>
      </c>
      <c r="AB852" t="s">
        <v>473</v>
      </c>
      <c r="AC852" s="10">
        <v>3</v>
      </c>
      <c r="AD852" s="10">
        <v>11</v>
      </c>
      <c r="AE852" t="s">
        <v>473</v>
      </c>
    </row>
    <row r="853" spans="1:31" x14ac:dyDescent="0.25">
      <c r="A853">
        <v>9477</v>
      </c>
      <c r="B853">
        <v>1954</v>
      </c>
      <c r="C853" t="s">
        <v>33</v>
      </c>
      <c r="D853" t="s">
        <v>34</v>
      </c>
      <c r="E853" t="str">
        <f>IF(OR(Table1[[#This Row],[marital_status]]="Married", Table1[[#This Row],[marital_status]]="Together"), "Partnered", "Single")</f>
        <v>Partnered</v>
      </c>
      <c r="F853" s="7">
        <v>65324</v>
      </c>
      <c r="G853" s="8">
        <v>0</v>
      </c>
      <c r="H853" s="8">
        <v>1</v>
      </c>
      <c r="I853" s="8">
        <f>Table1[[#This Row],[kids]]+Table1[[#This Row],[teens]]</f>
        <v>1</v>
      </c>
      <c r="J853" s="9">
        <v>41650</v>
      </c>
      <c r="K853" s="8">
        <v>0</v>
      </c>
      <c r="L853" s="6">
        <v>384</v>
      </c>
      <c r="M853" s="5">
        <v>0</v>
      </c>
      <c r="N853" s="5">
        <v>102</v>
      </c>
      <c r="O853" s="5">
        <v>21</v>
      </c>
      <c r="P853" s="5">
        <v>32</v>
      </c>
      <c r="Q853" s="5">
        <v>5</v>
      </c>
      <c r="R853" s="8">
        <v>3</v>
      </c>
      <c r="S853" s="8">
        <v>6</v>
      </c>
      <c r="T853" s="8">
        <v>2</v>
      </c>
      <c r="U853" s="8">
        <v>9</v>
      </c>
      <c r="V853" s="8">
        <v>4</v>
      </c>
      <c r="W853" t="s">
        <v>473</v>
      </c>
      <c r="X853" t="s">
        <v>473</v>
      </c>
      <c r="Y853" t="s">
        <v>473</v>
      </c>
      <c r="Z853" t="s">
        <v>473</v>
      </c>
      <c r="AA853" t="s">
        <v>473</v>
      </c>
      <c r="AB853" t="s">
        <v>473</v>
      </c>
      <c r="AC853" s="10">
        <v>3</v>
      </c>
      <c r="AD853" s="10">
        <v>11</v>
      </c>
      <c r="AE853" t="s">
        <v>473</v>
      </c>
    </row>
    <row r="854" spans="1:31" x14ac:dyDescent="0.25">
      <c r="A854">
        <v>4856</v>
      </c>
      <c r="B854">
        <v>1957</v>
      </c>
      <c r="C854" t="s">
        <v>46</v>
      </c>
      <c r="D854" t="s">
        <v>34</v>
      </c>
      <c r="E854" t="str">
        <f>IF(OR(Table1[[#This Row],[marital_status]]="Married", Table1[[#This Row],[marital_status]]="Together"), "Partnered", "Single")</f>
        <v>Partnered</v>
      </c>
      <c r="F854" s="7">
        <v>82347</v>
      </c>
      <c r="G854" s="8">
        <v>0</v>
      </c>
      <c r="H854" s="8">
        <v>0</v>
      </c>
      <c r="I854" s="8">
        <f>Table1[[#This Row],[kids]]+Table1[[#This Row],[teens]]</f>
        <v>0</v>
      </c>
      <c r="J854" s="9">
        <v>41219</v>
      </c>
      <c r="K854" s="8">
        <v>38</v>
      </c>
      <c r="L854" s="6">
        <v>556</v>
      </c>
      <c r="M854" s="5">
        <v>54</v>
      </c>
      <c r="N854" s="5">
        <v>845</v>
      </c>
      <c r="O854" s="5">
        <v>202</v>
      </c>
      <c r="P854" s="5">
        <v>133</v>
      </c>
      <c r="Q854" s="5">
        <v>63</v>
      </c>
      <c r="R854" s="8">
        <v>1</v>
      </c>
      <c r="S854" s="8">
        <v>7</v>
      </c>
      <c r="T854" s="8">
        <v>7</v>
      </c>
      <c r="U854" s="8">
        <v>10</v>
      </c>
      <c r="V854" s="8">
        <v>3</v>
      </c>
      <c r="W854" t="s">
        <v>474</v>
      </c>
      <c r="X854" t="s">
        <v>473</v>
      </c>
      <c r="Y854" t="s">
        <v>473</v>
      </c>
      <c r="Z854" t="s">
        <v>474</v>
      </c>
      <c r="AA854" t="s">
        <v>473</v>
      </c>
      <c r="AB854" t="s">
        <v>473</v>
      </c>
      <c r="AC854" s="10">
        <v>3</v>
      </c>
      <c r="AD854" s="10">
        <v>11</v>
      </c>
      <c r="AE854" t="s">
        <v>473</v>
      </c>
    </row>
    <row r="855" spans="1:31" x14ac:dyDescent="0.25">
      <c r="A855">
        <v>7186</v>
      </c>
      <c r="B855">
        <v>1966</v>
      </c>
      <c r="C855" t="s">
        <v>33</v>
      </c>
      <c r="D855" t="s">
        <v>31</v>
      </c>
      <c r="E855" t="str">
        <f>IF(OR(Table1[[#This Row],[marital_status]]="Married", Table1[[#This Row],[marital_status]]="Together"), "Partnered", "Single")</f>
        <v>Partnered</v>
      </c>
      <c r="F855" s="7">
        <v>30843</v>
      </c>
      <c r="G855" s="8">
        <v>1</v>
      </c>
      <c r="H855" s="8">
        <v>1</v>
      </c>
      <c r="I855" s="8">
        <f>Table1[[#This Row],[kids]]+Table1[[#This Row],[teens]]</f>
        <v>2</v>
      </c>
      <c r="J855" s="9">
        <v>41785</v>
      </c>
      <c r="K855" s="8">
        <v>43</v>
      </c>
      <c r="L855" s="6">
        <v>24</v>
      </c>
      <c r="M855" s="5">
        <v>0</v>
      </c>
      <c r="N855" s="5">
        <v>2</v>
      </c>
      <c r="O855" s="5">
        <v>0</v>
      </c>
      <c r="P855" s="5">
        <v>0</v>
      </c>
      <c r="Q855" s="5">
        <v>9</v>
      </c>
      <c r="R855" s="8">
        <v>2</v>
      </c>
      <c r="S855" s="8">
        <v>1</v>
      </c>
      <c r="T855" s="8">
        <v>1</v>
      </c>
      <c r="U855" s="8">
        <v>2</v>
      </c>
      <c r="V855" s="8">
        <v>5</v>
      </c>
      <c r="W855" t="s">
        <v>474</v>
      </c>
      <c r="X855" t="s">
        <v>473</v>
      </c>
      <c r="Y855" t="s">
        <v>473</v>
      </c>
      <c r="Z855" t="s">
        <v>473</v>
      </c>
      <c r="AA855" t="s">
        <v>473</v>
      </c>
      <c r="AB855" t="s">
        <v>473</v>
      </c>
      <c r="AC855" s="10">
        <v>3</v>
      </c>
      <c r="AD855" s="10">
        <v>11</v>
      </c>
      <c r="AE855" t="s">
        <v>473</v>
      </c>
    </row>
    <row r="856" spans="1:31" x14ac:dyDescent="0.25">
      <c r="A856">
        <v>5794</v>
      </c>
      <c r="B856">
        <v>1974</v>
      </c>
      <c r="C856" t="s">
        <v>33</v>
      </c>
      <c r="D856" t="s">
        <v>34</v>
      </c>
      <c r="E856" t="str">
        <f>IF(OR(Table1[[#This Row],[marital_status]]="Married", Table1[[#This Row],[marital_status]]="Together"), "Partnered", "Single")</f>
        <v>Partnered</v>
      </c>
      <c r="F856" s="7">
        <v>46374</v>
      </c>
      <c r="G856" s="8">
        <v>0</v>
      </c>
      <c r="H856" s="8">
        <v>1</v>
      </c>
      <c r="I856" s="8">
        <f>Table1[[#This Row],[kids]]+Table1[[#This Row],[teens]]</f>
        <v>1</v>
      </c>
      <c r="J856" s="9">
        <v>41715</v>
      </c>
      <c r="K856" s="8">
        <v>1</v>
      </c>
      <c r="L856" s="6">
        <v>408</v>
      </c>
      <c r="M856" s="5">
        <v>0</v>
      </c>
      <c r="N856" s="5">
        <v>21</v>
      </c>
      <c r="O856" s="5">
        <v>0</v>
      </c>
      <c r="P856" s="5">
        <v>0</v>
      </c>
      <c r="Q856" s="5">
        <v>17</v>
      </c>
      <c r="R856" s="8">
        <v>3</v>
      </c>
      <c r="S856" s="8">
        <v>7</v>
      </c>
      <c r="T856" s="8">
        <v>1</v>
      </c>
      <c r="U856" s="8">
        <v>7</v>
      </c>
      <c r="V856" s="8">
        <v>8</v>
      </c>
      <c r="W856" t="s">
        <v>473</v>
      </c>
      <c r="X856" t="s">
        <v>474</v>
      </c>
      <c r="Y856" t="s">
        <v>473</v>
      </c>
      <c r="Z856" t="s">
        <v>474</v>
      </c>
      <c r="AA856" t="s">
        <v>473</v>
      </c>
      <c r="AB856" t="s">
        <v>473</v>
      </c>
      <c r="AC856" s="10">
        <v>3</v>
      </c>
      <c r="AD856" s="10">
        <v>11</v>
      </c>
      <c r="AE856" t="s">
        <v>474</v>
      </c>
    </row>
    <row r="857" spans="1:31" x14ac:dyDescent="0.25">
      <c r="A857">
        <v>1456</v>
      </c>
      <c r="B857">
        <v>1979</v>
      </c>
      <c r="C857" t="s">
        <v>466</v>
      </c>
      <c r="D857" t="s">
        <v>30</v>
      </c>
      <c r="E857" t="str">
        <f>IF(OR(Table1[[#This Row],[marital_status]]="Married", Table1[[#This Row],[marital_status]]="Together"), "Partnered", "Single")</f>
        <v>Single</v>
      </c>
      <c r="F857" s="7">
        <v>60474</v>
      </c>
      <c r="G857" s="8">
        <v>0</v>
      </c>
      <c r="H857" s="8">
        <v>1</v>
      </c>
      <c r="I857" s="8">
        <f>Table1[[#This Row],[kids]]+Table1[[#This Row],[teens]]</f>
        <v>1</v>
      </c>
      <c r="J857" s="9">
        <v>41365</v>
      </c>
      <c r="K857" s="8">
        <v>25</v>
      </c>
      <c r="L857" s="6">
        <v>265</v>
      </c>
      <c r="M857" s="5">
        <v>199</v>
      </c>
      <c r="N857" s="5">
        <v>303</v>
      </c>
      <c r="O857" s="5">
        <v>234</v>
      </c>
      <c r="P857" s="5">
        <v>9</v>
      </c>
      <c r="Q857" s="5">
        <v>170</v>
      </c>
      <c r="R857" s="8">
        <v>7</v>
      </c>
      <c r="S857" s="8">
        <v>10</v>
      </c>
      <c r="T857" s="8">
        <v>2</v>
      </c>
      <c r="U857" s="8">
        <v>12</v>
      </c>
      <c r="V857" s="8">
        <v>7</v>
      </c>
      <c r="W857" t="s">
        <v>473</v>
      </c>
      <c r="X857" t="s">
        <v>473</v>
      </c>
      <c r="Y857" t="s">
        <v>473</v>
      </c>
      <c r="Z857" t="s">
        <v>473</v>
      </c>
      <c r="AA857" t="s">
        <v>473</v>
      </c>
      <c r="AB857" t="s">
        <v>473</v>
      </c>
      <c r="AC857" s="10">
        <v>3</v>
      </c>
      <c r="AD857" s="10">
        <v>11</v>
      </c>
      <c r="AE857" t="s">
        <v>473</v>
      </c>
    </row>
    <row r="858" spans="1:31" x14ac:dyDescent="0.25">
      <c r="A858">
        <v>4877</v>
      </c>
      <c r="B858">
        <v>1973</v>
      </c>
      <c r="C858" t="s">
        <v>36</v>
      </c>
      <c r="D858" t="s">
        <v>34</v>
      </c>
      <c r="E858" t="str">
        <f>IF(OR(Table1[[#This Row],[marital_status]]="Married", Table1[[#This Row],[marital_status]]="Together"), "Partnered", "Single")</f>
        <v>Partnered</v>
      </c>
      <c r="F858" s="7">
        <v>38576</v>
      </c>
      <c r="G858" s="8">
        <v>0</v>
      </c>
      <c r="H858" s="8">
        <v>1</v>
      </c>
      <c r="I858" s="8">
        <f>Table1[[#This Row],[kids]]+Table1[[#This Row],[teens]]</f>
        <v>1</v>
      </c>
      <c r="J858" s="9">
        <v>41702</v>
      </c>
      <c r="K858" s="8">
        <v>2</v>
      </c>
      <c r="L858" s="6">
        <v>34</v>
      </c>
      <c r="M858" s="5">
        <v>0</v>
      </c>
      <c r="N858" s="5">
        <v>7</v>
      </c>
      <c r="O858" s="5">
        <v>0</v>
      </c>
      <c r="P858" s="5">
        <v>0</v>
      </c>
      <c r="Q858" s="5">
        <v>0</v>
      </c>
      <c r="R858" s="8">
        <v>1</v>
      </c>
      <c r="S858" s="8">
        <v>1</v>
      </c>
      <c r="T858" s="8">
        <v>0</v>
      </c>
      <c r="U858" s="8">
        <v>3</v>
      </c>
      <c r="V858" s="8">
        <v>7</v>
      </c>
      <c r="W858" t="s">
        <v>473</v>
      </c>
      <c r="X858" t="s">
        <v>473</v>
      </c>
      <c r="Y858" t="s">
        <v>473</v>
      </c>
      <c r="Z858" t="s">
        <v>473</v>
      </c>
      <c r="AA858" t="s">
        <v>473</v>
      </c>
      <c r="AB858" t="s">
        <v>473</v>
      </c>
      <c r="AC858" s="10">
        <v>3</v>
      </c>
      <c r="AD858" s="10">
        <v>11</v>
      </c>
      <c r="AE858" t="s">
        <v>473</v>
      </c>
    </row>
    <row r="859" spans="1:31" x14ac:dyDescent="0.25">
      <c r="A859">
        <v>425</v>
      </c>
      <c r="B859">
        <v>1985</v>
      </c>
      <c r="C859" t="s">
        <v>466</v>
      </c>
      <c r="D859" t="s">
        <v>34</v>
      </c>
      <c r="E859" t="str">
        <f>IF(OR(Table1[[#This Row],[marital_status]]="Married", Table1[[#This Row],[marital_status]]="Together"), "Partnered", "Single")</f>
        <v>Partnered</v>
      </c>
      <c r="F859" s="7">
        <v>55357</v>
      </c>
      <c r="G859" s="8">
        <v>2</v>
      </c>
      <c r="H859" s="8">
        <v>0</v>
      </c>
      <c r="I859" s="8">
        <f>Table1[[#This Row],[kids]]+Table1[[#This Row],[teens]]</f>
        <v>2</v>
      </c>
      <c r="J859" s="9">
        <v>41324</v>
      </c>
      <c r="K859" s="8">
        <v>66</v>
      </c>
      <c r="L859" s="6">
        <v>374</v>
      </c>
      <c r="M859" s="5">
        <v>64</v>
      </c>
      <c r="N859" s="5">
        <v>116</v>
      </c>
      <c r="O859" s="5">
        <v>84</v>
      </c>
      <c r="P859" s="5">
        <v>25</v>
      </c>
      <c r="Q859" s="5">
        <v>64</v>
      </c>
      <c r="R859" s="8">
        <v>3</v>
      </c>
      <c r="S859" s="8">
        <v>6</v>
      </c>
      <c r="T859" s="8">
        <v>2</v>
      </c>
      <c r="U859" s="8">
        <v>11</v>
      </c>
      <c r="V859" s="8">
        <v>5</v>
      </c>
      <c r="W859" t="s">
        <v>473</v>
      </c>
      <c r="X859" t="s">
        <v>473</v>
      </c>
      <c r="Y859" t="s">
        <v>473</v>
      </c>
      <c r="Z859" t="s">
        <v>473</v>
      </c>
      <c r="AA859" t="s">
        <v>473</v>
      </c>
      <c r="AB859" t="s">
        <v>473</v>
      </c>
      <c r="AC859" s="10">
        <v>3</v>
      </c>
      <c r="AD859" s="10">
        <v>11</v>
      </c>
      <c r="AE859" t="s">
        <v>473</v>
      </c>
    </row>
    <row r="860" spans="1:31" x14ac:dyDescent="0.25">
      <c r="A860">
        <v>3007</v>
      </c>
      <c r="B860">
        <v>1966</v>
      </c>
      <c r="C860" t="s">
        <v>466</v>
      </c>
      <c r="D860" t="s">
        <v>31</v>
      </c>
      <c r="E860" t="str">
        <f>IF(OR(Table1[[#This Row],[marital_status]]="Married", Table1[[#This Row],[marital_status]]="Together"), "Partnered", "Single")</f>
        <v>Partnered</v>
      </c>
      <c r="F860" s="7">
        <v>37758</v>
      </c>
      <c r="G860" s="8">
        <v>1</v>
      </c>
      <c r="H860" s="8">
        <v>1</v>
      </c>
      <c r="I860" s="8">
        <f>Table1[[#This Row],[kids]]+Table1[[#This Row],[teens]]</f>
        <v>2</v>
      </c>
      <c r="J860" s="9">
        <v>41186</v>
      </c>
      <c r="K860" s="8">
        <v>49</v>
      </c>
      <c r="L860" s="6">
        <v>27</v>
      </c>
      <c r="M860" s="5">
        <v>2</v>
      </c>
      <c r="N860" s="5">
        <v>10</v>
      </c>
      <c r="O860" s="5">
        <v>0</v>
      </c>
      <c r="P860" s="5">
        <v>0</v>
      </c>
      <c r="Q860" s="5">
        <v>1</v>
      </c>
      <c r="R860" s="8">
        <v>2</v>
      </c>
      <c r="S860" s="8">
        <v>1</v>
      </c>
      <c r="T860" s="8">
        <v>0</v>
      </c>
      <c r="U860" s="8">
        <v>3</v>
      </c>
      <c r="V860" s="8">
        <v>8</v>
      </c>
      <c r="W860" t="s">
        <v>473</v>
      </c>
      <c r="X860" t="s">
        <v>473</v>
      </c>
      <c r="Y860" t="s">
        <v>473</v>
      </c>
      <c r="Z860" t="s">
        <v>473</v>
      </c>
      <c r="AA860" t="s">
        <v>473</v>
      </c>
      <c r="AB860" t="s">
        <v>473</v>
      </c>
      <c r="AC860" s="10">
        <v>3</v>
      </c>
      <c r="AD860" s="10">
        <v>11</v>
      </c>
      <c r="AE860" t="s">
        <v>473</v>
      </c>
    </row>
    <row r="861" spans="1:31" x14ac:dyDescent="0.25">
      <c r="A861">
        <v>1031</v>
      </c>
      <c r="B861">
        <v>1989</v>
      </c>
      <c r="C861" t="s">
        <v>46</v>
      </c>
      <c r="D861" t="s">
        <v>34</v>
      </c>
      <c r="E861" t="str">
        <f>IF(OR(Table1[[#This Row],[marital_status]]="Married", Table1[[#This Row],[marital_status]]="Together"), "Partnered", "Single")</f>
        <v>Partnered</v>
      </c>
      <c r="F861" s="7">
        <v>85710</v>
      </c>
      <c r="G861" s="8">
        <v>0</v>
      </c>
      <c r="H861" s="8">
        <v>0</v>
      </c>
      <c r="I861" s="8">
        <f>Table1[[#This Row],[kids]]+Table1[[#This Row],[teens]]</f>
        <v>0</v>
      </c>
      <c r="J861" s="9">
        <v>41399</v>
      </c>
      <c r="K861" s="8">
        <v>5</v>
      </c>
      <c r="L861" s="6">
        <v>600</v>
      </c>
      <c r="M861" s="5">
        <v>20</v>
      </c>
      <c r="N861" s="5">
        <v>350</v>
      </c>
      <c r="O861" s="5">
        <v>29</v>
      </c>
      <c r="P861" s="5">
        <v>30</v>
      </c>
      <c r="Q861" s="5">
        <v>33</v>
      </c>
      <c r="R861" s="8">
        <v>1</v>
      </c>
      <c r="S861" s="8">
        <v>6</v>
      </c>
      <c r="T861" s="8">
        <v>9</v>
      </c>
      <c r="U861" s="8">
        <v>10</v>
      </c>
      <c r="V861" s="8">
        <v>2</v>
      </c>
      <c r="W861" t="s">
        <v>473</v>
      </c>
      <c r="X861" t="s">
        <v>473</v>
      </c>
      <c r="Y861" t="s">
        <v>474</v>
      </c>
      <c r="Z861" t="s">
        <v>473</v>
      </c>
      <c r="AA861" t="s">
        <v>473</v>
      </c>
      <c r="AB861" t="s">
        <v>473</v>
      </c>
      <c r="AC861" s="10">
        <v>3</v>
      </c>
      <c r="AD861" s="10">
        <v>11</v>
      </c>
      <c r="AE861" t="s">
        <v>473</v>
      </c>
    </row>
    <row r="862" spans="1:31" x14ac:dyDescent="0.25">
      <c r="A862">
        <v>4297</v>
      </c>
      <c r="B862">
        <v>1969</v>
      </c>
      <c r="C862" t="s">
        <v>466</v>
      </c>
      <c r="D862" t="s">
        <v>31</v>
      </c>
      <c r="E862" t="str">
        <f>IF(OR(Table1[[#This Row],[marital_status]]="Married", Table1[[#This Row],[marital_status]]="Together"), "Partnered", "Single")</f>
        <v>Partnered</v>
      </c>
      <c r="F862" s="7">
        <v>23228</v>
      </c>
      <c r="G862" s="8">
        <v>1</v>
      </c>
      <c r="H862" s="8">
        <v>0</v>
      </c>
      <c r="I862" s="8">
        <f>Table1[[#This Row],[kids]]+Table1[[#This Row],[teens]]</f>
        <v>1</v>
      </c>
      <c r="J862" s="9">
        <v>41665</v>
      </c>
      <c r="K862" s="8">
        <v>71</v>
      </c>
      <c r="L862" s="6">
        <v>13</v>
      </c>
      <c r="M862" s="5">
        <v>2</v>
      </c>
      <c r="N862" s="5">
        <v>18</v>
      </c>
      <c r="O862" s="5">
        <v>6</v>
      </c>
      <c r="P862" s="5">
        <v>1</v>
      </c>
      <c r="Q862" s="5">
        <v>0</v>
      </c>
      <c r="R862" s="8">
        <v>2</v>
      </c>
      <c r="S862" s="8">
        <v>2</v>
      </c>
      <c r="T862" s="8">
        <v>0</v>
      </c>
      <c r="U862" s="8">
        <v>3</v>
      </c>
      <c r="V862" s="8">
        <v>8</v>
      </c>
      <c r="W862" t="s">
        <v>473</v>
      </c>
      <c r="X862" t="s">
        <v>473</v>
      </c>
      <c r="Y862" t="s">
        <v>473</v>
      </c>
      <c r="Z862" t="s">
        <v>473</v>
      </c>
      <c r="AA862" t="s">
        <v>473</v>
      </c>
      <c r="AB862" t="s">
        <v>473</v>
      </c>
      <c r="AC862" s="10">
        <v>3</v>
      </c>
      <c r="AD862" s="10">
        <v>11</v>
      </c>
      <c r="AE862" t="s">
        <v>473</v>
      </c>
    </row>
    <row r="863" spans="1:31" x14ac:dyDescent="0.25">
      <c r="A863">
        <v>807</v>
      </c>
      <c r="B863">
        <v>1969</v>
      </c>
      <c r="C863" t="s">
        <v>36</v>
      </c>
      <c r="D863" t="s">
        <v>31</v>
      </c>
      <c r="E863" t="str">
        <f>IF(OR(Table1[[#This Row],[marital_status]]="Married", Table1[[#This Row],[marital_status]]="Together"), "Partnered", "Single")</f>
        <v>Partnered</v>
      </c>
      <c r="F863" s="7">
        <v>44602</v>
      </c>
      <c r="G863" s="8">
        <v>1</v>
      </c>
      <c r="H863" s="8">
        <v>1</v>
      </c>
      <c r="I863" s="8">
        <f>Table1[[#This Row],[kids]]+Table1[[#This Row],[teens]]</f>
        <v>2</v>
      </c>
      <c r="J863" s="9">
        <v>41685</v>
      </c>
      <c r="K863" s="8">
        <v>35</v>
      </c>
      <c r="L863" s="6">
        <v>167</v>
      </c>
      <c r="M863" s="5">
        <v>2</v>
      </c>
      <c r="N863" s="5">
        <v>89</v>
      </c>
      <c r="O863" s="5">
        <v>0</v>
      </c>
      <c r="P863" s="5">
        <v>0</v>
      </c>
      <c r="Q863" s="5">
        <v>34</v>
      </c>
      <c r="R863" s="8">
        <v>6</v>
      </c>
      <c r="S863" s="8">
        <v>6</v>
      </c>
      <c r="T863" s="8">
        <v>1</v>
      </c>
      <c r="U863" s="8">
        <v>4</v>
      </c>
      <c r="V863" s="8">
        <v>8</v>
      </c>
      <c r="W863" t="s">
        <v>473</v>
      </c>
      <c r="X863" t="s">
        <v>473</v>
      </c>
      <c r="Y863" t="s">
        <v>473</v>
      </c>
      <c r="Z863" t="s">
        <v>473</v>
      </c>
      <c r="AA863" t="s">
        <v>473</v>
      </c>
      <c r="AB863" t="s">
        <v>473</v>
      </c>
      <c r="AC863" s="10">
        <v>3</v>
      </c>
      <c r="AD863" s="10">
        <v>11</v>
      </c>
      <c r="AE863" t="s">
        <v>473</v>
      </c>
    </row>
    <row r="864" spans="1:31" x14ac:dyDescent="0.25">
      <c r="A864">
        <v>9553</v>
      </c>
      <c r="B864">
        <v>1987</v>
      </c>
      <c r="C864" t="s">
        <v>466</v>
      </c>
      <c r="D864" t="s">
        <v>34</v>
      </c>
      <c r="E864" t="str">
        <f>IF(OR(Table1[[#This Row],[marital_status]]="Married", Table1[[#This Row],[marital_status]]="Together"), "Partnered", "Single")</f>
        <v>Partnered</v>
      </c>
      <c r="F864" s="7">
        <v>7500</v>
      </c>
      <c r="G864" s="8">
        <v>0</v>
      </c>
      <c r="H864" s="8">
        <v>0</v>
      </c>
      <c r="I864" s="8">
        <f>Table1[[#This Row],[kids]]+Table1[[#This Row],[teens]]</f>
        <v>0</v>
      </c>
      <c r="J864" s="9">
        <v>41283</v>
      </c>
      <c r="K864" s="8">
        <v>94</v>
      </c>
      <c r="L864" s="6">
        <v>0</v>
      </c>
      <c r="M864" s="5">
        <v>2</v>
      </c>
      <c r="N864" s="5">
        <v>3</v>
      </c>
      <c r="O864" s="5">
        <v>4</v>
      </c>
      <c r="P864" s="5">
        <v>1</v>
      </c>
      <c r="Q864" s="5">
        <v>5</v>
      </c>
      <c r="R864" s="8">
        <v>1</v>
      </c>
      <c r="S864" s="8">
        <v>0</v>
      </c>
      <c r="T864" s="8">
        <v>0</v>
      </c>
      <c r="U864" s="8">
        <v>3</v>
      </c>
      <c r="V864" s="8">
        <v>6</v>
      </c>
      <c r="W864" t="s">
        <v>473</v>
      </c>
      <c r="X864" t="s">
        <v>473</v>
      </c>
      <c r="Y864" t="s">
        <v>473</v>
      </c>
      <c r="Z864" t="s">
        <v>473</v>
      </c>
      <c r="AA864" t="s">
        <v>473</v>
      </c>
      <c r="AB864" t="s">
        <v>473</v>
      </c>
      <c r="AC864" s="10">
        <v>3</v>
      </c>
      <c r="AD864" s="10">
        <v>11</v>
      </c>
      <c r="AE864" t="s">
        <v>473</v>
      </c>
    </row>
    <row r="865" spans="1:31" x14ac:dyDescent="0.25">
      <c r="A865">
        <v>4271</v>
      </c>
      <c r="B865">
        <v>1989</v>
      </c>
      <c r="C865" t="s">
        <v>46</v>
      </c>
      <c r="D865" t="s">
        <v>31</v>
      </c>
      <c r="E865" t="str">
        <f>IF(OR(Table1[[#This Row],[marital_status]]="Married", Table1[[#This Row],[marital_status]]="Together"), "Partnered", "Single")</f>
        <v>Partnered</v>
      </c>
      <c r="F865" s="7">
        <v>38683</v>
      </c>
      <c r="G865" s="8">
        <v>1</v>
      </c>
      <c r="H865" s="8">
        <v>0</v>
      </c>
      <c r="I865" s="8">
        <f>Table1[[#This Row],[kids]]+Table1[[#This Row],[teens]]</f>
        <v>1</v>
      </c>
      <c r="J865" s="9">
        <v>41186</v>
      </c>
      <c r="K865" s="8">
        <v>80</v>
      </c>
      <c r="L865" s="6">
        <v>46</v>
      </c>
      <c r="M865" s="5">
        <v>35</v>
      </c>
      <c r="N865" s="5">
        <v>69</v>
      </c>
      <c r="O865" s="5">
        <v>84</v>
      </c>
      <c r="P865" s="5">
        <v>41</v>
      </c>
      <c r="Q865" s="5">
        <v>66</v>
      </c>
      <c r="R865" s="8">
        <v>6</v>
      </c>
      <c r="S865" s="8">
        <v>4</v>
      </c>
      <c r="T865" s="8">
        <v>1</v>
      </c>
      <c r="U865" s="8">
        <v>6</v>
      </c>
      <c r="V865" s="8">
        <v>7</v>
      </c>
      <c r="W865" t="s">
        <v>473</v>
      </c>
      <c r="X865" t="s">
        <v>473</v>
      </c>
      <c r="Y865" t="s">
        <v>473</v>
      </c>
      <c r="Z865" t="s">
        <v>473</v>
      </c>
      <c r="AA865" t="s">
        <v>473</v>
      </c>
      <c r="AB865" t="s">
        <v>473</v>
      </c>
      <c r="AC865" s="10">
        <v>3</v>
      </c>
      <c r="AD865" s="10">
        <v>11</v>
      </c>
      <c r="AE865" t="s">
        <v>473</v>
      </c>
    </row>
    <row r="866" spans="1:31" x14ac:dyDescent="0.25">
      <c r="A866">
        <v>4120</v>
      </c>
      <c r="B866">
        <v>1975</v>
      </c>
      <c r="C866" t="s">
        <v>46</v>
      </c>
      <c r="D866" t="s">
        <v>30</v>
      </c>
      <c r="E866" t="str">
        <f>IF(OR(Table1[[#This Row],[marital_status]]="Married", Table1[[#This Row],[marital_status]]="Together"), "Partnered", "Single")</f>
        <v>Single</v>
      </c>
      <c r="F866" s="7">
        <v>49514</v>
      </c>
      <c r="G866" s="8">
        <v>1</v>
      </c>
      <c r="H866" s="8">
        <v>0</v>
      </c>
      <c r="I866" s="8">
        <f>Table1[[#This Row],[kids]]+Table1[[#This Row],[teens]]</f>
        <v>1</v>
      </c>
      <c r="J866" s="9">
        <v>41625</v>
      </c>
      <c r="K866" s="8">
        <v>61</v>
      </c>
      <c r="L866" s="6">
        <v>88</v>
      </c>
      <c r="M866" s="5">
        <v>39</v>
      </c>
      <c r="N866" s="5">
        <v>78</v>
      </c>
      <c r="O866" s="5">
        <v>58</v>
      </c>
      <c r="P866" s="5">
        <v>13</v>
      </c>
      <c r="Q866" s="5">
        <v>93</v>
      </c>
      <c r="R866" s="8">
        <v>2</v>
      </c>
      <c r="S866" s="8">
        <v>6</v>
      </c>
      <c r="T866" s="8">
        <v>1</v>
      </c>
      <c r="U866" s="8">
        <v>4</v>
      </c>
      <c r="V866" s="8">
        <v>7</v>
      </c>
      <c r="W866" t="s">
        <v>473</v>
      </c>
      <c r="X866" t="s">
        <v>473</v>
      </c>
      <c r="Y866" t="s">
        <v>473</v>
      </c>
      <c r="Z866" t="s">
        <v>473</v>
      </c>
      <c r="AA866" t="s">
        <v>473</v>
      </c>
      <c r="AB866" t="s">
        <v>473</v>
      </c>
      <c r="AC866" s="10">
        <v>3</v>
      </c>
      <c r="AD866" s="10">
        <v>11</v>
      </c>
      <c r="AE866" t="s">
        <v>473</v>
      </c>
    </row>
    <row r="867" spans="1:31" x14ac:dyDescent="0.25">
      <c r="A867">
        <v>2036</v>
      </c>
      <c r="B867">
        <v>1973</v>
      </c>
      <c r="C867" t="s">
        <v>33</v>
      </c>
      <c r="D867" t="s">
        <v>31</v>
      </c>
      <c r="E867" t="str">
        <f>IF(OR(Table1[[#This Row],[marital_status]]="Married", Table1[[#This Row],[marital_status]]="Together"), "Partnered", "Single")</f>
        <v>Partnered</v>
      </c>
      <c r="F867" s="7">
        <v>57906</v>
      </c>
      <c r="G867" s="8">
        <v>0</v>
      </c>
      <c r="H867" s="8">
        <v>1</v>
      </c>
      <c r="I867" s="8">
        <f>Table1[[#This Row],[kids]]+Table1[[#This Row],[teens]]</f>
        <v>1</v>
      </c>
      <c r="J867" s="9">
        <v>41436</v>
      </c>
      <c r="K867" s="8">
        <v>29</v>
      </c>
      <c r="L867" s="6">
        <v>243</v>
      </c>
      <c r="M867" s="5">
        <v>11</v>
      </c>
      <c r="N867" s="5">
        <v>119</v>
      </c>
      <c r="O867" s="5">
        <v>10</v>
      </c>
      <c r="P867" s="5">
        <v>3</v>
      </c>
      <c r="Q867" s="5">
        <v>15</v>
      </c>
      <c r="R867" s="8">
        <v>3</v>
      </c>
      <c r="S867" s="8">
        <v>4</v>
      </c>
      <c r="T867" s="8">
        <v>2</v>
      </c>
      <c r="U867" s="8">
        <v>8</v>
      </c>
      <c r="V867" s="8">
        <v>4</v>
      </c>
      <c r="W867" t="s">
        <v>473</v>
      </c>
      <c r="X867" t="s">
        <v>473</v>
      </c>
      <c r="Y867" t="s">
        <v>473</v>
      </c>
      <c r="Z867" t="s">
        <v>473</v>
      </c>
      <c r="AA867" t="s">
        <v>473</v>
      </c>
      <c r="AB867" t="s">
        <v>473</v>
      </c>
      <c r="AC867" s="10">
        <v>3</v>
      </c>
      <c r="AD867" s="10">
        <v>11</v>
      </c>
      <c r="AE867" t="s">
        <v>473</v>
      </c>
    </row>
    <row r="868" spans="1:31" x14ac:dyDescent="0.25">
      <c r="A868">
        <v>115</v>
      </c>
      <c r="B868">
        <v>1966</v>
      </c>
      <c r="C868" t="s">
        <v>36</v>
      </c>
      <c r="D868" t="s">
        <v>30</v>
      </c>
      <c r="E868" t="str">
        <f>IF(OR(Table1[[#This Row],[marital_status]]="Married", Table1[[#This Row],[marital_status]]="Together"), "Partnered", "Single")</f>
        <v>Single</v>
      </c>
      <c r="F868" s="7">
        <v>43456</v>
      </c>
      <c r="G868" s="8">
        <v>0</v>
      </c>
      <c r="H868" s="8">
        <v>1</v>
      </c>
      <c r="I868" s="8">
        <f>Table1[[#This Row],[kids]]+Table1[[#This Row],[teens]]</f>
        <v>1</v>
      </c>
      <c r="J868" s="9">
        <v>41359</v>
      </c>
      <c r="K868" s="8">
        <v>0</v>
      </c>
      <c r="L868" s="6">
        <v>275</v>
      </c>
      <c r="M868" s="5">
        <v>11</v>
      </c>
      <c r="N868" s="5">
        <v>68</v>
      </c>
      <c r="O868" s="5">
        <v>25</v>
      </c>
      <c r="P868" s="5">
        <v>7</v>
      </c>
      <c r="Q868" s="5">
        <v>7</v>
      </c>
      <c r="R868" s="8">
        <v>3</v>
      </c>
      <c r="S868" s="8">
        <v>5</v>
      </c>
      <c r="T868" s="8">
        <v>1</v>
      </c>
      <c r="U868" s="8">
        <v>8</v>
      </c>
      <c r="V868" s="8">
        <v>5</v>
      </c>
      <c r="W868" t="s">
        <v>473</v>
      </c>
      <c r="X868" t="s">
        <v>473</v>
      </c>
      <c r="Y868" t="s">
        <v>473</v>
      </c>
      <c r="Z868" t="s">
        <v>473</v>
      </c>
      <c r="AA868" t="s">
        <v>473</v>
      </c>
      <c r="AB868" t="s">
        <v>473</v>
      </c>
      <c r="AC868" s="10">
        <v>3</v>
      </c>
      <c r="AD868" s="10">
        <v>11</v>
      </c>
      <c r="AE868" t="s">
        <v>473</v>
      </c>
    </row>
    <row r="869" spans="1:31" x14ac:dyDescent="0.25">
      <c r="A869">
        <v>4259</v>
      </c>
      <c r="B869">
        <v>1986</v>
      </c>
      <c r="C869" t="s">
        <v>36</v>
      </c>
      <c r="D869" t="s">
        <v>30</v>
      </c>
      <c r="E869" t="str">
        <f>IF(OR(Table1[[#This Row],[marital_status]]="Married", Table1[[#This Row],[marital_status]]="Together"), "Partnered", "Single")</f>
        <v>Single</v>
      </c>
      <c r="F869" s="7">
        <v>19485</v>
      </c>
      <c r="G869" s="8">
        <v>2</v>
      </c>
      <c r="H869" s="8">
        <v>0</v>
      </c>
      <c r="I869" s="8">
        <f>Table1[[#This Row],[kids]]+Table1[[#This Row],[teens]]</f>
        <v>2</v>
      </c>
      <c r="J869" s="9">
        <v>41541</v>
      </c>
      <c r="K869" s="8">
        <v>80</v>
      </c>
      <c r="L869" s="6">
        <v>6</v>
      </c>
      <c r="M869" s="5">
        <v>0</v>
      </c>
      <c r="N869" s="5">
        <v>4</v>
      </c>
      <c r="O869" s="5">
        <v>0</v>
      </c>
      <c r="P869" s="5">
        <v>0</v>
      </c>
      <c r="Q869" s="5">
        <v>0</v>
      </c>
      <c r="R869" s="8">
        <v>1</v>
      </c>
      <c r="S869" s="8">
        <v>1</v>
      </c>
      <c r="T869" s="8">
        <v>0</v>
      </c>
      <c r="U869" s="8">
        <v>2</v>
      </c>
      <c r="V869" s="8">
        <v>7</v>
      </c>
      <c r="W869" t="s">
        <v>473</v>
      </c>
      <c r="X869" t="s">
        <v>473</v>
      </c>
      <c r="Y869" t="s">
        <v>473</v>
      </c>
      <c r="Z869" t="s">
        <v>473</v>
      </c>
      <c r="AA869" t="s">
        <v>473</v>
      </c>
      <c r="AB869" t="s">
        <v>473</v>
      </c>
      <c r="AC869" s="10">
        <v>3</v>
      </c>
      <c r="AD869" s="10">
        <v>11</v>
      </c>
      <c r="AE869" t="s">
        <v>473</v>
      </c>
    </row>
    <row r="870" spans="1:31" x14ac:dyDescent="0.25">
      <c r="A870">
        <v>8687</v>
      </c>
      <c r="B870">
        <v>1978</v>
      </c>
      <c r="C870" t="s">
        <v>466</v>
      </c>
      <c r="D870" t="s">
        <v>31</v>
      </c>
      <c r="E870" t="str">
        <f>IF(OR(Table1[[#This Row],[marital_status]]="Married", Table1[[#This Row],[marital_status]]="Together"), "Partnered", "Single")</f>
        <v>Partnered</v>
      </c>
      <c r="F870" s="7">
        <v>53172</v>
      </c>
      <c r="G870" s="8">
        <v>0</v>
      </c>
      <c r="H870" s="8">
        <v>1</v>
      </c>
      <c r="I870" s="8">
        <f>Table1[[#This Row],[kids]]+Table1[[#This Row],[teens]]</f>
        <v>1</v>
      </c>
      <c r="J870" s="9">
        <v>41400</v>
      </c>
      <c r="K870" s="8">
        <v>54</v>
      </c>
      <c r="L870" s="6">
        <v>121</v>
      </c>
      <c r="M870" s="5">
        <v>62</v>
      </c>
      <c r="N870" s="5">
        <v>90</v>
      </c>
      <c r="O870" s="5">
        <v>68</v>
      </c>
      <c r="P870" s="5">
        <v>20</v>
      </c>
      <c r="Q870" s="5">
        <v>125</v>
      </c>
      <c r="R870" s="8">
        <v>3</v>
      </c>
      <c r="S870" s="8">
        <v>2</v>
      </c>
      <c r="T870" s="8">
        <v>3</v>
      </c>
      <c r="U870" s="8">
        <v>8</v>
      </c>
      <c r="V870" s="8">
        <v>3</v>
      </c>
      <c r="W870" t="s">
        <v>473</v>
      </c>
      <c r="X870" t="s">
        <v>473</v>
      </c>
      <c r="Y870" t="s">
        <v>473</v>
      </c>
      <c r="Z870" t="s">
        <v>473</v>
      </c>
      <c r="AA870" t="s">
        <v>473</v>
      </c>
      <c r="AB870" t="s">
        <v>473</v>
      </c>
      <c r="AC870" s="10">
        <v>3</v>
      </c>
      <c r="AD870" s="10">
        <v>11</v>
      </c>
      <c r="AE870" t="s">
        <v>473</v>
      </c>
    </row>
    <row r="871" spans="1:31" x14ac:dyDescent="0.25">
      <c r="A871">
        <v>2447</v>
      </c>
      <c r="B871">
        <v>1979</v>
      </c>
      <c r="C871" t="s">
        <v>466</v>
      </c>
      <c r="D871" t="s">
        <v>31</v>
      </c>
      <c r="E871" t="str">
        <f>IF(OR(Table1[[#This Row],[marital_status]]="Married", Table1[[#This Row],[marital_status]]="Together"), "Partnered", "Single")</f>
        <v>Partnered</v>
      </c>
      <c r="F871" s="7">
        <v>30545</v>
      </c>
      <c r="G871" s="8">
        <v>1</v>
      </c>
      <c r="H871" s="8">
        <v>0</v>
      </c>
      <c r="I871" s="8">
        <f>Table1[[#This Row],[kids]]+Table1[[#This Row],[teens]]</f>
        <v>1</v>
      </c>
      <c r="J871" s="9">
        <v>41199</v>
      </c>
      <c r="K871" s="8">
        <v>71</v>
      </c>
      <c r="L871" s="6">
        <v>4</v>
      </c>
      <c r="M871" s="5">
        <v>12</v>
      </c>
      <c r="N871" s="5">
        <v>15</v>
      </c>
      <c r="O871" s="5">
        <v>19</v>
      </c>
      <c r="P871" s="5">
        <v>7</v>
      </c>
      <c r="Q871" s="5">
        <v>12</v>
      </c>
      <c r="R871" s="8">
        <v>2</v>
      </c>
      <c r="S871" s="8">
        <v>2</v>
      </c>
      <c r="T871" s="8">
        <v>0</v>
      </c>
      <c r="U871" s="8">
        <v>3</v>
      </c>
      <c r="V871" s="8">
        <v>7</v>
      </c>
      <c r="W871" t="s">
        <v>473</v>
      </c>
      <c r="X871" t="s">
        <v>473</v>
      </c>
      <c r="Y871" t="s">
        <v>473</v>
      </c>
      <c r="Z871" t="s">
        <v>473</v>
      </c>
      <c r="AA871" t="s">
        <v>473</v>
      </c>
      <c r="AB871" t="s">
        <v>473</v>
      </c>
      <c r="AC871" s="10">
        <v>3</v>
      </c>
      <c r="AD871" s="10">
        <v>11</v>
      </c>
      <c r="AE871" t="s">
        <v>473</v>
      </c>
    </row>
    <row r="872" spans="1:31" x14ac:dyDescent="0.25">
      <c r="A872">
        <v>10140</v>
      </c>
      <c r="B872">
        <v>1983</v>
      </c>
      <c r="C872" t="s">
        <v>33</v>
      </c>
      <c r="D872" t="s">
        <v>31</v>
      </c>
      <c r="E872" t="str">
        <f>IF(OR(Table1[[#This Row],[marital_status]]="Married", Table1[[#This Row],[marital_status]]="Together"), "Partnered", "Single")</f>
        <v>Partnered</v>
      </c>
      <c r="F872" s="7">
        <v>70123</v>
      </c>
      <c r="G872" s="8">
        <v>0</v>
      </c>
      <c r="H872" s="8">
        <v>0</v>
      </c>
      <c r="I872" s="8">
        <f>Table1[[#This Row],[kids]]+Table1[[#This Row],[teens]]</f>
        <v>0</v>
      </c>
      <c r="J872" s="9">
        <v>41545</v>
      </c>
      <c r="K872" s="8">
        <v>27</v>
      </c>
      <c r="L872" s="6">
        <v>1308</v>
      </c>
      <c r="M872" s="5">
        <v>0</v>
      </c>
      <c r="N872" s="5">
        <v>396</v>
      </c>
      <c r="O872" s="5">
        <v>23</v>
      </c>
      <c r="P872" s="5">
        <v>0</v>
      </c>
      <c r="Q872" s="5">
        <v>0</v>
      </c>
      <c r="R872" s="8">
        <v>1</v>
      </c>
      <c r="S872" s="8">
        <v>5</v>
      </c>
      <c r="T872" s="8">
        <v>7</v>
      </c>
      <c r="U872" s="8">
        <v>4</v>
      </c>
      <c r="V872" s="8">
        <v>3</v>
      </c>
      <c r="W872" t="s">
        <v>473</v>
      </c>
      <c r="X872" t="s">
        <v>474</v>
      </c>
      <c r="Y872" t="s">
        <v>473</v>
      </c>
      <c r="Z872" t="s">
        <v>473</v>
      </c>
      <c r="AA872" t="s">
        <v>474</v>
      </c>
      <c r="AB872" t="s">
        <v>473</v>
      </c>
      <c r="AC872" s="10">
        <v>3</v>
      </c>
      <c r="AD872" s="10">
        <v>11</v>
      </c>
      <c r="AE872" t="s">
        <v>473</v>
      </c>
    </row>
    <row r="873" spans="1:31" x14ac:dyDescent="0.25">
      <c r="A873">
        <v>9353</v>
      </c>
      <c r="B873">
        <v>1959</v>
      </c>
      <c r="C873" t="s">
        <v>466</v>
      </c>
      <c r="D873" t="s">
        <v>30</v>
      </c>
      <c r="E873" t="str">
        <f>IF(OR(Table1[[#This Row],[marital_status]]="Married", Table1[[#This Row],[marital_status]]="Together"), "Partnered", "Single")</f>
        <v>Single</v>
      </c>
      <c r="F873" s="7">
        <v>62450</v>
      </c>
      <c r="G873" s="8">
        <v>0</v>
      </c>
      <c r="H873" s="8">
        <v>1</v>
      </c>
      <c r="I873" s="8">
        <f>Table1[[#This Row],[kids]]+Table1[[#This Row],[teens]]</f>
        <v>1</v>
      </c>
      <c r="J873" s="9">
        <v>41645</v>
      </c>
      <c r="K873" s="8">
        <v>61</v>
      </c>
      <c r="L873" s="6">
        <v>515</v>
      </c>
      <c r="M873" s="5">
        <v>47</v>
      </c>
      <c r="N873" s="5">
        <v>267</v>
      </c>
      <c r="O873" s="5">
        <v>62</v>
      </c>
      <c r="P873" s="5">
        <v>66</v>
      </c>
      <c r="Q873" s="5">
        <v>38</v>
      </c>
      <c r="R873" s="8">
        <v>2</v>
      </c>
      <c r="S873" s="8">
        <v>5</v>
      </c>
      <c r="T873" s="8">
        <v>5</v>
      </c>
      <c r="U873" s="8">
        <v>4</v>
      </c>
      <c r="V873" s="8">
        <v>3</v>
      </c>
      <c r="W873" t="s">
        <v>473</v>
      </c>
      <c r="X873" t="s">
        <v>474</v>
      </c>
      <c r="Y873" t="s">
        <v>473</v>
      </c>
      <c r="Z873" t="s">
        <v>473</v>
      </c>
      <c r="AA873" t="s">
        <v>473</v>
      </c>
      <c r="AB873" t="s">
        <v>473</v>
      </c>
      <c r="AC873" s="10">
        <v>3</v>
      </c>
      <c r="AD873" s="10">
        <v>11</v>
      </c>
      <c r="AE873" t="s">
        <v>473</v>
      </c>
    </row>
    <row r="874" spans="1:31" x14ac:dyDescent="0.25">
      <c r="A874">
        <v>3623</v>
      </c>
      <c r="B874">
        <v>1976</v>
      </c>
      <c r="C874" t="s">
        <v>466</v>
      </c>
      <c r="D874" t="s">
        <v>31</v>
      </c>
      <c r="E874" t="str">
        <f>IF(OR(Table1[[#This Row],[marital_status]]="Married", Table1[[#This Row],[marital_status]]="Together"), "Partnered", "Single")</f>
        <v>Partnered</v>
      </c>
      <c r="F874" s="7">
        <v>21675</v>
      </c>
      <c r="G874" s="8">
        <v>1</v>
      </c>
      <c r="H874" s="8">
        <v>0</v>
      </c>
      <c r="I874" s="8">
        <f>Table1[[#This Row],[kids]]+Table1[[#This Row],[teens]]</f>
        <v>1</v>
      </c>
      <c r="J874" s="9">
        <v>41801</v>
      </c>
      <c r="K874" s="8">
        <v>55</v>
      </c>
      <c r="L874" s="6">
        <v>4</v>
      </c>
      <c r="M874" s="5">
        <v>0</v>
      </c>
      <c r="N874" s="5">
        <v>16</v>
      </c>
      <c r="O874" s="5">
        <v>17</v>
      </c>
      <c r="P874" s="5">
        <v>4</v>
      </c>
      <c r="Q874" s="5">
        <v>4</v>
      </c>
      <c r="R874" s="8">
        <v>3</v>
      </c>
      <c r="S874" s="8">
        <v>4</v>
      </c>
      <c r="T874" s="8">
        <v>0</v>
      </c>
      <c r="U874" s="8">
        <v>3</v>
      </c>
      <c r="V874" s="8">
        <v>7</v>
      </c>
      <c r="W874" t="s">
        <v>473</v>
      </c>
      <c r="X874" t="s">
        <v>473</v>
      </c>
      <c r="Y874" t="s">
        <v>473</v>
      </c>
      <c r="Z874" t="s">
        <v>473</v>
      </c>
      <c r="AA874" t="s">
        <v>473</v>
      </c>
      <c r="AB874" t="s">
        <v>473</v>
      </c>
      <c r="AC874" s="10">
        <v>3</v>
      </c>
      <c r="AD874" s="10">
        <v>11</v>
      </c>
      <c r="AE874" t="s">
        <v>473</v>
      </c>
    </row>
    <row r="875" spans="1:31" x14ac:dyDescent="0.25">
      <c r="A875">
        <v>738</v>
      </c>
      <c r="B875">
        <v>1981</v>
      </c>
      <c r="C875" t="s">
        <v>46</v>
      </c>
      <c r="D875" t="s">
        <v>30</v>
      </c>
      <c r="E875" t="str">
        <f>IF(OR(Table1[[#This Row],[marital_status]]="Married", Table1[[#This Row],[marital_status]]="Together"), "Partnered", "Single")</f>
        <v>Single</v>
      </c>
      <c r="F875" s="7">
        <v>42395</v>
      </c>
      <c r="G875" s="8">
        <v>1</v>
      </c>
      <c r="H875" s="8">
        <v>1</v>
      </c>
      <c r="I875" s="8">
        <f>Table1[[#This Row],[kids]]+Table1[[#This Row],[teens]]</f>
        <v>2</v>
      </c>
      <c r="J875" s="9">
        <v>41733</v>
      </c>
      <c r="K875" s="8">
        <v>35</v>
      </c>
      <c r="L875" s="6">
        <v>48</v>
      </c>
      <c r="M875" s="5">
        <v>13</v>
      </c>
      <c r="N875" s="5">
        <v>57</v>
      </c>
      <c r="O875" s="5">
        <v>24</v>
      </c>
      <c r="P875" s="5">
        <v>15</v>
      </c>
      <c r="Q875" s="5">
        <v>25</v>
      </c>
      <c r="R875" s="8">
        <v>4</v>
      </c>
      <c r="S875" s="8">
        <v>3</v>
      </c>
      <c r="T875" s="8">
        <v>1</v>
      </c>
      <c r="U875" s="8">
        <v>4</v>
      </c>
      <c r="V875" s="8">
        <v>7</v>
      </c>
      <c r="W875" t="s">
        <v>473</v>
      </c>
      <c r="X875" t="s">
        <v>473</v>
      </c>
      <c r="Y875" t="s">
        <v>473</v>
      </c>
      <c r="Z875" t="s">
        <v>473</v>
      </c>
      <c r="AA875" t="s">
        <v>473</v>
      </c>
      <c r="AB875" t="s">
        <v>473</v>
      </c>
      <c r="AC875" s="10">
        <v>3</v>
      </c>
      <c r="AD875" s="10">
        <v>11</v>
      </c>
      <c r="AE875" t="s">
        <v>473</v>
      </c>
    </row>
    <row r="876" spans="1:31" x14ac:dyDescent="0.25">
      <c r="A876">
        <v>7631</v>
      </c>
      <c r="B876">
        <v>1978</v>
      </c>
      <c r="C876" t="s">
        <v>36</v>
      </c>
      <c r="D876" t="s">
        <v>31</v>
      </c>
      <c r="E876" t="str">
        <f>IF(OR(Table1[[#This Row],[marital_status]]="Married", Table1[[#This Row],[marital_status]]="Together"), "Partnered", "Single")</f>
        <v>Partnered</v>
      </c>
      <c r="F876" s="7">
        <v>61346</v>
      </c>
      <c r="G876" s="8">
        <v>1</v>
      </c>
      <c r="H876" s="8">
        <v>0</v>
      </c>
      <c r="I876" s="8">
        <f>Table1[[#This Row],[kids]]+Table1[[#This Row],[teens]]</f>
        <v>1</v>
      </c>
      <c r="J876" s="9">
        <v>41553</v>
      </c>
      <c r="K876" s="8">
        <v>34</v>
      </c>
      <c r="L876" s="6">
        <v>562</v>
      </c>
      <c r="M876" s="5">
        <v>58</v>
      </c>
      <c r="N876" s="5">
        <v>168</v>
      </c>
      <c r="O876" s="5">
        <v>43</v>
      </c>
      <c r="P876" s="5">
        <v>16</v>
      </c>
      <c r="Q876" s="5">
        <v>142</v>
      </c>
      <c r="R876" s="8">
        <v>1</v>
      </c>
      <c r="S876" s="8">
        <v>5</v>
      </c>
      <c r="T876" s="8">
        <v>7</v>
      </c>
      <c r="U876" s="8">
        <v>10</v>
      </c>
      <c r="V876" s="8">
        <v>3</v>
      </c>
      <c r="W876" t="s">
        <v>473</v>
      </c>
      <c r="X876" t="s">
        <v>473</v>
      </c>
      <c r="Y876" t="s">
        <v>473</v>
      </c>
      <c r="Z876" t="s">
        <v>473</v>
      </c>
      <c r="AA876" t="s">
        <v>473</v>
      </c>
      <c r="AB876" t="s">
        <v>473</v>
      </c>
      <c r="AC876" s="10">
        <v>3</v>
      </c>
      <c r="AD876" s="10">
        <v>11</v>
      </c>
      <c r="AE876" t="s">
        <v>473</v>
      </c>
    </row>
    <row r="877" spans="1:31" x14ac:dyDescent="0.25">
      <c r="A877">
        <v>4789</v>
      </c>
      <c r="B877">
        <v>1953</v>
      </c>
      <c r="C877" t="s">
        <v>466</v>
      </c>
      <c r="D877" t="s">
        <v>31</v>
      </c>
      <c r="E877" t="str">
        <f>IF(OR(Table1[[#This Row],[marital_status]]="Married", Table1[[#This Row],[marital_status]]="Together"), "Partnered", "Single")</f>
        <v>Partnered</v>
      </c>
      <c r="F877" s="7">
        <v>80812</v>
      </c>
      <c r="G877" s="8">
        <v>0</v>
      </c>
      <c r="H877" s="8">
        <v>0</v>
      </c>
      <c r="I877" s="8">
        <f>Table1[[#This Row],[kids]]+Table1[[#This Row],[teens]]</f>
        <v>0</v>
      </c>
      <c r="J877" s="9">
        <v>41534</v>
      </c>
      <c r="K877" s="8">
        <v>95</v>
      </c>
      <c r="L877" s="6">
        <v>769</v>
      </c>
      <c r="M877" s="5">
        <v>22</v>
      </c>
      <c r="N877" s="5">
        <v>500</v>
      </c>
      <c r="O877" s="5">
        <v>210</v>
      </c>
      <c r="P877" s="5">
        <v>143</v>
      </c>
      <c r="Q877" s="5">
        <v>33</v>
      </c>
      <c r="R877" s="8">
        <v>1</v>
      </c>
      <c r="S877" s="8">
        <v>4</v>
      </c>
      <c r="T877" s="8">
        <v>8</v>
      </c>
      <c r="U877" s="8">
        <v>5</v>
      </c>
      <c r="V877" s="8">
        <v>2</v>
      </c>
      <c r="W877" t="s">
        <v>474</v>
      </c>
      <c r="X877" t="s">
        <v>473</v>
      </c>
      <c r="Y877" t="s">
        <v>474</v>
      </c>
      <c r="Z877" t="s">
        <v>474</v>
      </c>
      <c r="AA877" t="s">
        <v>473</v>
      </c>
      <c r="AB877" t="s">
        <v>473</v>
      </c>
      <c r="AC877" s="10">
        <v>3</v>
      </c>
      <c r="AD877" s="10">
        <v>11</v>
      </c>
      <c r="AE877" t="s">
        <v>473</v>
      </c>
    </row>
    <row r="878" spans="1:31" x14ac:dyDescent="0.25">
      <c r="A878">
        <v>773</v>
      </c>
      <c r="B878">
        <v>1971</v>
      </c>
      <c r="C878" t="s">
        <v>36</v>
      </c>
      <c r="D878" t="s">
        <v>37</v>
      </c>
      <c r="E878" t="str">
        <f>IF(OR(Table1[[#This Row],[marital_status]]="Married", Table1[[#This Row],[marital_status]]="Together"), "Partnered", "Single")</f>
        <v>Single</v>
      </c>
      <c r="F878" s="7">
        <v>42835</v>
      </c>
      <c r="G878" s="8">
        <v>1</v>
      </c>
      <c r="H878" s="8">
        <v>1</v>
      </c>
      <c r="I878" s="8">
        <f>Table1[[#This Row],[kids]]+Table1[[#This Row],[teens]]</f>
        <v>2</v>
      </c>
      <c r="J878" s="9">
        <v>41455</v>
      </c>
      <c r="K878" s="8">
        <v>64</v>
      </c>
      <c r="L878" s="6">
        <v>379</v>
      </c>
      <c r="M878" s="5">
        <v>4</v>
      </c>
      <c r="N878" s="5">
        <v>93</v>
      </c>
      <c r="O878" s="5">
        <v>12</v>
      </c>
      <c r="P878" s="5">
        <v>9</v>
      </c>
      <c r="Q878" s="5">
        <v>98</v>
      </c>
      <c r="R878" s="8">
        <v>7</v>
      </c>
      <c r="S878" s="8">
        <v>6</v>
      </c>
      <c r="T878" s="8">
        <v>6</v>
      </c>
      <c r="U878" s="8">
        <v>4</v>
      </c>
      <c r="V878" s="8">
        <v>6</v>
      </c>
      <c r="W878" t="s">
        <v>473</v>
      </c>
      <c r="X878" t="s">
        <v>473</v>
      </c>
      <c r="Y878" t="s">
        <v>473</v>
      </c>
      <c r="Z878" t="s">
        <v>473</v>
      </c>
      <c r="AA878" t="s">
        <v>473</v>
      </c>
      <c r="AB878" t="s">
        <v>473</v>
      </c>
      <c r="AC878" s="10">
        <v>3</v>
      </c>
      <c r="AD878" s="10">
        <v>11</v>
      </c>
      <c r="AE878" t="s">
        <v>473</v>
      </c>
    </row>
    <row r="879" spans="1:31" x14ac:dyDescent="0.25">
      <c r="A879">
        <v>10602</v>
      </c>
      <c r="B879">
        <v>1983</v>
      </c>
      <c r="C879" t="s">
        <v>466</v>
      </c>
      <c r="D879" t="s">
        <v>34</v>
      </c>
      <c r="E879" t="str">
        <f>IF(OR(Table1[[#This Row],[marital_status]]="Married", Table1[[#This Row],[marital_status]]="Together"), "Partnered", "Single")</f>
        <v>Partnered</v>
      </c>
      <c r="F879" s="7">
        <v>39922</v>
      </c>
      <c r="G879" s="8">
        <v>1</v>
      </c>
      <c r="H879" s="8">
        <v>0</v>
      </c>
      <c r="I879" s="8">
        <f>Table1[[#This Row],[kids]]+Table1[[#This Row],[teens]]</f>
        <v>1</v>
      </c>
      <c r="J879" s="9">
        <v>41319</v>
      </c>
      <c r="K879" s="8">
        <v>30</v>
      </c>
      <c r="L879" s="6">
        <v>29</v>
      </c>
      <c r="M879" s="5">
        <v>12</v>
      </c>
      <c r="N879" s="5">
        <v>59</v>
      </c>
      <c r="O879" s="5">
        <v>19</v>
      </c>
      <c r="P879" s="5">
        <v>1</v>
      </c>
      <c r="Q879" s="5">
        <v>36</v>
      </c>
      <c r="R879" s="8">
        <v>2</v>
      </c>
      <c r="S879" s="8">
        <v>3</v>
      </c>
      <c r="T879" s="8">
        <v>0</v>
      </c>
      <c r="U879" s="8">
        <v>4</v>
      </c>
      <c r="V879" s="8">
        <v>8</v>
      </c>
      <c r="W879" t="s">
        <v>473</v>
      </c>
      <c r="X879" t="s">
        <v>473</v>
      </c>
      <c r="Y879" t="s">
        <v>473</v>
      </c>
      <c r="Z879" t="s">
        <v>473</v>
      </c>
      <c r="AA879" t="s">
        <v>473</v>
      </c>
      <c r="AB879" t="s">
        <v>473</v>
      </c>
      <c r="AC879" s="10">
        <v>3</v>
      </c>
      <c r="AD879" s="10">
        <v>11</v>
      </c>
      <c r="AE879" t="s">
        <v>473</v>
      </c>
    </row>
    <row r="880" spans="1:31" x14ac:dyDescent="0.25">
      <c r="A880">
        <v>1446</v>
      </c>
      <c r="B880">
        <v>1956</v>
      </c>
      <c r="C880" t="s">
        <v>36</v>
      </c>
      <c r="D880" t="s">
        <v>30</v>
      </c>
      <c r="E880" t="str">
        <f>IF(OR(Table1[[#This Row],[marital_status]]="Married", Table1[[#This Row],[marital_status]]="Together"), "Partnered", "Single")</f>
        <v>Single</v>
      </c>
      <c r="F880" s="7">
        <v>86424</v>
      </c>
      <c r="G880" s="8">
        <v>0</v>
      </c>
      <c r="H880" s="8">
        <v>0</v>
      </c>
      <c r="I880" s="8">
        <f>Table1[[#This Row],[kids]]+Table1[[#This Row],[teens]]</f>
        <v>0</v>
      </c>
      <c r="J880" s="9">
        <v>41734</v>
      </c>
      <c r="K880" s="8">
        <v>12</v>
      </c>
      <c r="L880" s="6">
        <v>387</v>
      </c>
      <c r="M880" s="5">
        <v>68</v>
      </c>
      <c r="N880" s="5">
        <v>569</v>
      </c>
      <c r="O880" s="5">
        <v>89</v>
      </c>
      <c r="P880" s="5">
        <v>45</v>
      </c>
      <c r="Q880" s="5">
        <v>68</v>
      </c>
      <c r="R880" s="8">
        <v>1</v>
      </c>
      <c r="S880" s="8">
        <v>6</v>
      </c>
      <c r="T880" s="8">
        <v>9</v>
      </c>
      <c r="U880" s="8">
        <v>12</v>
      </c>
      <c r="V880" s="8">
        <v>1</v>
      </c>
      <c r="W880" t="s">
        <v>473</v>
      </c>
      <c r="X880" t="s">
        <v>473</v>
      </c>
      <c r="Y880" t="s">
        <v>473</v>
      </c>
      <c r="Z880" t="s">
        <v>473</v>
      </c>
      <c r="AA880" t="s">
        <v>473</v>
      </c>
      <c r="AB880" t="s">
        <v>473</v>
      </c>
      <c r="AC880" s="10">
        <v>3</v>
      </c>
      <c r="AD880" s="10">
        <v>11</v>
      </c>
      <c r="AE880" t="s">
        <v>473</v>
      </c>
    </row>
    <row r="881" spans="1:31" x14ac:dyDescent="0.25">
      <c r="A881">
        <v>3270</v>
      </c>
      <c r="B881">
        <v>1978</v>
      </c>
      <c r="C881" t="s">
        <v>46</v>
      </c>
      <c r="D881" t="s">
        <v>31</v>
      </c>
      <c r="E881" t="str">
        <f>IF(OR(Table1[[#This Row],[marital_status]]="Married", Table1[[#This Row],[marital_status]]="Together"), "Partnered", "Single")</f>
        <v>Partnered</v>
      </c>
      <c r="F881" s="7">
        <v>17117</v>
      </c>
      <c r="G881" s="8">
        <v>1</v>
      </c>
      <c r="H881" s="8">
        <v>0</v>
      </c>
      <c r="I881" s="8">
        <f>Table1[[#This Row],[kids]]+Table1[[#This Row],[teens]]</f>
        <v>1</v>
      </c>
      <c r="J881" s="9">
        <v>41291</v>
      </c>
      <c r="K881" s="8">
        <v>96</v>
      </c>
      <c r="L881" s="6">
        <v>12</v>
      </c>
      <c r="M881" s="5">
        <v>23</v>
      </c>
      <c r="N881" s="5">
        <v>38</v>
      </c>
      <c r="O881" s="5">
        <v>30</v>
      </c>
      <c r="P881" s="5">
        <v>18</v>
      </c>
      <c r="Q881" s="5">
        <v>7</v>
      </c>
      <c r="R881" s="8">
        <v>4</v>
      </c>
      <c r="S881" s="8">
        <v>3</v>
      </c>
      <c r="T881" s="8">
        <v>1</v>
      </c>
      <c r="U881" s="8">
        <v>3</v>
      </c>
      <c r="V881" s="8">
        <v>9</v>
      </c>
      <c r="W881" t="s">
        <v>473</v>
      </c>
      <c r="X881" t="s">
        <v>473</v>
      </c>
      <c r="Y881" t="s">
        <v>473</v>
      </c>
      <c r="Z881" t="s">
        <v>473</v>
      </c>
      <c r="AA881" t="s">
        <v>473</v>
      </c>
      <c r="AB881" t="s">
        <v>473</v>
      </c>
      <c r="AC881" s="10">
        <v>3</v>
      </c>
      <c r="AD881" s="10">
        <v>11</v>
      </c>
      <c r="AE881" t="s">
        <v>473</v>
      </c>
    </row>
    <row r="882" spans="1:31" x14ac:dyDescent="0.25">
      <c r="A882">
        <v>8443</v>
      </c>
      <c r="B882">
        <v>1972</v>
      </c>
      <c r="C882" t="s">
        <v>466</v>
      </c>
      <c r="D882" t="s">
        <v>30</v>
      </c>
      <c r="E882" t="str">
        <f>IF(OR(Table1[[#This Row],[marital_status]]="Married", Table1[[#This Row],[marital_status]]="Together"), "Partnered", "Single")</f>
        <v>Single</v>
      </c>
      <c r="F882" s="7">
        <v>24762</v>
      </c>
      <c r="G882" s="8">
        <v>1</v>
      </c>
      <c r="H882" s="8">
        <v>0</v>
      </c>
      <c r="I882" s="8">
        <f>Table1[[#This Row],[kids]]+Table1[[#This Row],[teens]]</f>
        <v>1</v>
      </c>
      <c r="J882" s="9">
        <v>41680</v>
      </c>
      <c r="K882" s="8">
        <v>16</v>
      </c>
      <c r="L882" s="6">
        <v>6</v>
      </c>
      <c r="M882" s="5">
        <v>10</v>
      </c>
      <c r="N882" s="5">
        <v>12</v>
      </c>
      <c r="O882" s="5">
        <v>3</v>
      </c>
      <c r="P882" s="5">
        <v>15</v>
      </c>
      <c r="Q882" s="5">
        <v>40</v>
      </c>
      <c r="R882" s="8">
        <v>3</v>
      </c>
      <c r="S882" s="8">
        <v>3</v>
      </c>
      <c r="T882" s="8">
        <v>1</v>
      </c>
      <c r="U882" s="8">
        <v>2</v>
      </c>
      <c r="V882" s="8">
        <v>8</v>
      </c>
      <c r="W882" t="s">
        <v>474</v>
      </c>
      <c r="X882" t="s">
        <v>473</v>
      </c>
      <c r="Y882" t="s">
        <v>473</v>
      </c>
      <c r="Z882" t="s">
        <v>473</v>
      </c>
      <c r="AA882" t="s">
        <v>473</v>
      </c>
      <c r="AB882" t="s">
        <v>473</v>
      </c>
      <c r="AC882" s="10">
        <v>3</v>
      </c>
      <c r="AD882" s="10">
        <v>11</v>
      </c>
      <c r="AE882" t="s">
        <v>474</v>
      </c>
    </row>
    <row r="883" spans="1:31" x14ac:dyDescent="0.25">
      <c r="A883">
        <v>9653</v>
      </c>
      <c r="B883">
        <v>1975</v>
      </c>
      <c r="C883" t="s">
        <v>466</v>
      </c>
      <c r="D883" t="s">
        <v>34</v>
      </c>
      <c r="E883" t="str">
        <f>IF(OR(Table1[[#This Row],[marital_status]]="Married", Table1[[#This Row],[marital_status]]="Together"), "Partnered", "Single")</f>
        <v>Partnered</v>
      </c>
      <c r="F883" s="7">
        <v>35797</v>
      </c>
      <c r="G883" s="8">
        <v>0</v>
      </c>
      <c r="H883" s="8">
        <v>1</v>
      </c>
      <c r="I883" s="8">
        <f>Table1[[#This Row],[kids]]+Table1[[#This Row],[teens]]</f>
        <v>1</v>
      </c>
      <c r="J883" s="9">
        <v>41198</v>
      </c>
      <c r="K883" s="8">
        <v>16</v>
      </c>
      <c r="L883" s="6">
        <v>27</v>
      </c>
      <c r="M883" s="5">
        <v>1</v>
      </c>
      <c r="N883" s="5">
        <v>14</v>
      </c>
      <c r="O883" s="5">
        <v>4</v>
      </c>
      <c r="P883" s="5">
        <v>1</v>
      </c>
      <c r="Q883" s="5">
        <v>21</v>
      </c>
      <c r="R883" s="8">
        <v>2</v>
      </c>
      <c r="S883" s="8">
        <v>2</v>
      </c>
      <c r="T883" s="8">
        <v>0</v>
      </c>
      <c r="U883" s="8">
        <v>3</v>
      </c>
      <c r="V883" s="8">
        <v>8</v>
      </c>
      <c r="W883" t="s">
        <v>473</v>
      </c>
      <c r="X883" t="s">
        <v>473</v>
      </c>
      <c r="Y883" t="s">
        <v>473</v>
      </c>
      <c r="Z883" t="s">
        <v>473</v>
      </c>
      <c r="AA883" t="s">
        <v>473</v>
      </c>
      <c r="AB883" t="s">
        <v>473</v>
      </c>
      <c r="AC883" s="10">
        <v>3</v>
      </c>
      <c r="AD883" s="10">
        <v>11</v>
      </c>
      <c r="AE883" t="s">
        <v>473</v>
      </c>
    </row>
    <row r="884" spans="1:31" x14ac:dyDescent="0.25">
      <c r="A884">
        <v>8916</v>
      </c>
      <c r="B884">
        <v>1975</v>
      </c>
      <c r="C884" t="s">
        <v>466</v>
      </c>
      <c r="D884" t="s">
        <v>37</v>
      </c>
      <c r="E884" t="str">
        <f>IF(OR(Table1[[#This Row],[marital_status]]="Married", Table1[[#This Row],[marital_status]]="Together"), "Partnered", "Single")</f>
        <v>Single</v>
      </c>
      <c r="F884" s="7">
        <v>36627</v>
      </c>
      <c r="G884" s="8">
        <v>2</v>
      </c>
      <c r="H884" s="8">
        <v>0</v>
      </c>
      <c r="I884" s="8">
        <f>Table1[[#This Row],[kids]]+Table1[[#This Row],[teens]]</f>
        <v>2</v>
      </c>
      <c r="J884" s="9">
        <v>41478</v>
      </c>
      <c r="K884" s="8">
        <v>78</v>
      </c>
      <c r="L884" s="6">
        <v>9</v>
      </c>
      <c r="M884" s="5">
        <v>1</v>
      </c>
      <c r="N884" s="5">
        <v>5</v>
      </c>
      <c r="O884" s="5">
        <v>0</v>
      </c>
      <c r="P884" s="5">
        <v>0</v>
      </c>
      <c r="Q884" s="5">
        <v>1</v>
      </c>
      <c r="R884" s="8">
        <v>1</v>
      </c>
      <c r="S884" s="8">
        <v>0</v>
      </c>
      <c r="T884" s="8">
        <v>0</v>
      </c>
      <c r="U884" s="8">
        <v>3</v>
      </c>
      <c r="V884" s="8">
        <v>5</v>
      </c>
      <c r="W884" t="s">
        <v>473</v>
      </c>
      <c r="X884" t="s">
        <v>473</v>
      </c>
      <c r="Y884" t="s">
        <v>473</v>
      </c>
      <c r="Z884" t="s">
        <v>473</v>
      </c>
      <c r="AA884" t="s">
        <v>473</v>
      </c>
      <c r="AB884" t="s">
        <v>473</v>
      </c>
      <c r="AC884" s="10">
        <v>3</v>
      </c>
      <c r="AD884" s="10">
        <v>11</v>
      </c>
      <c r="AE884" t="s">
        <v>473</v>
      </c>
    </row>
    <row r="885" spans="1:31" x14ac:dyDescent="0.25">
      <c r="A885">
        <v>8017</v>
      </c>
      <c r="B885">
        <v>1981</v>
      </c>
      <c r="C885" t="s">
        <v>46</v>
      </c>
      <c r="D885" t="s">
        <v>34</v>
      </c>
      <c r="E885" t="str">
        <f>IF(OR(Table1[[#This Row],[marital_status]]="Married", Table1[[#This Row],[marital_status]]="Together"), "Partnered", "Single")</f>
        <v>Partnered</v>
      </c>
      <c r="F885" s="7">
        <v>51111</v>
      </c>
      <c r="G885" s="8">
        <v>1</v>
      </c>
      <c r="H885" s="8">
        <v>1</v>
      </c>
      <c r="I885" s="8">
        <f>Table1[[#This Row],[kids]]+Table1[[#This Row],[teens]]</f>
        <v>2</v>
      </c>
      <c r="J885" s="9">
        <v>41809</v>
      </c>
      <c r="K885" s="8">
        <v>83</v>
      </c>
      <c r="L885" s="6">
        <v>22</v>
      </c>
      <c r="M885" s="5">
        <v>0</v>
      </c>
      <c r="N885" s="5">
        <v>19</v>
      </c>
      <c r="O885" s="5">
        <v>6</v>
      </c>
      <c r="P885" s="5">
        <v>5</v>
      </c>
      <c r="Q885" s="5">
        <v>3</v>
      </c>
      <c r="R885" s="8">
        <v>2</v>
      </c>
      <c r="S885" s="8">
        <v>2</v>
      </c>
      <c r="T885" s="8">
        <v>0</v>
      </c>
      <c r="U885" s="8">
        <v>3</v>
      </c>
      <c r="V885" s="8">
        <v>6</v>
      </c>
      <c r="W885" t="s">
        <v>473</v>
      </c>
      <c r="X885" t="s">
        <v>473</v>
      </c>
      <c r="Y885" t="s">
        <v>473</v>
      </c>
      <c r="Z885" t="s">
        <v>473</v>
      </c>
      <c r="AA885" t="s">
        <v>473</v>
      </c>
      <c r="AB885" t="s">
        <v>473</v>
      </c>
      <c r="AC885" s="10">
        <v>3</v>
      </c>
      <c r="AD885" s="10">
        <v>11</v>
      </c>
      <c r="AE885" t="s">
        <v>473</v>
      </c>
    </row>
    <row r="886" spans="1:31" x14ac:dyDescent="0.25">
      <c r="A886">
        <v>5830</v>
      </c>
      <c r="B886">
        <v>1972</v>
      </c>
      <c r="C886" t="s">
        <v>33</v>
      </c>
      <c r="D886" t="s">
        <v>30</v>
      </c>
      <c r="E886" t="str">
        <f>IF(OR(Table1[[#This Row],[marital_status]]="Married", Table1[[#This Row],[marital_status]]="Together"), "Partnered", "Single")</f>
        <v>Single</v>
      </c>
      <c r="F886" s="7">
        <v>86857</v>
      </c>
      <c r="G886" s="8">
        <v>0</v>
      </c>
      <c r="H886" s="8">
        <v>0</v>
      </c>
      <c r="I886" s="8">
        <f>Table1[[#This Row],[kids]]+Table1[[#This Row],[teens]]</f>
        <v>0</v>
      </c>
      <c r="J886" s="9">
        <v>41164</v>
      </c>
      <c r="K886" s="8">
        <v>96</v>
      </c>
      <c r="L886" s="6">
        <v>899</v>
      </c>
      <c r="M886" s="5">
        <v>102</v>
      </c>
      <c r="N886" s="5">
        <v>838</v>
      </c>
      <c r="O886" s="5">
        <v>133</v>
      </c>
      <c r="P886" s="5">
        <v>102</v>
      </c>
      <c r="Q886" s="5">
        <v>40</v>
      </c>
      <c r="R886" s="8">
        <v>1</v>
      </c>
      <c r="S886" s="8">
        <v>5</v>
      </c>
      <c r="T886" s="8">
        <v>6</v>
      </c>
      <c r="U886" s="8">
        <v>10</v>
      </c>
      <c r="V886" s="8">
        <v>2</v>
      </c>
      <c r="W886" t="s">
        <v>473</v>
      </c>
      <c r="X886" t="s">
        <v>473</v>
      </c>
      <c r="Y886" t="s">
        <v>473</v>
      </c>
      <c r="Z886" t="s">
        <v>473</v>
      </c>
      <c r="AA886" t="s">
        <v>473</v>
      </c>
      <c r="AB886" t="s">
        <v>473</v>
      </c>
      <c r="AC886" s="10">
        <v>3</v>
      </c>
      <c r="AD886" s="10">
        <v>11</v>
      </c>
      <c r="AE886" t="s">
        <v>474</v>
      </c>
    </row>
    <row r="887" spans="1:31" x14ac:dyDescent="0.25">
      <c r="A887">
        <v>4597</v>
      </c>
      <c r="B887">
        <v>1970</v>
      </c>
      <c r="C887" t="s">
        <v>33</v>
      </c>
      <c r="D887" t="s">
        <v>31</v>
      </c>
      <c r="E887" t="str">
        <f>IF(OR(Table1[[#This Row],[marital_status]]="Married", Table1[[#This Row],[marital_status]]="Together"), "Partnered", "Single")</f>
        <v>Partnered</v>
      </c>
      <c r="F887" s="7">
        <v>82072</v>
      </c>
      <c r="G887" s="8">
        <v>0</v>
      </c>
      <c r="H887" s="8">
        <v>0</v>
      </c>
      <c r="I887" s="8">
        <f>Table1[[#This Row],[kids]]+Table1[[#This Row],[teens]]</f>
        <v>0</v>
      </c>
      <c r="J887" s="9">
        <v>41457</v>
      </c>
      <c r="K887" s="8">
        <v>67</v>
      </c>
      <c r="L887" s="6">
        <v>889</v>
      </c>
      <c r="M887" s="5">
        <v>55</v>
      </c>
      <c r="N887" s="5">
        <v>685</v>
      </c>
      <c r="O887" s="5">
        <v>168</v>
      </c>
      <c r="P887" s="5">
        <v>92</v>
      </c>
      <c r="Q887" s="5">
        <v>129</v>
      </c>
      <c r="R887" s="8">
        <v>1</v>
      </c>
      <c r="S887" s="8">
        <v>3</v>
      </c>
      <c r="T887" s="8">
        <v>2</v>
      </c>
      <c r="U887" s="8">
        <v>13</v>
      </c>
      <c r="V887" s="8">
        <v>1</v>
      </c>
      <c r="W887" t="s">
        <v>473</v>
      </c>
      <c r="X887" t="s">
        <v>473</v>
      </c>
      <c r="Y887" t="s">
        <v>473</v>
      </c>
      <c r="Z887" t="s">
        <v>473</v>
      </c>
      <c r="AA887" t="s">
        <v>473</v>
      </c>
      <c r="AB887" t="s">
        <v>473</v>
      </c>
      <c r="AC887" s="10">
        <v>3</v>
      </c>
      <c r="AD887" s="10">
        <v>11</v>
      </c>
      <c r="AE887" t="s">
        <v>473</v>
      </c>
    </row>
    <row r="888" spans="1:31" x14ac:dyDescent="0.25">
      <c r="A888">
        <v>7023</v>
      </c>
      <c r="B888">
        <v>1953</v>
      </c>
      <c r="C888" t="s">
        <v>33</v>
      </c>
      <c r="D888" t="s">
        <v>30</v>
      </c>
      <c r="E888" t="str">
        <f>IF(OR(Table1[[#This Row],[marital_status]]="Married", Table1[[#This Row],[marital_status]]="Together"), "Partnered", "Single")</f>
        <v>Single</v>
      </c>
      <c r="F888" s="7">
        <v>46231</v>
      </c>
      <c r="G888" s="8">
        <v>2</v>
      </c>
      <c r="H888" s="8">
        <v>1</v>
      </c>
      <c r="I888" s="8">
        <f>Table1[[#This Row],[kids]]+Table1[[#This Row],[teens]]</f>
        <v>3</v>
      </c>
      <c r="J888" s="9">
        <v>41239</v>
      </c>
      <c r="K888" s="8">
        <v>87</v>
      </c>
      <c r="L888" s="6">
        <v>189</v>
      </c>
      <c r="M888" s="5">
        <v>2</v>
      </c>
      <c r="N888" s="5">
        <v>55</v>
      </c>
      <c r="O888" s="5">
        <v>0</v>
      </c>
      <c r="P888" s="5">
        <v>5</v>
      </c>
      <c r="Q888" s="5">
        <v>12</v>
      </c>
      <c r="R888" s="8">
        <v>4</v>
      </c>
      <c r="S888" s="8">
        <v>6</v>
      </c>
      <c r="T888" s="8">
        <v>1</v>
      </c>
      <c r="U888" s="8">
        <v>4</v>
      </c>
      <c r="V888" s="8">
        <v>9</v>
      </c>
      <c r="W888" t="s">
        <v>473</v>
      </c>
      <c r="X888" t="s">
        <v>473</v>
      </c>
      <c r="Y888" t="s">
        <v>473</v>
      </c>
      <c r="Z888" t="s">
        <v>473</v>
      </c>
      <c r="AA888" t="s">
        <v>473</v>
      </c>
      <c r="AB888" t="s">
        <v>473</v>
      </c>
      <c r="AC888" s="10">
        <v>3</v>
      </c>
      <c r="AD888" s="10">
        <v>11</v>
      </c>
      <c r="AE888" t="s">
        <v>473</v>
      </c>
    </row>
    <row r="889" spans="1:31" x14ac:dyDescent="0.25">
      <c r="A889">
        <v>8086</v>
      </c>
      <c r="B889">
        <v>1959</v>
      </c>
      <c r="C889" t="s">
        <v>466</v>
      </c>
      <c r="D889" t="s">
        <v>34</v>
      </c>
      <c r="E889" t="str">
        <f>IF(OR(Table1[[#This Row],[marital_status]]="Married", Table1[[#This Row],[marital_status]]="Together"), "Partnered", "Single")</f>
        <v>Partnered</v>
      </c>
      <c r="F889" s="7">
        <v>42243</v>
      </c>
      <c r="G889" s="8">
        <v>1</v>
      </c>
      <c r="H889" s="8">
        <v>1</v>
      </c>
      <c r="I889" s="8">
        <f>Table1[[#This Row],[kids]]+Table1[[#This Row],[teens]]</f>
        <v>2</v>
      </c>
      <c r="J889" s="9">
        <v>41619</v>
      </c>
      <c r="K889" s="8">
        <v>34</v>
      </c>
      <c r="L889" s="6">
        <v>48</v>
      </c>
      <c r="M889" s="5">
        <v>0</v>
      </c>
      <c r="N889" s="5">
        <v>2</v>
      </c>
      <c r="O889" s="5">
        <v>0</v>
      </c>
      <c r="P889" s="5">
        <v>0</v>
      </c>
      <c r="Q889" s="5">
        <v>5</v>
      </c>
      <c r="R889" s="8">
        <v>2</v>
      </c>
      <c r="S889" s="8">
        <v>2</v>
      </c>
      <c r="T889" s="8">
        <v>0</v>
      </c>
      <c r="U889" s="8">
        <v>3</v>
      </c>
      <c r="V889" s="8">
        <v>7</v>
      </c>
      <c r="W889" t="s">
        <v>473</v>
      </c>
      <c r="X889" t="s">
        <v>473</v>
      </c>
      <c r="Y889" t="s">
        <v>473</v>
      </c>
      <c r="Z889" t="s">
        <v>473</v>
      </c>
      <c r="AA889" t="s">
        <v>473</v>
      </c>
      <c r="AB889" t="s">
        <v>473</v>
      </c>
      <c r="AC889" s="10">
        <v>3</v>
      </c>
      <c r="AD889" s="10">
        <v>11</v>
      </c>
      <c r="AE889" t="s">
        <v>473</v>
      </c>
    </row>
    <row r="890" spans="1:31" x14ac:dyDescent="0.25">
      <c r="A890">
        <v>8825</v>
      </c>
      <c r="B890">
        <v>1962</v>
      </c>
      <c r="C890" t="s">
        <v>466</v>
      </c>
      <c r="D890" t="s">
        <v>31</v>
      </c>
      <c r="E890" t="str">
        <f>IF(OR(Table1[[#This Row],[marital_status]]="Married", Table1[[#This Row],[marital_status]]="Together"), "Partnered", "Single")</f>
        <v>Partnered</v>
      </c>
      <c r="F890" s="7">
        <v>51195</v>
      </c>
      <c r="G890" s="8">
        <v>1</v>
      </c>
      <c r="H890" s="8">
        <v>1</v>
      </c>
      <c r="I890" s="8">
        <f>Table1[[#This Row],[kids]]+Table1[[#This Row],[teens]]</f>
        <v>2</v>
      </c>
      <c r="J890" s="9">
        <v>41365</v>
      </c>
      <c r="K890" s="8">
        <v>46</v>
      </c>
      <c r="L890" s="6">
        <v>230</v>
      </c>
      <c r="M890" s="5">
        <v>14</v>
      </c>
      <c r="N890" s="5">
        <v>156</v>
      </c>
      <c r="O890" s="5">
        <v>82</v>
      </c>
      <c r="P890" s="5">
        <v>24</v>
      </c>
      <c r="Q890" s="5">
        <v>58</v>
      </c>
      <c r="R890" s="8">
        <v>8</v>
      </c>
      <c r="S890" s="8">
        <v>9</v>
      </c>
      <c r="T890" s="8">
        <v>2</v>
      </c>
      <c r="U890" s="8">
        <v>5</v>
      </c>
      <c r="V890" s="8">
        <v>8</v>
      </c>
      <c r="W890" t="s">
        <v>473</v>
      </c>
      <c r="X890" t="s">
        <v>473</v>
      </c>
      <c r="Y890" t="s">
        <v>473</v>
      </c>
      <c r="Z890" t="s">
        <v>473</v>
      </c>
      <c r="AA890" t="s">
        <v>473</v>
      </c>
      <c r="AB890" t="s">
        <v>473</v>
      </c>
      <c r="AC890" s="10">
        <v>3</v>
      </c>
      <c r="AD890" s="10">
        <v>11</v>
      </c>
      <c r="AE890" t="s">
        <v>473</v>
      </c>
    </row>
    <row r="891" spans="1:31" x14ac:dyDescent="0.25">
      <c r="A891">
        <v>2930</v>
      </c>
      <c r="B891">
        <v>1978</v>
      </c>
      <c r="C891" t="s">
        <v>36</v>
      </c>
      <c r="D891" t="s">
        <v>30</v>
      </c>
      <c r="E891" t="str">
        <f>IF(OR(Table1[[#This Row],[marital_status]]="Married", Table1[[#This Row],[marital_status]]="Together"), "Partnered", "Single")</f>
        <v>Single</v>
      </c>
      <c r="F891" s="7">
        <v>68092</v>
      </c>
      <c r="G891" s="8">
        <v>0</v>
      </c>
      <c r="H891" s="8">
        <v>0</v>
      </c>
      <c r="I891" s="8">
        <f>Table1[[#This Row],[kids]]+Table1[[#This Row],[teens]]</f>
        <v>0</v>
      </c>
      <c r="J891" s="9">
        <v>41624</v>
      </c>
      <c r="K891" s="8">
        <v>7</v>
      </c>
      <c r="L891" s="6">
        <v>852</v>
      </c>
      <c r="M891" s="5">
        <v>60</v>
      </c>
      <c r="N891" s="5">
        <v>207</v>
      </c>
      <c r="O891" s="5">
        <v>78</v>
      </c>
      <c r="P891" s="5">
        <v>36</v>
      </c>
      <c r="Q891" s="5">
        <v>48</v>
      </c>
      <c r="R891" s="8">
        <v>2</v>
      </c>
      <c r="S891" s="8">
        <v>2</v>
      </c>
      <c r="T891" s="8">
        <v>6</v>
      </c>
      <c r="U891" s="8">
        <v>10</v>
      </c>
      <c r="V891" s="8">
        <v>5</v>
      </c>
      <c r="W891" t="s">
        <v>473</v>
      </c>
      <c r="X891" t="s">
        <v>473</v>
      </c>
      <c r="Y891" t="s">
        <v>473</v>
      </c>
      <c r="Z891" t="s">
        <v>473</v>
      </c>
      <c r="AA891" t="s">
        <v>473</v>
      </c>
      <c r="AB891" t="s">
        <v>473</v>
      </c>
      <c r="AC891" s="10">
        <v>3</v>
      </c>
      <c r="AD891" s="10">
        <v>11</v>
      </c>
      <c r="AE891" t="s">
        <v>473</v>
      </c>
    </row>
    <row r="892" spans="1:31" x14ac:dyDescent="0.25">
      <c r="A892">
        <v>1928</v>
      </c>
      <c r="B892">
        <v>1973</v>
      </c>
      <c r="C892" t="s">
        <v>466</v>
      </c>
      <c r="D892" t="s">
        <v>34</v>
      </c>
      <c r="E892" t="str">
        <f>IF(OR(Table1[[#This Row],[marital_status]]="Married", Table1[[#This Row],[marital_status]]="Together"), "Partnered", "Single")</f>
        <v>Partnered</v>
      </c>
      <c r="F892" s="7">
        <v>31814</v>
      </c>
      <c r="G892" s="8">
        <v>1</v>
      </c>
      <c r="H892" s="8">
        <v>0</v>
      </c>
      <c r="I892" s="8">
        <f>Table1[[#This Row],[kids]]+Table1[[#This Row],[teens]]</f>
        <v>1</v>
      </c>
      <c r="J892" s="9">
        <v>41314</v>
      </c>
      <c r="K892" s="8">
        <v>73</v>
      </c>
      <c r="L892" s="6">
        <v>35</v>
      </c>
      <c r="M892" s="5">
        <v>3</v>
      </c>
      <c r="N892" s="5">
        <v>20</v>
      </c>
      <c r="O892" s="5">
        <v>4</v>
      </c>
      <c r="P892" s="5">
        <v>1</v>
      </c>
      <c r="Q892" s="5">
        <v>20</v>
      </c>
      <c r="R892" s="8">
        <v>2</v>
      </c>
      <c r="S892" s="8">
        <v>2</v>
      </c>
      <c r="T892" s="8">
        <v>0</v>
      </c>
      <c r="U892" s="8">
        <v>3</v>
      </c>
      <c r="V892" s="8">
        <v>9</v>
      </c>
      <c r="W892" t="s">
        <v>474</v>
      </c>
      <c r="X892" t="s">
        <v>473</v>
      </c>
      <c r="Y892" t="s">
        <v>473</v>
      </c>
      <c r="Z892" t="s">
        <v>473</v>
      </c>
      <c r="AA892" t="s">
        <v>473</v>
      </c>
      <c r="AB892" t="s">
        <v>473</v>
      </c>
      <c r="AC892" s="10">
        <v>3</v>
      </c>
      <c r="AD892" s="10">
        <v>11</v>
      </c>
      <c r="AE892" t="s">
        <v>473</v>
      </c>
    </row>
    <row r="893" spans="1:31" x14ac:dyDescent="0.25">
      <c r="A893">
        <v>7108</v>
      </c>
      <c r="B893">
        <v>1965</v>
      </c>
      <c r="C893" t="s">
        <v>36</v>
      </c>
      <c r="D893" t="s">
        <v>57</v>
      </c>
      <c r="E893" t="str">
        <f>IF(OR(Table1[[#This Row],[marital_status]]="Married", Table1[[#This Row],[marital_status]]="Together"), "Partnered", "Single")</f>
        <v>Single</v>
      </c>
      <c r="F893" s="7">
        <v>51390</v>
      </c>
      <c r="G893" s="8">
        <v>1</v>
      </c>
      <c r="H893" s="8">
        <v>1</v>
      </c>
      <c r="I893" s="8">
        <f>Table1[[#This Row],[kids]]+Table1[[#This Row],[teens]]</f>
        <v>2</v>
      </c>
      <c r="J893" s="9">
        <v>41160</v>
      </c>
      <c r="K893" s="8">
        <v>54</v>
      </c>
      <c r="L893" s="6">
        <v>205</v>
      </c>
      <c r="M893" s="5">
        <v>20</v>
      </c>
      <c r="N893" s="5">
        <v>47</v>
      </c>
      <c r="O893" s="5">
        <v>23</v>
      </c>
      <c r="P893" s="5">
        <v>2</v>
      </c>
      <c r="Q893" s="5">
        <v>56</v>
      </c>
      <c r="R893" s="8">
        <v>6</v>
      </c>
      <c r="S893" s="8">
        <v>5</v>
      </c>
      <c r="T893" s="8">
        <v>2</v>
      </c>
      <c r="U893" s="8">
        <v>5</v>
      </c>
      <c r="V893" s="8">
        <v>5</v>
      </c>
      <c r="W893" t="s">
        <v>473</v>
      </c>
      <c r="X893" t="s">
        <v>473</v>
      </c>
      <c r="Y893" t="s">
        <v>473</v>
      </c>
      <c r="Z893" t="s">
        <v>473</v>
      </c>
      <c r="AA893" t="s">
        <v>473</v>
      </c>
      <c r="AB893" t="s">
        <v>473</v>
      </c>
      <c r="AC893" s="10">
        <v>3</v>
      </c>
      <c r="AD893" s="10">
        <v>11</v>
      </c>
      <c r="AE893" t="s">
        <v>473</v>
      </c>
    </row>
    <row r="894" spans="1:31" x14ac:dyDescent="0.25">
      <c r="A894">
        <v>10925</v>
      </c>
      <c r="B894">
        <v>1983</v>
      </c>
      <c r="C894" t="s">
        <v>466</v>
      </c>
      <c r="D894" t="s">
        <v>34</v>
      </c>
      <c r="E894" t="str">
        <f>IF(OR(Table1[[#This Row],[marital_status]]="Married", Table1[[#This Row],[marital_status]]="Together"), "Partnered", "Single")</f>
        <v>Partnered</v>
      </c>
      <c r="F894" s="7">
        <v>76630</v>
      </c>
      <c r="G894" s="8">
        <v>0</v>
      </c>
      <c r="H894" s="8">
        <v>0</v>
      </c>
      <c r="I894" s="8">
        <f>Table1[[#This Row],[kids]]+Table1[[#This Row],[teens]]</f>
        <v>0</v>
      </c>
      <c r="J894" s="9">
        <v>41653</v>
      </c>
      <c r="K894" s="8">
        <v>93</v>
      </c>
      <c r="L894" s="6">
        <v>255</v>
      </c>
      <c r="M894" s="5">
        <v>31</v>
      </c>
      <c r="N894" s="5">
        <v>446</v>
      </c>
      <c r="O894" s="5">
        <v>40</v>
      </c>
      <c r="P894" s="5">
        <v>56</v>
      </c>
      <c r="Q894" s="5">
        <v>175</v>
      </c>
      <c r="R894" s="8">
        <v>1</v>
      </c>
      <c r="S894" s="8">
        <v>3</v>
      </c>
      <c r="T894" s="8">
        <v>10</v>
      </c>
      <c r="U894" s="8">
        <v>11</v>
      </c>
      <c r="V894" s="8">
        <v>1</v>
      </c>
      <c r="W894" t="s">
        <v>473</v>
      </c>
      <c r="X894" t="s">
        <v>473</v>
      </c>
      <c r="Y894" t="s">
        <v>473</v>
      </c>
      <c r="Z894" t="s">
        <v>473</v>
      </c>
      <c r="AA894" t="s">
        <v>473</v>
      </c>
      <c r="AB894" t="s">
        <v>473</v>
      </c>
      <c r="AC894" s="10">
        <v>3</v>
      </c>
      <c r="AD894" s="10">
        <v>11</v>
      </c>
      <c r="AE894" t="s">
        <v>473</v>
      </c>
    </row>
    <row r="895" spans="1:31" x14ac:dyDescent="0.25">
      <c r="A895">
        <v>9960</v>
      </c>
      <c r="B895">
        <v>1991</v>
      </c>
      <c r="C895" t="s">
        <v>41</v>
      </c>
      <c r="D895" t="s">
        <v>30</v>
      </c>
      <c r="E895" t="str">
        <f>IF(OR(Table1[[#This Row],[marital_status]]="Married", Table1[[#This Row],[marital_status]]="Together"), "Partnered", "Single")</f>
        <v>Single</v>
      </c>
      <c r="F895" s="7">
        <v>26868</v>
      </c>
      <c r="G895" s="8">
        <v>1</v>
      </c>
      <c r="H895" s="8">
        <v>0</v>
      </c>
      <c r="I895" s="8">
        <f>Table1[[#This Row],[kids]]+Table1[[#This Row],[teens]]</f>
        <v>1</v>
      </c>
      <c r="J895" s="9">
        <v>41759</v>
      </c>
      <c r="K895" s="8">
        <v>52</v>
      </c>
      <c r="L895" s="6">
        <v>0</v>
      </c>
      <c r="M895" s="5">
        <v>0</v>
      </c>
      <c r="N895" s="5">
        <v>1</v>
      </c>
      <c r="O895" s="5">
        <v>8</v>
      </c>
      <c r="P895" s="5">
        <v>3</v>
      </c>
      <c r="Q895" s="5">
        <v>2</v>
      </c>
      <c r="R895" s="8">
        <v>1</v>
      </c>
      <c r="S895" s="8">
        <v>1</v>
      </c>
      <c r="T895" s="8">
        <v>0</v>
      </c>
      <c r="U895" s="8">
        <v>2</v>
      </c>
      <c r="V895" s="8">
        <v>7</v>
      </c>
      <c r="W895" t="s">
        <v>473</v>
      </c>
      <c r="X895" t="s">
        <v>473</v>
      </c>
      <c r="Y895" t="s">
        <v>473</v>
      </c>
      <c r="Z895" t="s">
        <v>473</v>
      </c>
      <c r="AA895" t="s">
        <v>473</v>
      </c>
      <c r="AB895" t="s">
        <v>473</v>
      </c>
      <c r="AC895" s="10">
        <v>3</v>
      </c>
      <c r="AD895" s="10">
        <v>11</v>
      </c>
      <c r="AE895" t="s">
        <v>473</v>
      </c>
    </row>
    <row r="896" spans="1:31" x14ac:dyDescent="0.25">
      <c r="A896">
        <v>8800</v>
      </c>
      <c r="B896">
        <v>1943</v>
      </c>
      <c r="C896" t="s">
        <v>33</v>
      </c>
      <c r="D896" t="s">
        <v>37</v>
      </c>
      <c r="E896" t="str">
        <f>IF(OR(Table1[[#This Row],[marital_status]]="Married", Table1[[#This Row],[marital_status]]="Together"), "Partnered", "Single")</f>
        <v>Single</v>
      </c>
      <c r="F896" s="7">
        <v>48948</v>
      </c>
      <c r="G896" s="8">
        <v>0</v>
      </c>
      <c r="H896" s="8">
        <v>0</v>
      </c>
      <c r="I896" s="8">
        <f>Table1[[#This Row],[kids]]+Table1[[#This Row],[teens]]</f>
        <v>0</v>
      </c>
      <c r="J896" s="9">
        <v>41306</v>
      </c>
      <c r="K896" s="8">
        <v>53</v>
      </c>
      <c r="L896" s="6">
        <v>437</v>
      </c>
      <c r="M896" s="5">
        <v>8</v>
      </c>
      <c r="N896" s="5">
        <v>206</v>
      </c>
      <c r="O896" s="5">
        <v>160</v>
      </c>
      <c r="P896" s="5">
        <v>49</v>
      </c>
      <c r="Q896" s="5">
        <v>42</v>
      </c>
      <c r="R896" s="8">
        <v>2</v>
      </c>
      <c r="S896" s="8">
        <v>7</v>
      </c>
      <c r="T896" s="8">
        <v>10</v>
      </c>
      <c r="U896" s="8">
        <v>5</v>
      </c>
      <c r="V896" s="8">
        <v>6</v>
      </c>
      <c r="W896" t="s">
        <v>474</v>
      </c>
      <c r="X896" t="s">
        <v>473</v>
      </c>
      <c r="Y896" t="s">
        <v>473</v>
      </c>
      <c r="Z896" t="s">
        <v>473</v>
      </c>
      <c r="AA896" t="s">
        <v>473</v>
      </c>
      <c r="AB896" t="s">
        <v>473</v>
      </c>
      <c r="AC896" s="10">
        <v>3</v>
      </c>
      <c r="AD896" s="10">
        <v>11</v>
      </c>
      <c r="AE896" t="s">
        <v>474</v>
      </c>
    </row>
    <row r="897" spans="1:31" x14ac:dyDescent="0.25">
      <c r="A897">
        <v>9224</v>
      </c>
      <c r="B897">
        <v>1972</v>
      </c>
      <c r="C897" t="s">
        <v>33</v>
      </c>
      <c r="D897" t="s">
        <v>30</v>
      </c>
      <c r="E897" t="str">
        <f>IF(OR(Table1[[#This Row],[marital_status]]="Married", Table1[[#This Row],[marital_status]]="Together"), "Partnered", "Single")</f>
        <v>Single</v>
      </c>
      <c r="F897" s="7">
        <v>55260</v>
      </c>
      <c r="G897" s="8">
        <v>0</v>
      </c>
      <c r="H897" s="8">
        <v>1</v>
      </c>
      <c r="I897" s="8">
        <f>Table1[[#This Row],[kids]]+Table1[[#This Row],[teens]]</f>
        <v>1</v>
      </c>
      <c r="J897" s="9">
        <v>41255</v>
      </c>
      <c r="K897" s="8">
        <v>81</v>
      </c>
      <c r="L897" s="6">
        <v>825</v>
      </c>
      <c r="M897" s="5">
        <v>8</v>
      </c>
      <c r="N897" s="5">
        <v>53</v>
      </c>
      <c r="O897" s="5">
        <v>11</v>
      </c>
      <c r="P897" s="5">
        <v>0</v>
      </c>
      <c r="Q897" s="5">
        <v>242</v>
      </c>
      <c r="R897" s="8">
        <v>2</v>
      </c>
      <c r="S897" s="8">
        <v>8</v>
      </c>
      <c r="T897" s="8">
        <v>10</v>
      </c>
      <c r="U897" s="8">
        <v>5</v>
      </c>
      <c r="V897" s="8">
        <v>6</v>
      </c>
      <c r="W897" t="s">
        <v>473</v>
      </c>
      <c r="X897" t="s">
        <v>473</v>
      </c>
      <c r="Y897" t="s">
        <v>473</v>
      </c>
      <c r="Z897" t="s">
        <v>473</v>
      </c>
      <c r="AA897" t="s">
        <v>473</v>
      </c>
      <c r="AB897" t="s">
        <v>473</v>
      </c>
      <c r="AC897" s="10">
        <v>3</v>
      </c>
      <c r="AD897" s="10">
        <v>11</v>
      </c>
      <c r="AE897" t="s">
        <v>473</v>
      </c>
    </row>
    <row r="898" spans="1:31" x14ac:dyDescent="0.25">
      <c r="A898">
        <v>5519</v>
      </c>
      <c r="B898">
        <v>1956</v>
      </c>
      <c r="C898" t="s">
        <v>466</v>
      </c>
      <c r="D898" t="s">
        <v>31</v>
      </c>
      <c r="E898" t="str">
        <f>IF(OR(Table1[[#This Row],[marital_status]]="Married", Table1[[#This Row],[marital_status]]="Together"), "Partnered", "Single")</f>
        <v>Partnered</v>
      </c>
      <c r="F898" s="7">
        <v>64090</v>
      </c>
      <c r="G898" s="8">
        <v>0</v>
      </c>
      <c r="H898" s="8">
        <v>1</v>
      </c>
      <c r="I898" s="8">
        <f>Table1[[#This Row],[kids]]+Table1[[#This Row],[teens]]</f>
        <v>1</v>
      </c>
      <c r="J898" s="9">
        <v>41493</v>
      </c>
      <c r="K898" s="8">
        <v>8</v>
      </c>
      <c r="L898" s="6">
        <v>316</v>
      </c>
      <c r="M898" s="5">
        <v>58</v>
      </c>
      <c r="N898" s="5">
        <v>161</v>
      </c>
      <c r="O898" s="5">
        <v>76</v>
      </c>
      <c r="P898" s="5">
        <v>51</v>
      </c>
      <c r="Q898" s="5">
        <v>135</v>
      </c>
      <c r="R898" s="8">
        <v>1</v>
      </c>
      <c r="S898" s="8">
        <v>6</v>
      </c>
      <c r="T898" s="8">
        <v>9</v>
      </c>
      <c r="U898" s="8">
        <v>4</v>
      </c>
      <c r="V898" s="8">
        <v>5</v>
      </c>
      <c r="W898" t="s">
        <v>473</v>
      </c>
      <c r="X898" t="s">
        <v>473</v>
      </c>
      <c r="Y898" t="s">
        <v>473</v>
      </c>
      <c r="Z898" t="s">
        <v>473</v>
      </c>
      <c r="AA898" t="s">
        <v>473</v>
      </c>
      <c r="AB898" t="s">
        <v>473</v>
      </c>
      <c r="AC898" s="10">
        <v>3</v>
      </c>
      <c r="AD898" s="10">
        <v>11</v>
      </c>
      <c r="AE898" t="s">
        <v>474</v>
      </c>
    </row>
    <row r="899" spans="1:31" x14ac:dyDescent="0.25">
      <c r="A899">
        <v>5046</v>
      </c>
      <c r="B899">
        <v>1958</v>
      </c>
      <c r="C899" t="s">
        <v>466</v>
      </c>
      <c r="D899" t="s">
        <v>37</v>
      </c>
      <c r="E899" t="str">
        <f>IF(OR(Table1[[#This Row],[marital_status]]="Married", Table1[[#This Row],[marital_status]]="Together"), "Partnered", "Single")</f>
        <v>Single</v>
      </c>
      <c r="F899" s="7">
        <v>78331</v>
      </c>
      <c r="G899" s="8">
        <v>0</v>
      </c>
      <c r="H899" s="8">
        <v>1</v>
      </c>
      <c r="I899" s="8">
        <f>Table1[[#This Row],[kids]]+Table1[[#This Row],[teens]]</f>
        <v>1</v>
      </c>
      <c r="J899" s="9">
        <v>41662</v>
      </c>
      <c r="K899" s="8">
        <v>97</v>
      </c>
      <c r="L899" s="6">
        <v>756</v>
      </c>
      <c r="M899" s="5">
        <v>138</v>
      </c>
      <c r="N899" s="5">
        <v>354</v>
      </c>
      <c r="O899" s="5">
        <v>160</v>
      </c>
      <c r="P899" s="5">
        <v>169</v>
      </c>
      <c r="Q899" s="5">
        <v>61</v>
      </c>
      <c r="R899" s="8">
        <v>2</v>
      </c>
      <c r="S899" s="8">
        <v>10</v>
      </c>
      <c r="T899" s="8">
        <v>6</v>
      </c>
      <c r="U899" s="8">
        <v>7</v>
      </c>
      <c r="V899" s="8">
        <v>4</v>
      </c>
      <c r="W899" t="s">
        <v>473</v>
      </c>
      <c r="X899" t="s">
        <v>473</v>
      </c>
      <c r="Y899" t="s">
        <v>473</v>
      </c>
      <c r="Z899" t="s">
        <v>473</v>
      </c>
      <c r="AA899" t="s">
        <v>473</v>
      </c>
      <c r="AB899" t="s">
        <v>473</v>
      </c>
      <c r="AC899" s="10">
        <v>3</v>
      </c>
      <c r="AD899" s="10">
        <v>11</v>
      </c>
      <c r="AE899" t="s">
        <v>473</v>
      </c>
    </row>
    <row r="900" spans="1:31" x14ac:dyDescent="0.25">
      <c r="A900">
        <v>7037</v>
      </c>
      <c r="B900">
        <v>1974</v>
      </c>
      <c r="C900" t="s">
        <v>33</v>
      </c>
      <c r="D900" t="s">
        <v>34</v>
      </c>
      <c r="E900" t="str">
        <f>IF(OR(Table1[[#This Row],[marital_status]]="Married", Table1[[#This Row],[marital_status]]="Together"), "Partnered", "Single")</f>
        <v>Partnered</v>
      </c>
      <c r="F900" s="7">
        <v>37087</v>
      </c>
      <c r="G900" s="8">
        <v>1</v>
      </c>
      <c r="H900" s="8">
        <v>0</v>
      </c>
      <c r="I900" s="8">
        <f>Table1[[#This Row],[kids]]+Table1[[#This Row],[teens]]</f>
        <v>1</v>
      </c>
      <c r="J900" s="9">
        <v>41497</v>
      </c>
      <c r="K900" s="8">
        <v>50</v>
      </c>
      <c r="L900" s="6">
        <v>194</v>
      </c>
      <c r="M900" s="5">
        <v>55</v>
      </c>
      <c r="N900" s="5">
        <v>134</v>
      </c>
      <c r="O900" s="5">
        <v>15</v>
      </c>
      <c r="P900" s="5">
        <v>0</v>
      </c>
      <c r="Q900" s="5">
        <v>3</v>
      </c>
      <c r="R900" s="8">
        <v>3</v>
      </c>
      <c r="S900" s="8">
        <v>4</v>
      </c>
      <c r="T900" s="8">
        <v>2</v>
      </c>
      <c r="U900" s="8">
        <v>8</v>
      </c>
      <c r="V900" s="8">
        <v>6</v>
      </c>
      <c r="W900" t="s">
        <v>473</v>
      </c>
      <c r="X900" t="s">
        <v>473</v>
      </c>
      <c r="Y900" t="s">
        <v>473</v>
      </c>
      <c r="Z900" t="s">
        <v>473</v>
      </c>
      <c r="AA900" t="s">
        <v>473</v>
      </c>
      <c r="AB900" t="s">
        <v>473</v>
      </c>
      <c r="AC900" s="10">
        <v>3</v>
      </c>
      <c r="AD900" s="10">
        <v>11</v>
      </c>
      <c r="AE900" t="s">
        <v>473</v>
      </c>
    </row>
    <row r="901" spans="1:31" x14ac:dyDescent="0.25">
      <c r="A901">
        <v>905</v>
      </c>
      <c r="B901">
        <v>1986</v>
      </c>
      <c r="C901" t="s">
        <v>466</v>
      </c>
      <c r="D901" t="s">
        <v>37</v>
      </c>
      <c r="E901" t="str">
        <f>IF(OR(Table1[[#This Row],[marital_status]]="Married", Table1[[#This Row],[marital_status]]="Together"), "Partnered", "Single")</f>
        <v>Single</v>
      </c>
      <c r="F901" s="7">
        <v>21846</v>
      </c>
      <c r="G901" s="8">
        <v>1</v>
      </c>
      <c r="H901" s="8">
        <v>0</v>
      </c>
      <c r="I901" s="8">
        <f>Table1[[#This Row],[kids]]+Table1[[#This Row],[teens]]</f>
        <v>1</v>
      </c>
      <c r="J901" s="9">
        <v>41569</v>
      </c>
      <c r="K901" s="8">
        <v>38</v>
      </c>
      <c r="L901" s="6">
        <v>7</v>
      </c>
      <c r="M901" s="5">
        <v>17</v>
      </c>
      <c r="N901" s="5">
        <v>18</v>
      </c>
      <c r="O901" s="5">
        <v>6</v>
      </c>
      <c r="P901" s="5">
        <v>10</v>
      </c>
      <c r="Q901" s="5">
        <v>26</v>
      </c>
      <c r="R901" s="8">
        <v>4</v>
      </c>
      <c r="S901" s="8">
        <v>4</v>
      </c>
      <c r="T901" s="8">
        <v>0</v>
      </c>
      <c r="U901" s="8">
        <v>3</v>
      </c>
      <c r="V901" s="8">
        <v>8</v>
      </c>
      <c r="W901" t="s">
        <v>473</v>
      </c>
      <c r="X901" t="s">
        <v>473</v>
      </c>
      <c r="Y901" t="s">
        <v>473</v>
      </c>
      <c r="Z901" t="s">
        <v>473</v>
      </c>
      <c r="AA901" t="s">
        <v>473</v>
      </c>
      <c r="AB901" t="s">
        <v>473</v>
      </c>
      <c r="AC901" s="10">
        <v>3</v>
      </c>
      <c r="AD901" s="10">
        <v>11</v>
      </c>
      <c r="AE901" t="s">
        <v>473</v>
      </c>
    </row>
    <row r="902" spans="1:31" x14ac:dyDescent="0.25">
      <c r="A902">
        <v>8624</v>
      </c>
      <c r="B902">
        <v>1958</v>
      </c>
      <c r="C902" t="s">
        <v>466</v>
      </c>
      <c r="D902" t="s">
        <v>34</v>
      </c>
      <c r="E902" t="str">
        <f>IF(OR(Table1[[#This Row],[marital_status]]="Married", Table1[[#This Row],[marital_status]]="Together"), "Partnered", "Single")</f>
        <v>Partnered</v>
      </c>
      <c r="F902" s="7">
        <v>81320</v>
      </c>
      <c r="G902" s="8">
        <v>0</v>
      </c>
      <c r="H902" s="8">
        <v>0</v>
      </c>
      <c r="I902" s="8">
        <f>Table1[[#This Row],[kids]]+Table1[[#This Row],[teens]]</f>
        <v>0</v>
      </c>
      <c r="J902" s="9">
        <v>41311</v>
      </c>
      <c r="K902" s="8">
        <v>61</v>
      </c>
      <c r="L902" s="6">
        <v>183</v>
      </c>
      <c r="M902" s="5">
        <v>33</v>
      </c>
      <c r="N902" s="5">
        <v>493</v>
      </c>
      <c r="O902" s="5">
        <v>59</v>
      </c>
      <c r="P902" s="5">
        <v>103</v>
      </c>
      <c r="Q902" s="5">
        <v>57</v>
      </c>
      <c r="R902" s="8">
        <v>1</v>
      </c>
      <c r="S902" s="8">
        <v>4</v>
      </c>
      <c r="T902" s="8">
        <v>3</v>
      </c>
      <c r="U902" s="8">
        <v>10</v>
      </c>
      <c r="V902" s="8">
        <v>2</v>
      </c>
      <c r="W902" t="s">
        <v>473</v>
      </c>
      <c r="X902" t="s">
        <v>473</v>
      </c>
      <c r="Y902" t="s">
        <v>473</v>
      </c>
      <c r="Z902" t="s">
        <v>473</v>
      </c>
      <c r="AA902" t="s">
        <v>473</v>
      </c>
      <c r="AB902" t="s">
        <v>473</v>
      </c>
      <c r="AC902" s="10">
        <v>3</v>
      </c>
      <c r="AD902" s="10">
        <v>11</v>
      </c>
      <c r="AE902" t="s">
        <v>473</v>
      </c>
    </row>
    <row r="903" spans="1:31" x14ac:dyDescent="0.25">
      <c r="A903">
        <v>8945</v>
      </c>
      <c r="B903">
        <v>1970</v>
      </c>
      <c r="C903" t="s">
        <v>466</v>
      </c>
      <c r="D903" t="s">
        <v>37</v>
      </c>
      <c r="E903" t="str">
        <f>IF(OR(Table1[[#This Row],[marital_status]]="Married", Table1[[#This Row],[marital_status]]="Together"), "Partnered", "Single")</f>
        <v>Single</v>
      </c>
      <c r="F903" s="7">
        <v>54137</v>
      </c>
      <c r="G903" s="8">
        <v>0</v>
      </c>
      <c r="H903" s="8">
        <v>1</v>
      </c>
      <c r="I903" s="8">
        <f>Table1[[#This Row],[kids]]+Table1[[#This Row],[teens]]</f>
        <v>1</v>
      </c>
      <c r="J903" s="9">
        <v>41502</v>
      </c>
      <c r="K903" s="8">
        <v>46</v>
      </c>
      <c r="L903" s="6">
        <v>171</v>
      </c>
      <c r="M903" s="5">
        <v>0</v>
      </c>
      <c r="N903" s="5">
        <v>11</v>
      </c>
      <c r="O903" s="5">
        <v>0</v>
      </c>
      <c r="P903" s="5">
        <v>1</v>
      </c>
      <c r="Q903" s="5">
        <v>20</v>
      </c>
      <c r="R903" s="8">
        <v>2</v>
      </c>
      <c r="S903" s="8">
        <v>4</v>
      </c>
      <c r="T903" s="8">
        <v>1</v>
      </c>
      <c r="U903" s="8">
        <v>4</v>
      </c>
      <c r="V903" s="8">
        <v>6</v>
      </c>
      <c r="W903" t="s">
        <v>473</v>
      </c>
      <c r="X903" t="s">
        <v>473</v>
      </c>
      <c r="Y903" t="s">
        <v>473</v>
      </c>
      <c r="Z903" t="s">
        <v>473</v>
      </c>
      <c r="AA903" t="s">
        <v>473</v>
      </c>
      <c r="AB903" t="s">
        <v>473</v>
      </c>
      <c r="AC903" s="10">
        <v>3</v>
      </c>
      <c r="AD903" s="10">
        <v>11</v>
      </c>
      <c r="AE903" t="s">
        <v>473</v>
      </c>
    </row>
    <row r="904" spans="1:31" x14ac:dyDescent="0.25">
      <c r="A904">
        <v>6445</v>
      </c>
      <c r="B904">
        <v>1967</v>
      </c>
      <c r="C904" t="s">
        <v>466</v>
      </c>
      <c r="D904" t="s">
        <v>31</v>
      </c>
      <c r="E904" t="str">
        <f>IF(OR(Table1[[#This Row],[marital_status]]="Married", Table1[[#This Row],[marital_status]]="Together"), "Partnered", "Single")</f>
        <v>Partnered</v>
      </c>
      <c r="F904" s="7">
        <v>66825</v>
      </c>
      <c r="G904" s="8">
        <v>0</v>
      </c>
      <c r="H904" s="8">
        <v>0</v>
      </c>
      <c r="I904" s="8">
        <f>Table1[[#This Row],[kids]]+Table1[[#This Row],[teens]]</f>
        <v>0</v>
      </c>
      <c r="J904" s="9">
        <v>41469</v>
      </c>
      <c r="K904" s="8">
        <v>73</v>
      </c>
      <c r="L904" s="6">
        <v>243</v>
      </c>
      <c r="M904" s="5">
        <v>101</v>
      </c>
      <c r="N904" s="5">
        <v>405</v>
      </c>
      <c r="O904" s="5">
        <v>29</v>
      </c>
      <c r="P904" s="5">
        <v>40</v>
      </c>
      <c r="Q904" s="5">
        <v>40</v>
      </c>
      <c r="R904" s="8">
        <v>1</v>
      </c>
      <c r="S904" s="8">
        <v>4</v>
      </c>
      <c r="T904" s="8">
        <v>5</v>
      </c>
      <c r="U904" s="8">
        <v>6</v>
      </c>
      <c r="V904" s="8">
        <v>2</v>
      </c>
      <c r="W904" t="s">
        <v>473</v>
      </c>
      <c r="X904" t="s">
        <v>473</v>
      </c>
      <c r="Y904" t="s">
        <v>473</v>
      </c>
      <c r="Z904" t="s">
        <v>473</v>
      </c>
      <c r="AA904" t="s">
        <v>473</v>
      </c>
      <c r="AB904" t="s">
        <v>473</v>
      </c>
      <c r="AC904" s="10">
        <v>3</v>
      </c>
      <c r="AD904" s="10">
        <v>11</v>
      </c>
      <c r="AE904" t="s">
        <v>473</v>
      </c>
    </row>
    <row r="905" spans="1:31" x14ac:dyDescent="0.25">
      <c r="A905">
        <v>2727</v>
      </c>
      <c r="B905">
        <v>1973</v>
      </c>
      <c r="C905" t="s">
        <v>466</v>
      </c>
      <c r="D905" t="s">
        <v>31</v>
      </c>
      <c r="E905" t="str">
        <f>IF(OR(Table1[[#This Row],[marital_status]]="Married", Table1[[#This Row],[marital_status]]="Together"), "Partnered", "Single")</f>
        <v>Partnered</v>
      </c>
      <c r="F905" s="7">
        <v>57100</v>
      </c>
      <c r="G905" s="8">
        <v>0</v>
      </c>
      <c r="H905" s="8">
        <v>0</v>
      </c>
      <c r="I905" s="8">
        <f>Table1[[#This Row],[kids]]+Table1[[#This Row],[teens]]</f>
        <v>0</v>
      </c>
      <c r="J905" s="9">
        <v>41612</v>
      </c>
      <c r="K905" s="8">
        <v>19</v>
      </c>
      <c r="L905" s="6">
        <v>181</v>
      </c>
      <c r="M905" s="5">
        <v>21</v>
      </c>
      <c r="N905" s="5">
        <v>69</v>
      </c>
      <c r="O905" s="5">
        <v>39</v>
      </c>
      <c r="P905" s="5">
        <v>3</v>
      </c>
      <c r="Q905" s="5">
        <v>96</v>
      </c>
      <c r="R905" s="8">
        <v>1</v>
      </c>
      <c r="S905" s="8">
        <v>3</v>
      </c>
      <c r="T905" s="8">
        <v>3</v>
      </c>
      <c r="U905" s="8">
        <v>6</v>
      </c>
      <c r="V905" s="8">
        <v>3</v>
      </c>
      <c r="W905" t="s">
        <v>473</v>
      </c>
      <c r="X905" t="s">
        <v>473</v>
      </c>
      <c r="Y905" t="s">
        <v>473</v>
      </c>
      <c r="Z905" t="s">
        <v>473</v>
      </c>
      <c r="AA905" t="s">
        <v>473</v>
      </c>
      <c r="AB905" t="s">
        <v>473</v>
      </c>
      <c r="AC905" s="10">
        <v>3</v>
      </c>
      <c r="AD905" s="10">
        <v>11</v>
      </c>
      <c r="AE905" t="s">
        <v>473</v>
      </c>
    </row>
    <row r="906" spans="1:31" x14ac:dyDescent="0.25">
      <c r="A906">
        <v>6404</v>
      </c>
      <c r="B906">
        <v>1969</v>
      </c>
      <c r="C906" t="s">
        <v>466</v>
      </c>
      <c r="D906" t="s">
        <v>31</v>
      </c>
      <c r="E906" t="str">
        <f>IF(OR(Table1[[#This Row],[marital_status]]="Married", Table1[[#This Row],[marital_status]]="Together"), "Partnered", "Single")</f>
        <v>Partnered</v>
      </c>
      <c r="F906" s="7">
        <v>58917</v>
      </c>
      <c r="G906" s="8">
        <v>1</v>
      </c>
      <c r="H906" s="8">
        <v>2</v>
      </c>
      <c r="I906" s="8">
        <f>Table1[[#This Row],[kids]]+Table1[[#This Row],[teens]]</f>
        <v>3</v>
      </c>
      <c r="J906" s="9">
        <v>41357</v>
      </c>
      <c r="K906" s="8">
        <v>10</v>
      </c>
      <c r="L906" s="6">
        <v>151</v>
      </c>
      <c r="M906" s="5">
        <v>7</v>
      </c>
      <c r="N906" s="5">
        <v>89</v>
      </c>
      <c r="O906" s="5">
        <v>0</v>
      </c>
      <c r="P906" s="5">
        <v>7</v>
      </c>
      <c r="Q906" s="5">
        <v>28</v>
      </c>
      <c r="R906" s="8">
        <v>5</v>
      </c>
      <c r="S906" s="8">
        <v>4</v>
      </c>
      <c r="T906" s="8">
        <v>1</v>
      </c>
      <c r="U906" s="8">
        <v>6</v>
      </c>
      <c r="V906" s="8">
        <v>5</v>
      </c>
      <c r="W906" t="s">
        <v>473</v>
      </c>
      <c r="X906" t="s">
        <v>473</v>
      </c>
      <c r="Y906" t="s">
        <v>473</v>
      </c>
      <c r="Z906" t="s">
        <v>473</v>
      </c>
      <c r="AA906" t="s">
        <v>473</v>
      </c>
      <c r="AB906" t="s">
        <v>473</v>
      </c>
      <c r="AC906" s="10">
        <v>3</v>
      </c>
      <c r="AD906" s="10">
        <v>11</v>
      </c>
      <c r="AE906" t="s">
        <v>473</v>
      </c>
    </row>
    <row r="907" spans="1:31" x14ac:dyDescent="0.25">
      <c r="A907">
        <v>11074</v>
      </c>
      <c r="B907">
        <v>1977</v>
      </c>
      <c r="C907" t="s">
        <v>466</v>
      </c>
      <c r="D907" t="s">
        <v>30</v>
      </c>
      <c r="E907" t="str">
        <f>IF(OR(Table1[[#This Row],[marital_status]]="Married", Table1[[#This Row],[marital_status]]="Together"), "Partnered", "Single")</f>
        <v>Single</v>
      </c>
      <c r="F907" s="7">
        <v>85072</v>
      </c>
      <c r="G907" s="8">
        <v>0</v>
      </c>
      <c r="H907" s="8">
        <v>0</v>
      </c>
      <c r="I907" s="8">
        <f>Table1[[#This Row],[kids]]+Table1[[#This Row],[teens]]</f>
        <v>0</v>
      </c>
      <c r="J907" s="9">
        <v>41738</v>
      </c>
      <c r="K907" s="8">
        <v>94</v>
      </c>
      <c r="L907" s="6">
        <v>494</v>
      </c>
      <c r="M907" s="5">
        <v>92</v>
      </c>
      <c r="N907" s="5">
        <v>391</v>
      </c>
      <c r="O907" s="5">
        <v>194</v>
      </c>
      <c r="P907" s="5">
        <v>11</v>
      </c>
      <c r="Q907" s="5">
        <v>241</v>
      </c>
      <c r="R907" s="8">
        <v>1</v>
      </c>
      <c r="S907" s="8">
        <v>3</v>
      </c>
      <c r="T907" s="8">
        <v>4</v>
      </c>
      <c r="U907" s="8">
        <v>10</v>
      </c>
      <c r="V907" s="8">
        <v>0</v>
      </c>
      <c r="W907" t="s">
        <v>473</v>
      </c>
      <c r="X907" t="s">
        <v>473</v>
      </c>
      <c r="Y907" t="s">
        <v>473</v>
      </c>
      <c r="Z907" t="s">
        <v>473</v>
      </c>
      <c r="AA907" t="s">
        <v>473</v>
      </c>
      <c r="AB907" t="s">
        <v>473</v>
      </c>
      <c r="AC907" s="10">
        <v>3</v>
      </c>
      <c r="AD907" s="10">
        <v>11</v>
      </c>
      <c r="AE907" t="s">
        <v>473</v>
      </c>
    </row>
    <row r="908" spans="1:31" x14ac:dyDescent="0.25">
      <c r="A908">
        <v>10150</v>
      </c>
      <c r="B908">
        <v>1961</v>
      </c>
      <c r="C908" t="s">
        <v>466</v>
      </c>
      <c r="D908" t="s">
        <v>30</v>
      </c>
      <c r="E908" t="str">
        <f>IF(OR(Table1[[#This Row],[marital_status]]="Married", Table1[[#This Row],[marital_status]]="Together"), "Partnered", "Single")</f>
        <v>Single</v>
      </c>
      <c r="F908" s="7">
        <v>86429</v>
      </c>
      <c r="G908" s="8">
        <v>0</v>
      </c>
      <c r="H908" s="8">
        <v>0</v>
      </c>
      <c r="I908" s="8">
        <f>Table1[[#This Row],[kids]]+Table1[[#This Row],[teens]]</f>
        <v>0</v>
      </c>
      <c r="J908" s="9">
        <v>41599</v>
      </c>
      <c r="K908" s="8">
        <v>10</v>
      </c>
      <c r="L908" s="6">
        <v>464</v>
      </c>
      <c r="M908" s="5">
        <v>28</v>
      </c>
      <c r="N908" s="5">
        <v>873</v>
      </c>
      <c r="O908" s="5">
        <v>29</v>
      </c>
      <c r="P908" s="5">
        <v>18</v>
      </c>
      <c r="Q908" s="5">
        <v>37</v>
      </c>
      <c r="R908" s="8">
        <v>0</v>
      </c>
      <c r="S908" s="8">
        <v>7</v>
      </c>
      <c r="T908" s="8">
        <v>4</v>
      </c>
      <c r="U908" s="8">
        <v>7</v>
      </c>
      <c r="V908" s="8">
        <v>2</v>
      </c>
      <c r="W908" t="s">
        <v>473</v>
      </c>
      <c r="X908" t="s">
        <v>473</v>
      </c>
      <c r="Y908" t="s">
        <v>473</v>
      </c>
      <c r="Z908" t="s">
        <v>474</v>
      </c>
      <c r="AA908" t="s">
        <v>473</v>
      </c>
      <c r="AB908" t="s">
        <v>473</v>
      </c>
      <c r="AC908" s="10">
        <v>3</v>
      </c>
      <c r="AD908" s="10">
        <v>11</v>
      </c>
      <c r="AE908" t="s">
        <v>474</v>
      </c>
    </row>
    <row r="909" spans="1:31" x14ac:dyDescent="0.25">
      <c r="A909">
        <v>1968</v>
      </c>
      <c r="B909">
        <v>1971</v>
      </c>
      <c r="C909" t="s">
        <v>466</v>
      </c>
      <c r="D909" t="s">
        <v>57</v>
      </c>
      <c r="E909" t="str">
        <f>IF(OR(Table1[[#This Row],[marital_status]]="Married", Table1[[#This Row],[marital_status]]="Together"), "Partnered", "Single")</f>
        <v>Single</v>
      </c>
      <c r="F909" s="7">
        <v>45684</v>
      </c>
      <c r="G909" s="8">
        <v>1</v>
      </c>
      <c r="H909" s="8">
        <v>0</v>
      </c>
      <c r="I909" s="8">
        <f>Table1[[#This Row],[kids]]+Table1[[#This Row],[teens]]</f>
        <v>1</v>
      </c>
      <c r="J909" s="9">
        <v>41610</v>
      </c>
      <c r="K909" s="8">
        <v>37</v>
      </c>
      <c r="L909" s="6">
        <v>5</v>
      </c>
      <c r="M909" s="5">
        <v>1</v>
      </c>
      <c r="N909" s="5">
        <v>5</v>
      </c>
      <c r="O909" s="5">
        <v>10</v>
      </c>
      <c r="P909" s="5">
        <v>0</v>
      </c>
      <c r="Q909" s="5">
        <v>7</v>
      </c>
      <c r="R909" s="8">
        <v>1</v>
      </c>
      <c r="S909" s="8">
        <v>1</v>
      </c>
      <c r="T909" s="8">
        <v>0</v>
      </c>
      <c r="U909" s="8">
        <v>2</v>
      </c>
      <c r="V909" s="8">
        <v>7</v>
      </c>
      <c r="W909" t="s">
        <v>473</v>
      </c>
      <c r="X909" t="s">
        <v>473</v>
      </c>
      <c r="Y909" t="s">
        <v>473</v>
      </c>
      <c r="Z909" t="s">
        <v>473</v>
      </c>
      <c r="AA909" t="s">
        <v>473</v>
      </c>
      <c r="AB909" t="s">
        <v>473</v>
      </c>
      <c r="AC909" s="10">
        <v>3</v>
      </c>
      <c r="AD909" s="10">
        <v>11</v>
      </c>
      <c r="AE909" t="s">
        <v>473</v>
      </c>
    </row>
    <row r="910" spans="1:31" x14ac:dyDescent="0.25">
      <c r="A910">
        <v>6534</v>
      </c>
      <c r="B910">
        <v>1974</v>
      </c>
      <c r="C910" t="s">
        <v>466</v>
      </c>
      <c r="D910" t="s">
        <v>31</v>
      </c>
      <c r="E910" t="str">
        <f>IF(OR(Table1[[#This Row],[marital_status]]="Married", Table1[[#This Row],[marital_status]]="Together"), "Partnered", "Single")</f>
        <v>Partnered</v>
      </c>
      <c r="F910" s="7">
        <v>47889</v>
      </c>
      <c r="G910" s="8">
        <v>1</v>
      </c>
      <c r="H910" s="8">
        <v>0</v>
      </c>
      <c r="I910" s="8">
        <f>Table1[[#This Row],[kids]]+Table1[[#This Row],[teens]]</f>
        <v>1</v>
      </c>
      <c r="J910" s="9">
        <v>41643</v>
      </c>
      <c r="K910" s="8">
        <v>94</v>
      </c>
      <c r="L910" s="6">
        <v>29</v>
      </c>
      <c r="M910" s="5">
        <v>0</v>
      </c>
      <c r="N910" s="5">
        <v>29</v>
      </c>
      <c r="O910" s="5">
        <v>0</v>
      </c>
      <c r="P910" s="5">
        <v>5</v>
      </c>
      <c r="Q910" s="5">
        <v>4</v>
      </c>
      <c r="R910" s="8">
        <v>1</v>
      </c>
      <c r="S910" s="8">
        <v>2</v>
      </c>
      <c r="T910" s="8">
        <v>0</v>
      </c>
      <c r="U910" s="8">
        <v>3</v>
      </c>
      <c r="V910" s="8">
        <v>5</v>
      </c>
      <c r="W910" t="s">
        <v>473</v>
      </c>
      <c r="X910" t="s">
        <v>473</v>
      </c>
      <c r="Y910" t="s">
        <v>473</v>
      </c>
      <c r="Z910" t="s">
        <v>473</v>
      </c>
      <c r="AA910" t="s">
        <v>473</v>
      </c>
      <c r="AB910" t="s">
        <v>473</v>
      </c>
      <c r="AC910" s="10">
        <v>3</v>
      </c>
      <c r="AD910" s="10">
        <v>11</v>
      </c>
      <c r="AE910" t="s">
        <v>473</v>
      </c>
    </row>
    <row r="911" spans="1:31" x14ac:dyDescent="0.25">
      <c r="A911">
        <v>9485</v>
      </c>
      <c r="B911">
        <v>1986</v>
      </c>
      <c r="C911" t="s">
        <v>33</v>
      </c>
      <c r="D911" t="s">
        <v>34</v>
      </c>
      <c r="E911" t="str">
        <f>IF(OR(Table1[[#This Row],[marital_status]]="Married", Table1[[#This Row],[marital_status]]="Together"), "Partnered", "Single")</f>
        <v>Partnered</v>
      </c>
      <c r="F911" s="7">
        <v>45921</v>
      </c>
      <c r="G911" s="8">
        <v>0</v>
      </c>
      <c r="H911" s="8">
        <v>0</v>
      </c>
      <c r="I911" s="8">
        <f>Table1[[#This Row],[kids]]+Table1[[#This Row],[teens]]</f>
        <v>0</v>
      </c>
      <c r="J911" s="9">
        <v>41708</v>
      </c>
      <c r="K911" s="8">
        <v>23</v>
      </c>
      <c r="L911" s="6">
        <v>102</v>
      </c>
      <c r="M911" s="5">
        <v>9</v>
      </c>
      <c r="N911" s="5">
        <v>49</v>
      </c>
      <c r="O911" s="5">
        <v>24</v>
      </c>
      <c r="P911" s="5">
        <v>3</v>
      </c>
      <c r="Q911" s="5">
        <v>12</v>
      </c>
      <c r="R911" s="8">
        <v>1</v>
      </c>
      <c r="S911" s="8">
        <v>2</v>
      </c>
      <c r="T911" s="8">
        <v>1</v>
      </c>
      <c r="U911" s="8">
        <v>6</v>
      </c>
      <c r="V911" s="8">
        <v>4</v>
      </c>
      <c r="W911" t="s">
        <v>473</v>
      </c>
      <c r="X911" t="s">
        <v>473</v>
      </c>
      <c r="Y911" t="s">
        <v>473</v>
      </c>
      <c r="Z911" t="s">
        <v>473</v>
      </c>
      <c r="AA911" t="s">
        <v>473</v>
      </c>
      <c r="AB911" t="s">
        <v>473</v>
      </c>
      <c r="AC911" s="10">
        <v>3</v>
      </c>
      <c r="AD911" s="10">
        <v>11</v>
      </c>
      <c r="AE911" t="s">
        <v>473</v>
      </c>
    </row>
    <row r="912" spans="1:31" x14ac:dyDescent="0.25">
      <c r="A912">
        <v>7053</v>
      </c>
      <c r="B912">
        <v>1966</v>
      </c>
      <c r="C912" t="s">
        <v>33</v>
      </c>
      <c r="D912" t="s">
        <v>30</v>
      </c>
      <c r="E912" t="str">
        <f>IF(OR(Table1[[#This Row],[marital_status]]="Married", Table1[[#This Row],[marital_status]]="Together"), "Partnered", "Single")</f>
        <v>Single</v>
      </c>
      <c r="F912" s="7">
        <v>78420</v>
      </c>
      <c r="G912" s="8">
        <v>0</v>
      </c>
      <c r="H912" s="8">
        <v>0</v>
      </c>
      <c r="I912" s="8">
        <f>Table1[[#This Row],[kids]]+Table1[[#This Row],[teens]]</f>
        <v>0</v>
      </c>
      <c r="J912" s="9">
        <v>41454</v>
      </c>
      <c r="K912" s="8">
        <v>75</v>
      </c>
      <c r="L912" s="6">
        <v>604</v>
      </c>
      <c r="M912" s="5">
        <v>28</v>
      </c>
      <c r="N912" s="5">
        <v>674</v>
      </c>
      <c r="O912" s="5">
        <v>91</v>
      </c>
      <c r="P912" s="5">
        <v>28</v>
      </c>
      <c r="Q912" s="5">
        <v>28</v>
      </c>
      <c r="R912" s="8">
        <v>1</v>
      </c>
      <c r="S912" s="8">
        <v>3</v>
      </c>
      <c r="T912" s="8">
        <v>10</v>
      </c>
      <c r="U912" s="8">
        <v>8</v>
      </c>
      <c r="V912" s="8">
        <v>1</v>
      </c>
      <c r="W912" t="s">
        <v>473</v>
      </c>
      <c r="X912" t="s">
        <v>473</v>
      </c>
      <c r="Y912" t="s">
        <v>473</v>
      </c>
      <c r="Z912" t="s">
        <v>473</v>
      </c>
      <c r="AA912" t="s">
        <v>473</v>
      </c>
      <c r="AB912" t="s">
        <v>473</v>
      </c>
      <c r="AC912" s="10">
        <v>3</v>
      </c>
      <c r="AD912" s="10">
        <v>11</v>
      </c>
      <c r="AE912" t="s">
        <v>473</v>
      </c>
    </row>
    <row r="913" spans="1:31" x14ac:dyDescent="0.25">
      <c r="A913">
        <v>4654</v>
      </c>
      <c r="B913">
        <v>1992</v>
      </c>
      <c r="C913" t="s">
        <v>466</v>
      </c>
      <c r="D913" t="s">
        <v>31</v>
      </c>
      <c r="E913" t="str">
        <f>IF(OR(Table1[[#This Row],[marital_status]]="Married", Table1[[#This Row],[marital_status]]="Together"), "Partnered", "Single")</f>
        <v>Partnered</v>
      </c>
      <c r="F913" s="7">
        <v>75114</v>
      </c>
      <c r="G913" s="8">
        <v>0</v>
      </c>
      <c r="H913" s="8">
        <v>0</v>
      </c>
      <c r="I913" s="8">
        <f>Table1[[#This Row],[kids]]+Table1[[#This Row],[teens]]</f>
        <v>0</v>
      </c>
      <c r="J913" s="9">
        <v>41585</v>
      </c>
      <c r="K913" s="8">
        <v>40</v>
      </c>
      <c r="L913" s="6">
        <v>571</v>
      </c>
      <c r="M913" s="5">
        <v>12</v>
      </c>
      <c r="N913" s="5">
        <v>523</v>
      </c>
      <c r="O913" s="5">
        <v>63</v>
      </c>
      <c r="P913" s="5">
        <v>60</v>
      </c>
      <c r="Q913" s="5">
        <v>24</v>
      </c>
      <c r="R913" s="8">
        <v>1</v>
      </c>
      <c r="S913" s="8">
        <v>3</v>
      </c>
      <c r="T913" s="8">
        <v>10</v>
      </c>
      <c r="U913" s="8">
        <v>5</v>
      </c>
      <c r="V913" s="8">
        <v>2</v>
      </c>
      <c r="W913" t="s">
        <v>473</v>
      </c>
      <c r="X913" t="s">
        <v>473</v>
      </c>
      <c r="Y913" t="s">
        <v>473</v>
      </c>
      <c r="Z913" t="s">
        <v>473</v>
      </c>
      <c r="AA913" t="s">
        <v>473</v>
      </c>
      <c r="AB913" t="s">
        <v>473</v>
      </c>
      <c r="AC913" s="10">
        <v>3</v>
      </c>
      <c r="AD913" s="10">
        <v>11</v>
      </c>
      <c r="AE913" t="s">
        <v>473</v>
      </c>
    </row>
    <row r="914" spans="1:31" x14ac:dyDescent="0.25">
      <c r="A914">
        <v>9760</v>
      </c>
      <c r="B914">
        <v>1963</v>
      </c>
      <c r="C914" t="s">
        <v>33</v>
      </c>
      <c r="D914" t="s">
        <v>57</v>
      </c>
      <c r="E914" t="str">
        <f>IF(OR(Table1[[#This Row],[marital_status]]="Married", Table1[[#This Row],[marital_status]]="Together"), "Partnered", "Single")</f>
        <v>Single</v>
      </c>
      <c r="F914" s="7">
        <v>52278</v>
      </c>
      <c r="G914" s="8">
        <v>0</v>
      </c>
      <c r="H914" s="8">
        <v>1</v>
      </c>
      <c r="I914" s="8">
        <f>Table1[[#This Row],[kids]]+Table1[[#This Row],[teens]]</f>
        <v>1</v>
      </c>
      <c r="J914" s="9">
        <v>41299</v>
      </c>
      <c r="K914" s="8">
        <v>24</v>
      </c>
      <c r="L914" s="6">
        <v>953</v>
      </c>
      <c r="M914" s="5">
        <v>0</v>
      </c>
      <c r="N914" s="5">
        <v>71</v>
      </c>
      <c r="O914" s="5">
        <v>0</v>
      </c>
      <c r="P914" s="5">
        <v>0</v>
      </c>
      <c r="Q914" s="5">
        <v>174</v>
      </c>
      <c r="R914" s="8">
        <v>6</v>
      </c>
      <c r="S914" s="8">
        <v>10</v>
      </c>
      <c r="T914" s="8">
        <v>5</v>
      </c>
      <c r="U914" s="8">
        <v>10</v>
      </c>
      <c r="V914" s="8">
        <v>8</v>
      </c>
      <c r="W914" t="s">
        <v>473</v>
      </c>
      <c r="X914" t="s">
        <v>473</v>
      </c>
      <c r="Y914" t="s">
        <v>473</v>
      </c>
      <c r="Z914" t="s">
        <v>473</v>
      </c>
      <c r="AA914" t="s">
        <v>473</v>
      </c>
      <c r="AB914" t="s">
        <v>473</v>
      </c>
      <c r="AC914" s="10">
        <v>3</v>
      </c>
      <c r="AD914" s="10">
        <v>11</v>
      </c>
      <c r="AE914" t="s">
        <v>474</v>
      </c>
    </row>
    <row r="915" spans="1:31" x14ac:dyDescent="0.25">
      <c r="A915">
        <v>1048</v>
      </c>
      <c r="B915">
        <v>1972</v>
      </c>
      <c r="C915" t="s">
        <v>36</v>
      </c>
      <c r="D915" t="s">
        <v>34</v>
      </c>
      <c r="E915" t="str">
        <f>IF(OR(Table1[[#This Row],[marital_status]]="Married", Table1[[#This Row],[marital_status]]="Together"), "Partnered", "Single")</f>
        <v>Partnered</v>
      </c>
      <c r="F915" s="7">
        <v>35641</v>
      </c>
      <c r="G915" s="8">
        <v>1</v>
      </c>
      <c r="H915" s="8">
        <v>0</v>
      </c>
      <c r="I915" s="8">
        <f>Table1[[#This Row],[kids]]+Table1[[#This Row],[teens]]</f>
        <v>1</v>
      </c>
      <c r="J915" s="9">
        <v>41469</v>
      </c>
      <c r="K915" s="8">
        <v>11</v>
      </c>
      <c r="L915" s="6">
        <v>63</v>
      </c>
      <c r="M915" s="5">
        <v>3</v>
      </c>
      <c r="N915" s="5">
        <v>67</v>
      </c>
      <c r="O915" s="5">
        <v>8</v>
      </c>
      <c r="P915" s="5">
        <v>9</v>
      </c>
      <c r="Q915" s="5">
        <v>28</v>
      </c>
      <c r="R915" s="8">
        <v>2</v>
      </c>
      <c r="S915" s="8">
        <v>3</v>
      </c>
      <c r="T915" s="8">
        <v>1</v>
      </c>
      <c r="U915" s="8">
        <v>4</v>
      </c>
      <c r="V915" s="8">
        <v>7</v>
      </c>
      <c r="W915" t="s">
        <v>473</v>
      </c>
      <c r="X915" t="s">
        <v>473</v>
      </c>
      <c r="Y915" t="s">
        <v>473</v>
      </c>
      <c r="Z915" t="s">
        <v>473</v>
      </c>
      <c r="AA915" t="s">
        <v>473</v>
      </c>
      <c r="AB915" t="s">
        <v>473</v>
      </c>
      <c r="AC915" s="10">
        <v>3</v>
      </c>
      <c r="AD915" s="10">
        <v>11</v>
      </c>
      <c r="AE915" t="s">
        <v>474</v>
      </c>
    </row>
    <row r="916" spans="1:31" x14ac:dyDescent="0.25">
      <c r="A916">
        <v>10619</v>
      </c>
      <c r="B916">
        <v>1994</v>
      </c>
      <c r="C916" t="s">
        <v>466</v>
      </c>
      <c r="D916" t="s">
        <v>30</v>
      </c>
      <c r="E916" t="str">
        <f>IF(OR(Table1[[#This Row],[marital_status]]="Married", Table1[[#This Row],[marital_status]]="Together"), "Partnered", "Single")</f>
        <v>Single</v>
      </c>
      <c r="F916" s="7">
        <v>95529</v>
      </c>
      <c r="G916" s="8">
        <v>0</v>
      </c>
      <c r="H916" s="8">
        <v>0</v>
      </c>
      <c r="I916" s="8">
        <f>Table1[[#This Row],[kids]]+Table1[[#This Row],[teens]]</f>
        <v>0</v>
      </c>
      <c r="J916" s="9">
        <v>41246</v>
      </c>
      <c r="K916" s="8">
        <v>29</v>
      </c>
      <c r="L916" s="6">
        <v>770</v>
      </c>
      <c r="M916" s="5">
        <v>29</v>
      </c>
      <c r="N916" s="5">
        <v>890</v>
      </c>
      <c r="O916" s="5">
        <v>250</v>
      </c>
      <c r="P916" s="5">
        <v>27</v>
      </c>
      <c r="Q916" s="5">
        <v>24</v>
      </c>
      <c r="R916" s="8">
        <v>1</v>
      </c>
      <c r="S916" s="8">
        <v>7</v>
      </c>
      <c r="T916" s="8">
        <v>3</v>
      </c>
      <c r="U916" s="8">
        <v>7</v>
      </c>
      <c r="V916" s="8">
        <v>3</v>
      </c>
      <c r="W916" t="s">
        <v>473</v>
      </c>
      <c r="X916" t="s">
        <v>473</v>
      </c>
      <c r="Y916" t="s">
        <v>474</v>
      </c>
      <c r="Z916" t="s">
        <v>473</v>
      </c>
      <c r="AA916" t="s">
        <v>473</v>
      </c>
      <c r="AB916" t="s">
        <v>473</v>
      </c>
      <c r="AC916" s="10">
        <v>3</v>
      </c>
      <c r="AD916" s="10">
        <v>11</v>
      </c>
      <c r="AE916" t="s">
        <v>474</v>
      </c>
    </row>
    <row r="917" spans="1:31" x14ac:dyDescent="0.25">
      <c r="A917">
        <v>9308</v>
      </c>
      <c r="B917">
        <v>1954</v>
      </c>
      <c r="C917" t="s">
        <v>466</v>
      </c>
      <c r="D917" t="s">
        <v>34</v>
      </c>
      <c r="E917" t="str">
        <f>IF(OR(Table1[[#This Row],[marital_status]]="Married", Table1[[#This Row],[marital_status]]="Together"), "Partnered", "Single")</f>
        <v>Partnered</v>
      </c>
      <c r="F917" s="7">
        <v>62820</v>
      </c>
      <c r="G917" s="8">
        <v>0</v>
      </c>
      <c r="H917" s="8">
        <v>0</v>
      </c>
      <c r="I917" s="8">
        <f>Table1[[#This Row],[kids]]+Table1[[#This Row],[teens]]</f>
        <v>0</v>
      </c>
      <c r="J917" s="9">
        <v>41405</v>
      </c>
      <c r="K917" s="8">
        <v>51</v>
      </c>
      <c r="L917" s="6">
        <v>398</v>
      </c>
      <c r="M917" s="5">
        <v>61</v>
      </c>
      <c r="N917" s="5">
        <v>265</v>
      </c>
      <c r="O917" s="5">
        <v>138</v>
      </c>
      <c r="P917" s="5">
        <v>61</v>
      </c>
      <c r="Q917" s="5">
        <v>53</v>
      </c>
      <c r="R917" s="8">
        <v>1</v>
      </c>
      <c r="S917" s="8">
        <v>3</v>
      </c>
      <c r="T917" s="8">
        <v>4</v>
      </c>
      <c r="U917" s="8">
        <v>6</v>
      </c>
      <c r="V917" s="8">
        <v>1</v>
      </c>
      <c r="W917" t="s">
        <v>473</v>
      </c>
      <c r="X917" t="s">
        <v>473</v>
      </c>
      <c r="Y917" t="s">
        <v>473</v>
      </c>
      <c r="Z917" t="s">
        <v>473</v>
      </c>
      <c r="AA917" t="s">
        <v>473</v>
      </c>
      <c r="AB917" t="s">
        <v>473</v>
      </c>
      <c r="AC917" s="10">
        <v>3</v>
      </c>
      <c r="AD917" s="10">
        <v>11</v>
      </c>
      <c r="AE917" t="s">
        <v>473</v>
      </c>
    </row>
    <row r="918" spans="1:31" x14ac:dyDescent="0.25">
      <c r="A918">
        <v>10505</v>
      </c>
      <c r="B918">
        <v>1960</v>
      </c>
      <c r="C918" t="s">
        <v>36</v>
      </c>
      <c r="D918" t="s">
        <v>31</v>
      </c>
      <c r="E918" t="str">
        <f>IF(OR(Table1[[#This Row],[marital_status]]="Married", Table1[[#This Row],[marital_status]]="Together"), "Partnered", "Single")</f>
        <v>Partnered</v>
      </c>
      <c r="F918" s="7">
        <v>73113</v>
      </c>
      <c r="G918" s="8">
        <v>0</v>
      </c>
      <c r="H918" s="8">
        <v>0</v>
      </c>
      <c r="I918" s="8">
        <f>Table1[[#This Row],[kids]]+Table1[[#This Row],[teens]]</f>
        <v>0</v>
      </c>
      <c r="J918" s="9">
        <v>41634</v>
      </c>
      <c r="K918" s="8">
        <v>86</v>
      </c>
      <c r="L918" s="6">
        <v>741</v>
      </c>
      <c r="M918" s="5">
        <v>19</v>
      </c>
      <c r="N918" s="5">
        <v>154</v>
      </c>
      <c r="O918" s="5">
        <v>50</v>
      </c>
      <c r="P918" s="5">
        <v>9</v>
      </c>
      <c r="Q918" s="5">
        <v>28</v>
      </c>
      <c r="R918" s="8">
        <v>1</v>
      </c>
      <c r="S918" s="8">
        <v>3</v>
      </c>
      <c r="T918" s="8">
        <v>4</v>
      </c>
      <c r="U918" s="8">
        <v>7</v>
      </c>
      <c r="V918" s="8">
        <v>2</v>
      </c>
      <c r="W918" t="s">
        <v>473</v>
      </c>
      <c r="X918" t="s">
        <v>473</v>
      </c>
      <c r="Y918" t="s">
        <v>473</v>
      </c>
      <c r="Z918" t="s">
        <v>473</v>
      </c>
      <c r="AA918" t="s">
        <v>473</v>
      </c>
      <c r="AB918" t="s">
        <v>473</v>
      </c>
      <c r="AC918" s="10">
        <v>3</v>
      </c>
      <c r="AD918" s="10">
        <v>11</v>
      </c>
      <c r="AE918" t="s">
        <v>473</v>
      </c>
    </row>
    <row r="919" spans="1:31" x14ac:dyDescent="0.25">
      <c r="A919">
        <v>8362</v>
      </c>
      <c r="B919">
        <v>1982</v>
      </c>
      <c r="C919" t="s">
        <v>33</v>
      </c>
      <c r="D919" t="s">
        <v>34</v>
      </c>
      <c r="E919" t="str">
        <f>IF(OR(Table1[[#This Row],[marital_status]]="Married", Table1[[#This Row],[marital_status]]="Together"), "Partnered", "Single")</f>
        <v>Partnered</v>
      </c>
      <c r="F919" s="7">
        <v>84169</v>
      </c>
      <c r="G919" s="8">
        <v>0</v>
      </c>
      <c r="H919" s="8">
        <v>0</v>
      </c>
      <c r="I919" s="8">
        <f>Table1[[#This Row],[kids]]+Table1[[#This Row],[teens]]</f>
        <v>0</v>
      </c>
      <c r="J919" s="9">
        <v>41493</v>
      </c>
      <c r="K919" s="8">
        <v>9</v>
      </c>
      <c r="L919" s="6">
        <v>1478</v>
      </c>
      <c r="M919" s="5">
        <v>19</v>
      </c>
      <c r="N919" s="5">
        <v>403</v>
      </c>
      <c r="O919" s="5">
        <v>0</v>
      </c>
      <c r="P919" s="5">
        <v>19</v>
      </c>
      <c r="Q919" s="5">
        <v>0</v>
      </c>
      <c r="R919" s="8">
        <v>1</v>
      </c>
      <c r="S919" s="8">
        <v>7</v>
      </c>
      <c r="T919" s="8">
        <v>6</v>
      </c>
      <c r="U919" s="8">
        <v>6</v>
      </c>
      <c r="V919" s="8">
        <v>3</v>
      </c>
      <c r="W919" t="s">
        <v>473</v>
      </c>
      <c r="X919" t="s">
        <v>474</v>
      </c>
      <c r="Y919" t="s">
        <v>474</v>
      </c>
      <c r="Z919" t="s">
        <v>473</v>
      </c>
      <c r="AA919" t="s">
        <v>473</v>
      </c>
      <c r="AB919" t="s">
        <v>473</v>
      </c>
      <c r="AC919" s="10">
        <v>3</v>
      </c>
      <c r="AD919" s="10">
        <v>11</v>
      </c>
      <c r="AE919" t="s">
        <v>474</v>
      </c>
    </row>
    <row r="920" spans="1:31" x14ac:dyDescent="0.25">
      <c r="A920">
        <v>2625</v>
      </c>
      <c r="B920">
        <v>1954</v>
      </c>
      <c r="C920" t="s">
        <v>46</v>
      </c>
      <c r="D920" t="s">
        <v>30</v>
      </c>
      <c r="E920" t="str">
        <f>IF(OR(Table1[[#This Row],[marital_status]]="Married", Table1[[#This Row],[marital_status]]="Together"), "Partnered", "Single")</f>
        <v>Single</v>
      </c>
      <c r="F920" s="7">
        <v>42607</v>
      </c>
      <c r="G920" s="8">
        <v>0</v>
      </c>
      <c r="H920" s="8">
        <v>1</v>
      </c>
      <c r="I920" s="8">
        <f>Table1[[#This Row],[kids]]+Table1[[#This Row],[teens]]</f>
        <v>1</v>
      </c>
      <c r="J920" s="9">
        <v>41595</v>
      </c>
      <c r="K920" s="8">
        <v>30</v>
      </c>
      <c r="L920" s="6">
        <v>156</v>
      </c>
      <c r="M920" s="5">
        <v>29</v>
      </c>
      <c r="N920" s="5">
        <v>56</v>
      </c>
      <c r="O920" s="5">
        <v>30</v>
      </c>
      <c r="P920" s="5">
        <v>32</v>
      </c>
      <c r="Q920" s="5">
        <v>47</v>
      </c>
      <c r="R920" s="8">
        <v>2</v>
      </c>
      <c r="S920" s="8">
        <v>3</v>
      </c>
      <c r="T920" s="8">
        <v>2</v>
      </c>
      <c r="U920" s="8">
        <v>7</v>
      </c>
      <c r="V920" s="8">
        <v>3</v>
      </c>
      <c r="W920" t="s">
        <v>473</v>
      </c>
      <c r="X920" t="s">
        <v>473</v>
      </c>
      <c r="Y920" t="s">
        <v>473</v>
      </c>
      <c r="Z920" t="s">
        <v>473</v>
      </c>
      <c r="AA920" t="s">
        <v>473</v>
      </c>
      <c r="AB920" t="s">
        <v>473</v>
      </c>
      <c r="AC920" s="10">
        <v>3</v>
      </c>
      <c r="AD920" s="10">
        <v>11</v>
      </c>
      <c r="AE920" t="s">
        <v>473</v>
      </c>
    </row>
    <row r="921" spans="1:31" x14ac:dyDescent="0.25">
      <c r="A921">
        <v>4637</v>
      </c>
      <c r="B921">
        <v>1954</v>
      </c>
      <c r="C921" t="s">
        <v>33</v>
      </c>
      <c r="D921" t="s">
        <v>30</v>
      </c>
      <c r="E921" t="str">
        <f>IF(OR(Table1[[#This Row],[marital_status]]="Married", Table1[[#This Row],[marital_status]]="Together"), "Partnered", "Single")</f>
        <v>Single</v>
      </c>
      <c r="F921" s="7">
        <v>74637</v>
      </c>
      <c r="G921" s="8">
        <v>0</v>
      </c>
      <c r="H921" s="8">
        <v>0</v>
      </c>
      <c r="I921" s="8">
        <f>Table1[[#This Row],[kids]]+Table1[[#This Row],[teens]]</f>
        <v>0</v>
      </c>
      <c r="J921" s="9">
        <v>41412</v>
      </c>
      <c r="K921" s="8">
        <v>73</v>
      </c>
      <c r="L921" s="6">
        <v>960</v>
      </c>
      <c r="M921" s="5">
        <v>64</v>
      </c>
      <c r="N921" s="5">
        <v>464</v>
      </c>
      <c r="O921" s="5">
        <v>146</v>
      </c>
      <c r="P921" s="5">
        <v>0</v>
      </c>
      <c r="Q921" s="5">
        <v>16</v>
      </c>
      <c r="R921" s="8">
        <v>1</v>
      </c>
      <c r="S921" s="8">
        <v>6</v>
      </c>
      <c r="T921" s="8">
        <v>9</v>
      </c>
      <c r="U921" s="8">
        <v>9</v>
      </c>
      <c r="V921" s="8">
        <v>3</v>
      </c>
      <c r="W921" t="s">
        <v>473</v>
      </c>
      <c r="X921" t="s">
        <v>473</v>
      </c>
      <c r="Y921" t="s">
        <v>473</v>
      </c>
      <c r="Z921" t="s">
        <v>474</v>
      </c>
      <c r="AA921" t="s">
        <v>473</v>
      </c>
      <c r="AB921" t="s">
        <v>473</v>
      </c>
      <c r="AC921" s="10">
        <v>3</v>
      </c>
      <c r="AD921" s="10">
        <v>11</v>
      </c>
      <c r="AE921" t="s">
        <v>473</v>
      </c>
    </row>
    <row r="922" spans="1:31" x14ac:dyDescent="0.25">
      <c r="A922">
        <v>9972</v>
      </c>
      <c r="B922">
        <v>1955</v>
      </c>
      <c r="C922" t="s">
        <v>33</v>
      </c>
      <c r="D922" t="s">
        <v>31</v>
      </c>
      <c r="E922" t="str">
        <f>IF(OR(Table1[[#This Row],[marital_status]]="Married", Table1[[#This Row],[marital_status]]="Together"), "Partnered", "Single")</f>
        <v>Partnered</v>
      </c>
      <c r="F922" s="7">
        <v>46015</v>
      </c>
      <c r="G922" s="8">
        <v>1</v>
      </c>
      <c r="H922" s="8">
        <v>1</v>
      </c>
      <c r="I922" s="8">
        <f>Table1[[#This Row],[kids]]+Table1[[#This Row],[teens]]</f>
        <v>2</v>
      </c>
      <c r="J922" s="9">
        <v>41742</v>
      </c>
      <c r="K922" s="8">
        <v>25</v>
      </c>
      <c r="L922" s="6">
        <v>38</v>
      </c>
      <c r="M922" s="5">
        <v>0</v>
      </c>
      <c r="N922" s="5">
        <v>2</v>
      </c>
      <c r="O922" s="5">
        <v>0</v>
      </c>
      <c r="P922" s="5">
        <v>0</v>
      </c>
      <c r="Q922" s="5">
        <v>6</v>
      </c>
      <c r="R922" s="8">
        <v>1</v>
      </c>
      <c r="S922" s="8">
        <v>1</v>
      </c>
      <c r="T922" s="8">
        <v>0</v>
      </c>
      <c r="U922" s="8">
        <v>3</v>
      </c>
      <c r="V922" s="8">
        <v>7</v>
      </c>
      <c r="W922" t="s">
        <v>474</v>
      </c>
      <c r="X922" t="s">
        <v>473</v>
      </c>
      <c r="Y922" t="s">
        <v>473</v>
      </c>
      <c r="Z922" t="s">
        <v>473</v>
      </c>
      <c r="AA922" t="s">
        <v>474</v>
      </c>
      <c r="AB922" t="s">
        <v>473</v>
      </c>
      <c r="AC922" s="10">
        <v>3</v>
      </c>
      <c r="AD922" s="10">
        <v>11</v>
      </c>
      <c r="AE922" t="s">
        <v>473</v>
      </c>
    </row>
    <row r="923" spans="1:31" x14ac:dyDescent="0.25">
      <c r="A923">
        <v>4483</v>
      </c>
      <c r="B923">
        <v>1993</v>
      </c>
      <c r="C923" t="s">
        <v>466</v>
      </c>
      <c r="D923" t="s">
        <v>30</v>
      </c>
      <c r="E923" t="str">
        <f>IF(OR(Table1[[#This Row],[marital_status]]="Married", Table1[[#This Row],[marital_status]]="Together"), "Partnered", "Single")</f>
        <v>Single</v>
      </c>
      <c r="F923" s="7">
        <v>72354</v>
      </c>
      <c r="G923" s="8">
        <v>0</v>
      </c>
      <c r="H923" s="8">
        <v>0</v>
      </c>
      <c r="I923" s="8">
        <f>Table1[[#This Row],[kids]]+Table1[[#This Row],[teens]]</f>
        <v>0</v>
      </c>
      <c r="J923" s="9">
        <v>41381</v>
      </c>
      <c r="K923" s="8">
        <v>67</v>
      </c>
      <c r="L923" s="6">
        <v>315</v>
      </c>
      <c r="M923" s="5">
        <v>26</v>
      </c>
      <c r="N923" s="5">
        <v>473</v>
      </c>
      <c r="O923" s="5">
        <v>220</v>
      </c>
      <c r="P923" s="5">
        <v>12</v>
      </c>
      <c r="Q923" s="5">
        <v>182</v>
      </c>
      <c r="R923" s="8">
        <v>1</v>
      </c>
      <c r="S923" s="8">
        <v>2</v>
      </c>
      <c r="T923" s="8">
        <v>10</v>
      </c>
      <c r="U923" s="8">
        <v>6</v>
      </c>
      <c r="V923" s="8">
        <v>1</v>
      </c>
      <c r="W923" t="s">
        <v>473</v>
      </c>
      <c r="X923" t="s">
        <v>473</v>
      </c>
      <c r="Y923" t="s">
        <v>473</v>
      </c>
      <c r="Z923" t="s">
        <v>473</v>
      </c>
      <c r="AA923" t="s">
        <v>473</v>
      </c>
      <c r="AB923" t="s">
        <v>473</v>
      </c>
      <c r="AC923" s="10">
        <v>3</v>
      </c>
      <c r="AD923" s="10">
        <v>11</v>
      </c>
      <c r="AE923" t="s">
        <v>473</v>
      </c>
    </row>
    <row r="924" spans="1:31" x14ac:dyDescent="0.25">
      <c r="A924">
        <v>4487</v>
      </c>
      <c r="B924">
        <v>1969</v>
      </c>
      <c r="C924" t="s">
        <v>36</v>
      </c>
      <c r="D924" t="s">
        <v>30</v>
      </c>
      <c r="E924" t="str">
        <f>IF(OR(Table1[[#This Row],[marital_status]]="Married", Table1[[#This Row],[marital_status]]="Together"), "Partnered", "Single")</f>
        <v>Single</v>
      </c>
      <c r="F924" s="7">
        <v>39858</v>
      </c>
      <c r="G924" s="8">
        <v>1</v>
      </c>
      <c r="H924" s="8">
        <v>0</v>
      </c>
      <c r="I924" s="8">
        <f>Table1[[#This Row],[kids]]+Table1[[#This Row],[teens]]</f>
        <v>1</v>
      </c>
      <c r="J924" s="9">
        <v>41298</v>
      </c>
      <c r="K924" s="8">
        <v>67</v>
      </c>
      <c r="L924" s="6">
        <v>15</v>
      </c>
      <c r="M924" s="5">
        <v>20</v>
      </c>
      <c r="N924" s="5">
        <v>25</v>
      </c>
      <c r="O924" s="5">
        <v>2</v>
      </c>
      <c r="P924" s="5">
        <v>7</v>
      </c>
      <c r="Q924" s="5">
        <v>26</v>
      </c>
      <c r="R924" s="8">
        <v>1</v>
      </c>
      <c r="S924" s="8">
        <v>2</v>
      </c>
      <c r="T924" s="8">
        <v>0</v>
      </c>
      <c r="U924" s="8">
        <v>4</v>
      </c>
      <c r="V924" s="8">
        <v>6</v>
      </c>
      <c r="W924" t="s">
        <v>473</v>
      </c>
      <c r="X924" t="s">
        <v>473</v>
      </c>
      <c r="Y924" t="s">
        <v>473</v>
      </c>
      <c r="Z924" t="s">
        <v>473</v>
      </c>
      <c r="AA924" t="s">
        <v>473</v>
      </c>
      <c r="AB924" t="s">
        <v>473</v>
      </c>
      <c r="AC924" s="10">
        <v>3</v>
      </c>
      <c r="AD924" s="10">
        <v>11</v>
      </c>
      <c r="AE924" t="s">
        <v>474</v>
      </c>
    </row>
    <row r="925" spans="1:31" x14ac:dyDescent="0.25">
      <c r="A925">
        <v>4988</v>
      </c>
      <c r="B925">
        <v>1948</v>
      </c>
      <c r="C925" t="s">
        <v>33</v>
      </c>
      <c r="D925" t="s">
        <v>34</v>
      </c>
      <c r="E925" t="str">
        <f>IF(OR(Table1[[#This Row],[marital_status]]="Married", Table1[[#This Row],[marital_status]]="Together"), "Partnered", "Single")</f>
        <v>Partnered</v>
      </c>
      <c r="F925" s="7">
        <v>34469</v>
      </c>
      <c r="G925" s="8">
        <v>1</v>
      </c>
      <c r="H925" s="8">
        <v>1</v>
      </c>
      <c r="I925" s="8">
        <f>Table1[[#This Row],[kids]]+Table1[[#This Row],[teens]]</f>
        <v>2</v>
      </c>
      <c r="J925" s="9">
        <v>41763</v>
      </c>
      <c r="K925" s="8">
        <v>58</v>
      </c>
      <c r="L925" s="6">
        <v>19</v>
      </c>
      <c r="M925" s="5">
        <v>6</v>
      </c>
      <c r="N925" s="5">
        <v>20</v>
      </c>
      <c r="O925" s="5">
        <v>0</v>
      </c>
      <c r="P925" s="5">
        <v>5</v>
      </c>
      <c r="Q925" s="5">
        <v>12</v>
      </c>
      <c r="R925" s="8">
        <v>3</v>
      </c>
      <c r="S925" s="8">
        <v>1</v>
      </c>
      <c r="T925" s="8">
        <v>1</v>
      </c>
      <c r="U925" s="8">
        <v>4</v>
      </c>
      <c r="V925" s="8">
        <v>4</v>
      </c>
      <c r="W925" t="s">
        <v>473</v>
      </c>
      <c r="X925" t="s">
        <v>473</v>
      </c>
      <c r="Y925" t="s">
        <v>473</v>
      </c>
      <c r="Z925" t="s">
        <v>473</v>
      </c>
      <c r="AA925" t="s">
        <v>473</v>
      </c>
      <c r="AB925" t="s">
        <v>473</v>
      </c>
      <c r="AC925" s="10">
        <v>3</v>
      </c>
      <c r="AD925" s="10">
        <v>11</v>
      </c>
      <c r="AE925" t="s">
        <v>473</v>
      </c>
    </row>
    <row r="926" spans="1:31" x14ac:dyDescent="0.25">
      <c r="A926">
        <v>8931</v>
      </c>
      <c r="B926">
        <v>1986</v>
      </c>
      <c r="C926" t="s">
        <v>466</v>
      </c>
      <c r="D926" t="s">
        <v>31</v>
      </c>
      <c r="E926" t="str">
        <f>IF(OR(Table1[[#This Row],[marital_status]]="Married", Table1[[#This Row],[marital_status]]="Together"), "Partnered", "Single")</f>
        <v>Partnered</v>
      </c>
      <c r="F926" s="7">
        <v>83033</v>
      </c>
      <c r="G926" s="8">
        <v>1</v>
      </c>
      <c r="H926" s="8">
        <v>0</v>
      </c>
      <c r="I926" s="8">
        <f>Table1[[#This Row],[kids]]+Table1[[#This Row],[teens]]</f>
        <v>1</v>
      </c>
      <c r="J926" s="9">
        <v>41777</v>
      </c>
      <c r="K926" s="8">
        <v>82</v>
      </c>
      <c r="L926" s="6">
        <v>812</v>
      </c>
      <c r="M926" s="5">
        <v>99</v>
      </c>
      <c r="N926" s="5">
        <v>431</v>
      </c>
      <c r="O926" s="5">
        <v>237</v>
      </c>
      <c r="P926" s="5">
        <v>149</v>
      </c>
      <c r="Q926" s="5">
        <v>33</v>
      </c>
      <c r="R926" s="8">
        <v>1</v>
      </c>
      <c r="S926" s="8">
        <v>11</v>
      </c>
      <c r="T926" s="8">
        <v>4</v>
      </c>
      <c r="U926" s="8">
        <v>10</v>
      </c>
      <c r="V926" s="8">
        <v>5</v>
      </c>
      <c r="W926" t="s">
        <v>473</v>
      </c>
      <c r="X926" t="s">
        <v>473</v>
      </c>
      <c r="Y926" t="s">
        <v>473</v>
      </c>
      <c r="Z926" t="s">
        <v>474</v>
      </c>
      <c r="AA926" t="s">
        <v>473</v>
      </c>
      <c r="AB926" t="s">
        <v>473</v>
      </c>
      <c r="AC926" s="10">
        <v>3</v>
      </c>
      <c r="AD926" s="10">
        <v>11</v>
      </c>
      <c r="AE926" t="s">
        <v>473</v>
      </c>
    </row>
    <row r="927" spans="1:31" x14ac:dyDescent="0.25">
      <c r="A927">
        <v>5871</v>
      </c>
      <c r="B927">
        <v>1979</v>
      </c>
      <c r="C927" t="s">
        <v>36</v>
      </c>
      <c r="D927" t="s">
        <v>31</v>
      </c>
      <c r="E927" t="str">
        <f>IF(OR(Table1[[#This Row],[marital_status]]="Married", Table1[[#This Row],[marital_status]]="Together"), "Partnered", "Single")</f>
        <v>Partnered</v>
      </c>
      <c r="F927" s="7">
        <v>24401</v>
      </c>
      <c r="G927" s="8">
        <v>0</v>
      </c>
      <c r="H927" s="8">
        <v>0</v>
      </c>
      <c r="I927" s="8">
        <f>Table1[[#This Row],[kids]]+Table1[[#This Row],[teens]]</f>
        <v>0</v>
      </c>
      <c r="J927" s="9">
        <v>41152</v>
      </c>
      <c r="K927" s="8">
        <v>98</v>
      </c>
      <c r="L927" s="6">
        <v>73</v>
      </c>
      <c r="M927" s="5">
        <v>28</v>
      </c>
      <c r="N927" s="5">
        <v>217</v>
      </c>
      <c r="O927" s="5">
        <v>10</v>
      </c>
      <c r="P927" s="5">
        <v>24</v>
      </c>
      <c r="Q927" s="5">
        <v>115</v>
      </c>
      <c r="R927" s="8">
        <v>3</v>
      </c>
      <c r="S927" s="8">
        <v>6</v>
      </c>
      <c r="T927" s="8">
        <v>1</v>
      </c>
      <c r="U927" s="8">
        <v>6</v>
      </c>
      <c r="V927" s="8">
        <v>8</v>
      </c>
      <c r="W927" t="s">
        <v>473</v>
      </c>
      <c r="X927" t="s">
        <v>473</v>
      </c>
      <c r="Y927" t="s">
        <v>473</v>
      </c>
      <c r="Z927" t="s">
        <v>473</v>
      </c>
      <c r="AA927" t="s">
        <v>473</v>
      </c>
      <c r="AB927" t="s">
        <v>473</v>
      </c>
      <c r="AC927" s="10">
        <v>3</v>
      </c>
      <c r="AD927" s="10">
        <v>11</v>
      </c>
      <c r="AE927" t="s">
        <v>473</v>
      </c>
    </row>
    <row r="928" spans="1:31" x14ac:dyDescent="0.25">
      <c r="A928">
        <v>2008</v>
      </c>
      <c r="B928">
        <v>1978</v>
      </c>
      <c r="C928" t="s">
        <v>466</v>
      </c>
      <c r="D928" t="s">
        <v>34</v>
      </c>
      <c r="E928" t="str">
        <f>IF(OR(Table1[[#This Row],[marital_status]]="Married", Table1[[#This Row],[marital_status]]="Together"), "Partnered", "Single")</f>
        <v>Partnered</v>
      </c>
      <c r="F928" s="7">
        <v>77583</v>
      </c>
      <c r="G928" s="8">
        <v>0</v>
      </c>
      <c r="H928" s="8">
        <v>0</v>
      </c>
      <c r="I928" s="8">
        <f>Table1[[#This Row],[kids]]+Table1[[#This Row],[teens]]</f>
        <v>0</v>
      </c>
      <c r="J928" s="9">
        <v>41680</v>
      </c>
      <c r="K928" s="8">
        <v>93</v>
      </c>
      <c r="L928" s="6">
        <v>372</v>
      </c>
      <c r="M928" s="5">
        <v>23</v>
      </c>
      <c r="N928" s="5">
        <v>384</v>
      </c>
      <c r="O928" s="5">
        <v>250</v>
      </c>
      <c r="P928" s="5">
        <v>12</v>
      </c>
      <c r="Q928" s="5">
        <v>108</v>
      </c>
      <c r="R928" s="8">
        <v>1</v>
      </c>
      <c r="S928" s="8">
        <v>4</v>
      </c>
      <c r="T928" s="8">
        <v>5</v>
      </c>
      <c r="U928" s="8">
        <v>9</v>
      </c>
      <c r="V928" s="8">
        <v>2</v>
      </c>
      <c r="W928" t="s">
        <v>473</v>
      </c>
      <c r="X928" t="s">
        <v>473</v>
      </c>
      <c r="Y928" t="s">
        <v>473</v>
      </c>
      <c r="Z928" t="s">
        <v>474</v>
      </c>
      <c r="AA928" t="s">
        <v>473</v>
      </c>
      <c r="AB928" t="s">
        <v>473</v>
      </c>
      <c r="AC928" s="10">
        <v>3</v>
      </c>
      <c r="AD928" s="10">
        <v>11</v>
      </c>
      <c r="AE928" t="s">
        <v>473</v>
      </c>
    </row>
    <row r="929" spans="1:31" x14ac:dyDescent="0.25">
      <c r="A929">
        <v>3139</v>
      </c>
      <c r="B929">
        <v>1982</v>
      </c>
      <c r="C929" t="s">
        <v>46</v>
      </c>
      <c r="D929" t="s">
        <v>30</v>
      </c>
      <c r="E929" t="str">
        <f>IF(OR(Table1[[#This Row],[marital_status]]="Married", Table1[[#This Row],[marital_status]]="Together"), "Partnered", "Single")</f>
        <v>Single</v>
      </c>
      <c r="F929" s="7">
        <v>74116</v>
      </c>
      <c r="G929" s="8">
        <v>0</v>
      </c>
      <c r="H929" s="8">
        <v>0</v>
      </c>
      <c r="I929" s="8">
        <f>Table1[[#This Row],[kids]]+Table1[[#This Row],[teens]]</f>
        <v>0</v>
      </c>
      <c r="J929" s="9">
        <v>41638</v>
      </c>
      <c r="K929" s="8">
        <v>53</v>
      </c>
      <c r="L929" s="6">
        <v>871</v>
      </c>
      <c r="M929" s="5">
        <v>111</v>
      </c>
      <c r="N929" s="5">
        <v>704</v>
      </c>
      <c r="O929" s="5">
        <v>145</v>
      </c>
      <c r="P929" s="5">
        <v>55</v>
      </c>
      <c r="Q929" s="5">
        <v>166</v>
      </c>
      <c r="R929" s="8">
        <v>1</v>
      </c>
      <c r="S929" s="8">
        <v>4</v>
      </c>
      <c r="T929" s="8">
        <v>4</v>
      </c>
      <c r="U929" s="8">
        <v>10</v>
      </c>
      <c r="V929" s="8">
        <v>2</v>
      </c>
      <c r="W929" t="s">
        <v>473</v>
      </c>
      <c r="X929" t="s">
        <v>474</v>
      </c>
      <c r="Y929" t="s">
        <v>473</v>
      </c>
      <c r="Z929" t="s">
        <v>473</v>
      </c>
      <c r="AA929" t="s">
        <v>473</v>
      </c>
      <c r="AB929" t="s">
        <v>473</v>
      </c>
      <c r="AC929" s="10">
        <v>3</v>
      </c>
      <c r="AD929" s="10">
        <v>11</v>
      </c>
      <c r="AE929" t="s">
        <v>473</v>
      </c>
    </row>
    <row r="930" spans="1:31" x14ac:dyDescent="0.25">
      <c r="A930">
        <v>10037</v>
      </c>
      <c r="B930">
        <v>1993</v>
      </c>
      <c r="C930" t="s">
        <v>466</v>
      </c>
      <c r="D930" t="s">
        <v>30</v>
      </c>
      <c r="E930" t="str">
        <f>IF(OR(Table1[[#This Row],[marital_status]]="Married", Table1[[#This Row],[marital_status]]="Together"), "Partnered", "Single")</f>
        <v>Single</v>
      </c>
      <c r="F930" s="7">
        <v>74293</v>
      </c>
      <c r="G930" s="8">
        <v>0</v>
      </c>
      <c r="H930" s="8">
        <v>0</v>
      </c>
      <c r="I930" s="8">
        <f>Table1[[#This Row],[kids]]+Table1[[#This Row],[teens]]</f>
        <v>0</v>
      </c>
      <c r="J930" s="9">
        <v>41763</v>
      </c>
      <c r="K930" s="8">
        <v>66</v>
      </c>
      <c r="L930" s="6">
        <v>375</v>
      </c>
      <c r="M930" s="5">
        <v>152</v>
      </c>
      <c r="N930" s="5">
        <v>335</v>
      </c>
      <c r="O930" s="5">
        <v>93</v>
      </c>
      <c r="P930" s="5">
        <v>91</v>
      </c>
      <c r="Q930" s="5">
        <v>81</v>
      </c>
      <c r="R930" s="8">
        <v>1</v>
      </c>
      <c r="S930" s="8">
        <v>5</v>
      </c>
      <c r="T930" s="8">
        <v>4</v>
      </c>
      <c r="U930" s="8">
        <v>6</v>
      </c>
      <c r="V930" s="8">
        <v>2</v>
      </c>
      <c r="W930" t="s">
        <v>473</v>
      </c>
      <c r="X930" t="s">
        <v>473</v>
      </c>
      <c r="Y930" t="s">
        <v>473</v>
      </c>
      <c r="Z930" t="s">
        <v>473</v>
      </c>
      <c r="AA930" t="s">
        <v>473</v>
      </c>
      <c r="AB930" t="s">
        <v>473</v>
      </c>
      <c r="AC930" s="10">
        <v>3</v>
      </c>
      <c r="AD930" s="10">
        <v>11</v>
      </c>
      <c r="AE930" t="s">
        <v>473</v>
      </c>
    </row>
    <row r="931" spans="1:31" x14ac:dyDescent="0.25">
      <c r="A931">
        <v>10673</v>
      </c>
      <c r="B931">
        <v>1976</v>
      </c>
      <c r="C931" t="s">
        <v>33</v>
      </c>
      <c r="D931" t="s">
        <v>34</v>
      </c>
      <c r="E931" t="str">
        <f>IF(OR(Table1[[#This Row],[marital_status]]="Married", Table1[[#This Row],[marital_status]]="Together"), "Partnered", "Single")</f>
        <v>Partnered</v>
      </c>
      <c r="F931" s="7">
        <v>68397</v>
      </c>
      <c r="G931" s="8">
        <v>0</v>
      </c>
      <c r="H931" s="8">
        <v>1</v>
      </c>
      <c r="I931" s="8">
        <f>Table1[[#This Row],[kids]]+Table1[[#This Row],[teens]]</f>
        <v>1</v>
      </c>
      <c r="J931" s="9">
        <v>41595</v>
      </c>
      <c r="K931" s="8">
        <v>6</v>
      </c>
      <c r="L931" s="6">
        <v>760</v>
      </c>
      <c r="M931" s="5">
        <v>80</v>
      </c>
      <c r="N931" s="5">
        <v>466</v>
      </c>
      <c r="O931" s="5">
        <v>17</v>
      </c>
      <c r="P931" s="5">
        <v>13</v>
      </c>
      <c r="Q931" s="5">
        <v>80</v>
      </c>
      <c r="R931" s="8">
        <v>1</v>
      </c>
      <c r="S931" s="8">
        <v>6</v>
      </c>
      <c r="T931" s="8">
        <v>9</v>
      </c>
      <c r="U931" s="8">
        <v>5</v>
      </c>
      <c r="V931" s="8">
        <v>3</v>
      </c>
      <c r="W931" t="s">
        <v>473</v>
      </c>
      <c r="X931" t="s">
        <v>473</v>
      </c>
      <c r="Y931" t="s">
        <v>473</v>
      </c>
      <c r="Z931" t="s">
        <v>473</v>
      </c>
      <c r="AA931" t="s">
        <v>473</v>
      </c>
      <c r="AB931" t="s">
        <v>473</v>
      </c>
      <c r="AC931" s="10">
        <v>3</v>
      </c>
      <c r="AD931" s="10">
        <v>11</v>
      </c>
      <c r="AE931" t="s">
        <v>473</v>
      </c>
    </row>
    <row r="932" spans="1:31" x14ac:dyDescent="0.25">
      <c r="A932">
        <v>5303</v>
      </c>
      <c r="B932">
        <v>1974</v>
      </c>
      <c r="C932" t="s">
        <v>33</v>
      </c>
      <c r="D932" t="s">
        <v>31</v>
      </c>
      <c r="E932" t="str">
        <f>IF(OR(Table1[[#This Row],[marital_status]]="Married", Table1[[#This Row],[marital_status]]="Together"), "Partnered", "Single")</f>
        <v>Partnered</v>
      </c>
      <c r="F932" s="7">
        <v>79632</v>
      </c>
      <c r="G932" s="8">
        <v>0</v>
      </c>
      <c r="H932" s="8">
        <v>0</v>
      </c>
      <c r="I932" s="8">
        <f>Table1[[#This Row],[kids]]+Table1[[#This Row],[teens]]</f>
        <v>0</v>
      </c>
      <c r="J932" s="9">
        <v>41737</v>
      </c>
      <c r="K932" s="8">
        <v>42</v>
      </c>
      <c r="L932" s="6">
        <v>471</v>
      </c>
      <c r="M932" s="5">
        <v>0</v>
      </c>
      <c r="N932" s="5">
        <v>510</v>
      </c>
      <c r="O932" s="5">
        <v>99</v>
      </c>
      <c r="P932" s="5">
        <v>21</v>
      </c>
      <c r="Q932" s="5">
        <v>12</v>
      </c>
      <c r="R932" s="8">
        <v>1</v>
      </c>
      <c r="S932" s="8">
        <v>6</v>
      </c>
      <c r="T932" s="8">
        <v>4</v>
      </c>
      <c r="U932" s="8">
        <v>9</v>
      </c>
      <c r="V932" s="8">
        <v>2</v>
      </c>
      <c r="W932" t="s">
        <v>473</v>
      </c>
      <c r="X932" t="s">
        <v>473</v>
      </c>
      <c r="Y932" t="s">
        <v>473</v>
      </c>
      <c r="Z932" t="s">
        <v>473</v>
      </c>
      <c r="AA932" t="s">
        <v>473</v>
      </c>
      <c r="AB932" t="s">
        <v>473</v>
      </c>
      <c r="AC932" s="10">
        <v>3</v>
      </c>
      <c r="AD932" s="10">
        <v>11</v>
      </c>
      <c r="AE932" t="s">
        <v>473</v>
      </c>
    </row>
    <row r="933" spans="1:31" x14ac:dyDescent="0.25">
      <c r="A933">
        <v>538</v>
      </c>
      <c r="B933">
        <v>1989</v>
      </c>
      <c r="C933" t="s">
        <v>466</v>
      </c>
      <c r="D933" t="s">
        <v>30</v>
      </c>
      <c r="E933" t="str">
        <f>IF(OR(Table1[[#This Row],[marital_status]]="Married", Table1[[#This Row],[marital_status]]="Together"), "Partnered", "Single")</f>
        <v>Single</v>
      </c>
      <c r="F933" s="7">
        <v>46107</v>
      </c>
      <c r="G933" s="8">
        <v>1</v>
      </c>
      <c r="H933" s="8">
        <v>0</v>
      </c>
      <c r="I933" s="8">
        <f>Table1[[#This Row],[kids]]+Table1[[#This Row],[teens]]</f>
        <v>1</v>
      </c>
      <c r="J933" s="9">
        <v>41680</v>
      </c>
      <c r="K933" s="8">
        <v>78</v>
      </c>
      <c r="L933" s="6">
        <v>31</v>
      </c>
      <c r="M933" s="5">
        <v>9</v>
      </c>
      <c r="N933" s="5">
        <v>27</v>
      </c>
      <c r="O933" s="5">
        <v>16</v>
      </c>
      <c r="P933" s="5">
        <v>9</v>
      </c>
      <c r="Q933" s="5">
        <v>33</v>
      </c>
      <c r="R933" s="8">
        <v>1</v>
      </c>
      <c r="S933" s="8">
        <v>1</v>
      </c>
      <c r="T933" s="8">
        <v>1</v>
      </c>
      <c r="U933" s="8">
        <v>4</v>
      </c>
      <c r="V933" s="8">
        <v>3</v>
      </c>
      <c r="W933" t="s">
        <v>473</v>
      </c>
      <c r="X933" t="s">
        <v>473</v>
      </c>
      <c r="Y933" t="s">
        <v>473</v>
      </c>
      <c r="Z933" t="s">
        <v>473</v>
      </c>
      <c r="AA933" t="s">
        <v>473</v>
      </c>
      <c r="AB933" t="s">
        <v>473</v>
      </c>
      <c r="AC933" s="10">
        <v>3</v>
      </c>
      <c r="AD933" s="10">
        <v>11</v>
      </c>
      <c r="AE933" t="s">
        <v>473</v>
      </c>
    </row>
    <row r="934" spans="1:31" x14ac:dyDescent="0.25">
      <c r="A934">
        <v>7922</v>
      </c>
      <c r="B934">
        <v>1951</v>
      </c>
      <c r="C934" t="s">
        <v>33</v>
      </c>
      <c r="D934" t="s">
        <v>30</v>
      </c>
      <c r="E934" t="str">
        <f>IF(OR(Table1[[#This Row],[marital_status]]="Married", Table1[[#This Row],[marital_status]]="Together"), "Partnered", "Single")</f>
        <v>Single</v>
      </c>
      <c r="F934" s="7">
        <v>64950</v>
      </c>
      <c r="G934" s="8">
        <v>0</v>
      </c>
      <c r="H934" s="8">
        <v>1</v>
      </c>
      <c r="I934" s="8">
        <f>Table1[[#This Row],[kids]]+Table1[[#This Row],[teens]]</f>
        <v>1</v>
      </c>
      <c r="J934" s="9">
        <v>41133</v>
      </c>
      <c r="K934" s="8">
        <v>29</v>
      </c>
      <c r="L934" s="6">
        <v>819</v>
      </c>
      <c r="M934" s="5">
        <v>0</v>
      </c>
      <c r="N934" s="5">
        <v>72</v>
      </c>
      <c r="O934" s="5">
        <v>12</v>
      </c>
      <c r="P934" s="5">
        <v>0</v>
      </c>
      <c r="Q934" s="5">
        <v>63</v>
      </c>
      <c r="R934" s="8">
        <v>2</v>
      </c>
      <c r="S934" s="8">
        <v>11</v>
      </c>
      <c r="T934" s="8">
        <v>2</v>
      </c>
      <c r="U934" s="8">
        <v>10</v>
      </c>
      <c r="V934" s="8">
        <v>7</v>
      </c>
      <c r="W934" t="s">
        <v>473</v>
      </c>
      <c r="X934" t="s">
        <v>474</v>
      </c>
      <c r="Y934" t="s">
        <v>473</v>
      </c>
      <c r="Z934" t="s">
        <v>473</v>
      </c>
      <c r="AA934" t="s">
        <v>473</v>
      </c>
      <c r="AB934" t="s">
        <v>473</v>
      </c>
      <c r="AC934" s="10">
        <v>3</v>
      </c>
      <c r="AD934" s="10">
        <v>11</v>
      </c>
      <c r="AE934" t="s">
        <v>473</v>
      </c>
    </row>
    <row r="935" spans="1:31" x14ac:dyDescent="0.25">
      <c r="A935">
        <v>5692</v>
      </c>
      <c r="B935">
        <v>1989</v>
      </c>
      <c r="C935" t="s">
        <v>41</v>
      </c>
      <c r="D935" t="s">
        <v>34</v>
      </c>
      <c r="E935" t="str">
        <f>IF(OR(Table1[[#This Row],[marital_status]]="Married", Table1[[#This Row],[marital_status]]="Together"), "Partnered", "Single")</f>
        <v>Partnered</v>
      </c>
      <c r="F935" s="7">
        <v>25443</v>
      </c>
      <c r="G935" s="8">
        <v>1</v>
      </c>
      <c r="H935" s="8">
        <v>0</v>
      </c>
      <c r="I935" s="8">
        <f>Table1[[#This Row],[kids]]+Table1[[#This Row],[teens]]</f>
        <v>1</v>
      </c>
      <c r="J935" s="9">
        <v>41265</v>
      </c>
      <c r="K935" s="8">
        <v>82</v>
      </c>
      <c r="L935" s="6">
        <v>1</v>
      </c>
      <c r="M935" s="5">
        <v>4</v>
      </c>
      <c r="N935" s="5">
        <v>3</v>
      </c>
      <c r="O935" s="5">
        <v>8</v>
      </c>
      <c r="P935" s="5">
        <v>9</v>
      </c>
      <c r="Q935" s="5">
        <v>7</v>
      </c>
      <c r="R935" s="8">
        <v>1</v>
      </c>
      <c r="S935" s="8">
        <v>1</v>
      </c>
      <c r="T935" s="8">
        <v>0</v>
      </c>
      <c r="U935" s="8">
        <v>3</v>
      </c>
      <c r="V935" s="8">
        <v>8</v>
      </c>
      <c r="W935" t="s">
        <v>473</v>
      </c>
      <c r="X935" t="s">
        <v>473</v>
      </c>
      <c r="Y935" t="s">
        <v>473</v>
      </c>
      <c r="Z935" t="s">
        <v>473</v>
      </c>
      <c r="AA935" t="s">
        <v>473</v>
      </c>
      <c r="AB935" t="s">
        <v>473</v>
      </c>
      <c r="AC935" s="10">
        <v>3</v>
      </c>
      <c r="AD935" s="10">
        <v>11</v>
      </c>
      <c r="AE935" t="s">
        <v>473</v>
      </c>
    </row>
    <row r="936" spans="1:31" x14ac:dyDescent="0.25">
      <c r="A936">
        <v>4843</v>
      </c>
      <c r="B936">
        <v>1952</v>
      </c>
      <c r="C936" t="s">
        <v>466</v>
      </c>
      <c r="D936" t="s">
        <v>30</v>
      </c>
      <c r="E936" t="str">
        <f>IF(OR(Table1[[#This Row],[marital_status]]="Married", Table1[[#This Row],[marital_status]]="Together"), "Partnered", "Single")</f>
        <v>Single</v>
      </c>
      <c r="F936" s="7">
        <v>75127</v>
      </c>
      <c r="G936" s="8">
        <v>0</v>
      </c>
      <c r="H936" s="8">
        <v>0</v>
      </c>
      <c r="I936" s="8">
        <f>Table1[[#This Row],[kids]]+Table1[[#This Row],[teens]]</f>
        <v>0</v>
      </c>
      <c r="J936" s="9">
        <v>41781</v>
      </c>
      <c r="K936" s="8">
        <v>92</v>
      </c>
      <c r="L936" s="6">
        <v>203</v>
      </c>
      <c r="M936" s="5">
        <v>35</v>
      </c>
      <c r="N936" s="5">
        <v>305</v>
      </c>
      <c r="O936" s="5">
        <v>46</v>
      </c>
      <c r="P936" s="5">
        <v>17</v>
      </c>
      <c r="Q936" s="5">
        <v>227</v>
      </c>
      <c r="R936" s="8">
        <v>1</v>
      </c>
      <c r="S936" s="8">
        <v>2</v>
      </c>
      <c r="T936" s="8">
        <v>11</v>
      </c>
      <c r="U936" s="8">
        <v>5</v>
      </c>
      <c r="V936" s="8">
        <v>1</v>
      </c>
      <c r="W936" t="s">
        <v>473</v>
      </c>
      <c r="X936" t="s">
        <v>473</v>
      </c>
      <c r="Y936" t="s">
        <v>473</v>
      </c>
      <c r="Z936" t="s">
        <v>473</v>
      </c>
      <c r="AA936" t="s">
        <v>473</v>
      </c>
      <c r="AB936" t="s">
        <v>473</v>
      </c>
      <c r="AC936" s="10">
        <v>3</v>
      </c>
      <c r="AD936" s="10">
        <v>11</v>
      </c>
      <c r="AE936" t="s">
        <v>473</v>
      </c>
    </row>
    <row r="937" spans="1:31" x14ac:dyDescent="0.25">
      <c r="A937">
        <v>6383</v>
      </c>
      <c r="B937">
        <v>1971</v>
      </c>
      <c r="C937" t="s">
        <v>33</v>
      </c>
      <c r="D937" t="s">
        <v>31</v>
      </c>
      <c r="E937" t="str">
        <f>IF(OR(Table1[[#This Row],[marital_status]]="Married", Table1[[#This Row],[marital_status]]="Together"), "Partnered", "Single")</f>
        <v>Partnered</v>
      </c>
      <c r="F937" s="7">
        <v>32892</v>
      </c>
      <c r="G937" s="8">
        <v>1</v>
      </c>
      <c r="H937" s="8">
        <v>0</v>
      </c>
      <c r="I937" s="8">
        <f>Table1[[#This Row],[kids]]+Table1[[#This Row],[teens]]</f>
        <v>1</v>
      </c>
      <c r="J937" s="9">
        <v>41784</v>
      </c>
      <c r="K937" s="8">
        <v>78</v>
      </c>
      <c r="L937" s="6">
        <v>26</v>
      </c>
      <c r="M937" s="5">
        <v>0</v>
      </c>
      <c r="N937" s="5">
        <v>15</v>
      </c>
      <c r="O937" s="5">
        <v>2</v>
      </c>
      <c r="P937" s="5">
        <v>1</v>
      </c>
      <c r="Q937" s="5">
        <v>2</v>
      </c>
      <c r="R937" s="8">
        <v>2</v>
      </c>
      <c r="S937" s="8">
        <v>3</v>
      </c>
      <c r="T937" s="8">
        <v>0</v>
      </c>
      <c r="U937" s="8">
        <v>3</v>
      </c>
      <c r="V937" s="8">
        <v>8</v>
      </c>
      <c r="W937" t="s">
        <v>473</v>
      </c>
      <c r="X937" t="s">
        <v>473</v>
      </c>
      <c r="Y937" t="s">
        <v>473</v>
      </c>
      <c r="Z937" t="s">
        <v>473</v>
      </c>
      <c r="AA937" t="s">
        <v>473</v>
      </c>
      <c r="AB937" t="s">
        <v>473</v>
      </c>
      <c r="AC937" s="10">
        <v>3</v>
      </c>
      <c r="AD937" s="10">
        <v>11</v>
      </c>
      <c r="AE937" t="s">
        <v>473</v>
      </c>
    </row>
    <row r="938" spans="1:31" x14ac:dyDescent="0.25">
      <c r="A938">
        <v>1628</v>
      </c>
      <c r="B938">
        <v>1971</v>
      </c>
      <c r="C938" t="s">
        <v>466</v>
      </c>
      <c r="D938" t="s">
        <v>31</v>
      </c>
      <c r="E938" t="str">
        <f>IF(OR(Table1[[#This Row],[marital_status]]="Married", Table1[[#This Row],[marital_status]]="Together"), "Partnered", "Single")</f>
        <v>Partnered</v>
      </c>
      <c r="F938" s="7">
        <v>71796</v>
      </c>
      <c r="G938" s="8">
        <v>0</v>
      </c>
      <c r="H938" s="8">
        <v>0</v>
      </c>
      <c r="I938" s="8">
        <f>Table1[[#This Row],[kids]]+Table1[[#This Row],[teens]]</f>
        <v>0</v>
      </c>
      <c r="J938" s="9">
        <v>41571</v>
      </c>
      <c r="K938" s="8">
        <v>54</v>
      </c>
      <c r="L938" s="6">
        <v>354</v>
      </c>
      <c r="M938" s="5">
        <v>21</v>
      </c>
      <c r="N938" s="5">
        <v>311</v>
      </c>
      <c r="O938" s="5">
        <v>167</v>
      </c>
      <c r="P938" s="5">
        <v>75</v>
      </c>
      <c r="Q938" s="5">
        <v>32</v>
      </c>
      <c r="R938" s="8">
        <v>1</v>
      </c>
      <c r="S938" s="8">
        <v>9</v>
      </c>
      <c r="T938" s="8">
        <v>3</v>
      </c>
      <c r="U938" s="8">
        <v>4</v>
      </c>
      <c r="V938" s="8">
        <v>4</v>
      </c>
      <c r="W938" t="s">
        <v>473</v>
      </c>
      <c r="X938" t="s">
        <v>473</v>
      </c>
      <c r="Y938" t="s">
        <v>473</v>
      </c>
      <c r="Z938" t="s">
        <v>473</v>
      </c>
      <c r="AA938" t="s">
        <v>473</v>
      </c>
      <c r="AB938" t="s">
        <v>473</v>
      </c>
      <c r="AC938" s="10">
        <v>3</v>
      </c>
      <c r="AD938" s="10">
        <v>11</v>
      </c>
      <c r="AE938" t="s">
        <v>473</v>
      </c>
    </row>
    <row r="939" spans="1:31" x14ac:dyDescent="0.25">
      <c r="A939">
        <v>1204</v>
      </c>
      <c r="B939">
        <v>1970</v>
      </c>
      <c r="C939" t="s">
        <v>33</v>
      </c>
      <c r="D939" t="s">
        <v>34</v>
      </c>
      <c r="E939" t="str">
        <f>IF(OR(Table1[[#This Row],[marital_status]]="Married", Table1[[#This Row],[marital_status]]="Together"), "Partnered", "Single")</f>
        <v>Partnered</v>
      </c>
      <c r="F939" s="7">
        <v>67536</v>
      </c>
      <c r="G939" s="8">
        <v>0</v>
      </c>
      <c r="H939" s="8">
        <v>1</v>
      </c>
      <c r="I939" s="8">
        <f>Table1[[#This Row],[kids]]+Table1[[#This Row],[teens]]</f>
        <v>1</v>
      </c>
      <c r="J939" s="9">
        <v>41416</v>
      </c>
      <c r="K939" s="8">
        <v>45</v>
      </c>
      <c r="L939" s="6">
        <v>1253</v>
      </c>
      <c r="M939" s="5">
        <v>0</v>
      </c>
      <c r="N939" s="5">
        <v>447</v>
      </c>
      <c r="O939" s="5">
        <v>23</v>
      </c>
      <c r="P939" s="5">
        <v>71</v>
      </c>
      <c r="Q939" s="5">
        <v>35</v>
      </c>
      <c r="R939" s="8">
        <v>3</v>
      </c>
      <c r="S939" s="8">
        <v>11</v>
      </c>
      <c r="T939" s="8">
        <v>5</v>
      </c>
      <c r="U939" s="8">
        <v>11</v>
      </c>
      <c r="V939" s="8">
        <v>8</v>
      </c>
      <c r="W939" t="s">
        <v>473</v>
      </c>
      <c r="X939" t="s">
        <v>473</v>
      </c>
      <c r="Y939" t="s">
        <v>473</v>
      </c>
      <c r="Z939" t="s">
        <v>474</v>
      </c>
      <c r="AA939" t="s">
        <v>473</v>
      </c>
      <c r="AB939" t="s">
        <v>473</v>
      </c>
      <c r="AC939" s="10">
        <v>3</v>
      </c>
      <c r="AD939" s="10">
        <v>11</v>
      </c>
      <c r="AE939" t="s">
        <v>473</v>
      </c>
    </row>
    <row r="940" spans="1:31" x14ac:dyDescent="0.25">
      <c r="A940">
        <v>3673</v>
      </c>
      <c r="B940">
        <v>1971</v>
      </c>
      <c r="C940" t="s">
        <v>466</v>
      </c>
      <c r="D940" t="s">
        <v>30</v>
      </c>
      <c r="E940" t="str">
        <f>IF(OR(Table1[[#This Row],[marital_status]]="Married", Table1[[#This Row],[marital_status]]="Together"), "Partnered", "Single")</f>
        <v>Single</v>
      </c>
      <c r="F940" s="7">
        <v>55239</v>
      </c>
      <c r="G940" s="8">
        <v>0</v>
      </c>
      <c r="H940" s="8">
        <v>1</v>
      </c>
      <c r="I940" s="8">
        <f>Table1[[#This Row],[kids]]+Table1[[#This Row],[teens]]</f>
        <v>1</v>
      </c>
      <c r="J940" s="9">
        <v>41469</v>
      </c>
      <c r="K940" s="8">
        <v>59</v>
      </c>
      <c r="L940" s="6">
        <v>371</v>
      </c>
      <c r="M940" s="5">
        <v>17</v>
      </c>
      <c r="N940" s="5">
        <v>238</v>
      </c>
      <c r="O940" s="5">
        <v>23</v>
      </c>
      <c r="P940" s="5">
        <v>24</v>
      </c>
      <c r="Q940" s="5">
        <v>106</v>
      </c>
      <c r="R940" s="8">
        <v>3</v>
      </c>
      <c r="S940" s="8">
        <v>7</v>
      </c>
      <c r="T940" s="8">
        <v>5</v>
      </c>
      <c r="U940" s="8">
        <v>11</v>
      </c>
      <c r="V940" s="8">
        <v>5</v>
      </c>
      <c r="W940" t="s">
        <v>473</v>
      </c>
      <c r="X940" t="s">
        <v>473</v>
      </c>
      <c r="Y940" t="s">
        <v>473</v>
      </c>
      <c r="Z940" t="s">
        <v>473</v>
      </c>
      <c r="AA940" t="s">
        <v>473</v>
      </c>
      <c r="AB940" t="s">
        <v>473</v>
      </c>
      <c r="AC940" s="10">
        <v>3</v>
      </c>
      <c r="AD940" s="10">
        <v>11</v>
      </c>
      <c r="AE940" t="s">
        <v>473</v>
      </c>
    </row>
    <row r="941" spans="1:31" x14ac:dyDescent="0.25">
      <c r="A941">
        <v>760</v>
      </c>
      <c r="B941">
        <v>1975</v>
      </c>
      <c r="C941" t="s">
        <v>33</v>
      </c>
      <c r="D941" t="s">
        <v>37</v>
      </c>
      <c r="E941" t="str">
        <f>IF(OR(Table1[[#This Row],[marital_status]]="Married", Table1[[#This Row],[marital_status]]="Together"), "Partnered", "Single")</f>
        <v>Single</v>
      </c>
      <c r="F941" s="7">
        <v>60554</v>
      </c>
      <c r="G941" s="8">
        <v>1</v>
      </c>
      <c r="H941" s="8">
        <v>0</v>
      </c>
      <c r="I941" s="8">
        <f>Table1[[#This Row],[kids]]+Table1[[#This Row],[teens]]</f>
        <v>1</v>
      </c>
      <c r="J941" s="9">
        <v>41495</v>
      </c>
      <c r="K941" s="8">
        <v>8</v>
      </c>
      <c r="L941" s="6">
        <v>588</v>
      </c>
      <c r="M941" s="5">
        <v>7</v>
      </c>
      <c r="N941" s="5">
        <v>76</v>
      </c>
      <c r="O941" s="5">
        <v>110</v>
      </c>
      <c r="P941" s="5">
        <v>15</v>
      </c>
      <c r="Q941" s="5">
        <v>15</v>
      </c>
      <c r="R941" s="8">
        <v>2</v>
      </c>
      <c r="S941" s="8">
        <v>8</v>
      </c>
      <c r="T941" s="8">
        <v>4</v>
      </c>
      <c r="U941" s="8">
        <v>9</v>
      </c>
      <c r="V941" s="8">
        <v>6</v>
      </c>
      <c r="W941" t="s">
        <v>473</v>
      </c>
      <c r="X941" t="s">
        <v>473</v>
      </c>
      <c r="Y941" t="s">
        <v>473</v>
      </c>
      <c r="Z941" t="s">
        <v>473</v>
      </c>
      <c r="AA941" t="s">
        <v>473</v>
      </c>
      <c r="AB941" t="s">
        <v>473</v>
      </c>
      <c r="AC941" s="10">
        <v>3</v>
      </c>
      <c r="AD941" s="10">
        <v>11</v>
      </c>
      <c r="AE941" t="s">
        <v>473</v>
      </c>
    </row>
    <row r="942" spans="1:31" x14ac:dyDescent="0.25">
      <c r="A942">
        <v>8957</v>
      </c>
      <c r="B942">
        <v>1952</v>
      </c>
      <c r="C942" t="s">
        <v>46</v>
      </c>
      <c r="D942" t="s">
        <v>30</v>
      </c>
      <c r="E942" t="str">
        <f>IF(OR(Table1[[#This Row],[marital_status]]="Married", Table1[[#This Row],[marital_status]]="Together"), "Partnered", "Single")</f>
        <v>Single</v>
      </c>
      <c r="F942" s="7">
        <v>64831</v>
      </c>
      <c r="G942" s="8">
        <v>1</v>
      </c>
      <c r="H942" s="8">
        <v>1</v>
      </c>
      <c r="I942" s="8">
        <f>Table1[[#This Row],[kids]]+Table1[[#This Row],[teens]]</f>
        <v>2</v>
      </c>
      <c r="J942" s="9">
        <v>41435</v>
      </c>
      <c r="K942" s="8">
        <v>51</v>
      </c>
      <c r="L942" s="6">
        <v>480</v>
      </c>
      <c r="M942" s="5">
        <v>86</v>
      </c>
      <c r="N942" s="5">
        <v>249</v>
      </c>
      <c r="O942" s="5">
        <v>75</v>
      </c>
      <c r="P942" s="5">
        <v>86</v>
      </c>
      <c r="Q942" s="5">
        <v>144</v>
      </c>
      <c r="R942" s="8">
        <v>8</v>
      </c>
      <c r="S942" s="8">
        <v>6</v>
      </c>
      <c r="T942" s="8">
        <v>3</v>
      </c>
      <c r="U942" s="8">
        <v>5</v>
      </c>
      <c r="V942" s="8">
        <v>6</v>
      </c>
      <c r="W942" t="s">
        <v>473</v>
      </c>
      <c r="X942" t="s">
        <v>473</v>
      </c>
      <c r="Y942" t="s">
        <v>473</v>
      </c>
      <c r="Z942" t="s">
        <v>473</v>
      </c>
      <c r="AA942" t="s">
        <v>473</v>
      </c>
      <c r="AB942" t="s">
        <v>473</v>
      </c>
      <c r="AC942" s="10">
        <v>3</v>
      </c>
      <c r="AD942" s="10">
        <v>11</v>
      </c>
      <c r="AE942" t="s">
        <v>473</v>
      </c>
    </row>
    <row r="943" spans="1:31" x14ac:dyDescent="0.25">
      <c r="A943">
        <v>4128</v>
      </c>
      <c r="B943">
        <v>1962</v>
      </c>
      <c r="C943" t="s">
        <v>33</v>
      </c>
      <c r="D943" t="s">
        <v>31</v>
      </c>
      <c r="E943" t="str">
        <f>IF(OR(Table1[[#This Row],[marital_status]]="Married", Table1[[#This Row],[marital_status]]="Together"), "Partnered", "Single")</f>
        <v>Partnered</v>
      </c>
      <c r="F943" s="7">
        <v>56067</v>
      </c>
      <c r="G943" s="8">
        <v>0</v>
      </c>
      <c r="H943" s="8">
        <v>1</v>
      </c>
      <c r="I943" s="8">
        <f>Table1[[#This Row],[kids]]+Table1[[#This Row],[teens]]</f>
        <v>1</v>
      </c>
      <c r="J943" s="9">
        <v>41475</v>
      </c>
      <c r="K943" s="8">
        <v>51</v>
      </c>
      <c r="L943" s="6">
        <v>517</v>
      </c>
      <c r="M943" s="5">
        <v>12</v>
      </c>
      <c r="N943" s="5">
        <v>54</v>
      </c>
      <c r="O943" s="5">
        <v>16</v>
      </c>
      <c r="P943" s="5">
        <v>6</v>
      </c>
      <c r="Q943" s="5">
        <v>120</v>
      </c>
      <c r="R943" s="8">
        <v>2</v>
      </c>
      <c r="S943" s="8">
        <v>7</v>
      </c>
      <c r="T943" s="8">
        <v>4</v>
      </c>
      <c r="U943" s="8">
        <v>7</v>
      </c>
      <c r="V943" s="8">
        <v>5</v>
      </c>
      <c r="W943" t="s">
        <v>473</v>
      </c>
      <c r="X943" t="s">
        <v>473</v>
      </c>
      <c r="Y943" t="s">
        <v>473</v>
      </c>
      <c r="Z943" t="s">
        <v>473</v>
      </c>
      <c r="AA943" t="s">
        <v>473</v>
      </c>
      <c r="AB943" t="s">
        <v>473</v>
      </c>
      <c r="AC943" s="10">
        <v>3</v>
      </c>
      <c r="AD943" s="10">
        <v>11</v>
      </c>
      <c r="AE943" t="s">
        <v>473</v>
      </c>
    </row>
    <row r="944" spans="1:31" x14ac:dyDescent="0.25">
      <c r="A944">
        <v>6810</v>
      </c>
      <c r="B944">
        <v>1983</v>
      </c>
      <c r="C944" t="s">
        <v>466</v>
      </c>
      <c r="D944" t="s">
        <v>37</v>
      </c>
      <c r="E944" t="str">
        <f>IF(OR(Table1[[#This Row],[marital_status]]="Married", Table1[[#This Row],[marital_status]]="Together"), "Partnered", "Single")</f>
        <v>Single</v>
      </c>
      <c r="F944" s="7">
        <v>82025</v>
      </c>
      <c r="G944" s="8">
        <v>0</v>
      </c>
      <c r="H944" s="8">
        <v>0</v>
      </c>
      <c r="I944" s="8">
        <f>Table1[[#This Row],[kids]]+Table1[[#This Row],[teens]]</f>
        <v>0</v>
      </c>
      <c r="J944" s="9">
        <v>41422</v>
      </c>
      <c r="K944" s="8">
        <v>76</v>
      </c>
      <c r="L944" s="6">
        <v>267</v>
      </c>
      <c r="M944" s="5">
        <v>98</v>
      </c>
      <c r="N944" s="5">
        <v>606</v>
      </c>
      <c r="O944" s="5">
        <v>48</v>
      </c>
      <c r="P944" s="5">
        <v>70</v>
      </c>
      <c r="Q944" s="5">
        <v>98</v>
      </c>
      <c r="R944" s="8">
        <v>1</v>
      </c>
      <c r="S944" s="8">
        <v>3</v>
      </c>
      <c r="T944" s="8">
        <v>2</v>
      </c>
      <c r="U944" s="8">
        <v>6</v>
      </c>
      <c r="V944" s="8">
        <v>1</v>
      </c>
      <c r="W944" t="s">
        <v>473</v>
      </c>
      <c r="X944" t="s">
        <v>473</v>
      </c>
      <c r="Y944" t="s">
        <v>474</v>
      </c>
      <c r="Z944" t="s">
        <v>473</v>
      </c>
      <c r="AA944" t="s">
        <v>473</v>
      </c>
      <c r="AB944" t="s">
        <v>473</v>
      </c>
      <c r="AC944" s="10">
        <v>3</v>
      </c>
      <c r="AD944" s="10">
        <v>11</v>
      </c>
      <c r="AE944" t="s">
        <v>474</v>
      </c>
    </row>
    <row r="945" spans="1:31" x14ac:dyDescent="0.25">
      <c r="A945">
        <v>5386</v>
      </c>
      <c r="B945">
        <v>1953</v>
      </c>
      <c r="C945" t="s">
        <v>466</v>
      </c>
      <c r="D945" t="s">
        <v>31</v>
      </c>
      <c r="E945" t="str">
        <f>IF(OR(Table1[[#This Row],[marital_status]]="Married", Table1[[#This Row],[marital_status]]="Together"), "Partnered", "Single")</f>
        <v>Partnered</v>
      </c>
      <c r="F945" s="7">
        <v>94384</v>
      </c>
      <c r="G945" s="8">
        <v>0</v>
      </c>
      <c r="H945" s="8">
        <v>0</v>
      </c>
      <c r="I945" s="8">
        <f>Table1[[#This Row],[kids]]+Table1[[#This Row],[teens]]</f>
        <v>0</v>
      </c>
      <c r="J945" s="9">
        <v>41337</v>
      </c>
      <c r="K945" s="8">
        <v>62</v>
      </c>
      <c r="L945" s="6">
        <v>1111</v>
      </c>
      <c r="M945" s="5">
        <v>24</v>
      </c>
      <c r="N945" s="5">
        <v>790</v>
      </c>
      <c r="O945" s="5">
        <v>160</v>
      </c>
      <c r="P945" s="5">
        <v>45</v>
      </c>
      <c r="Q945" s="5">
        <v>172</v>
      </c>
      <c r="R945" s="8">
        <v>0</v>
      </c>
      <c r="S945" s="8">
        <v>5</v>
      </c>
      <c r="T945" s="8">
        <v>8</v>
      </c>
      <c r="U945" s="8">
        <v>5</v>
      </c>
      <c r="V945" s="8">
        <v>2</v>
      </c>
      <c r="W945" t="s">
        <v>473</v>
      </c>
      <c r="X945" t="s">
        <v>474</v>
      </c>
      <c r="Y945" t="s">
        <v>474</v>
      </c>
      <c r="Z945" t="s">
        <v>474</v>
      </c>
      <c r="AA945" t="s">
        <v>473</v>
      </c>
      <c r="AB945" t="s">
        <v>473</v>
      </c>
      <c r="AC945" s="10">
        <v>3</v>
      </c>
      <c r="AD945" s="10">
        <v>11</v>
      </c>
      <c r="AE945" t="s">
        <v>474</v>
      </c>
    </row>
    <row r="946" spans="1:31" x14ac:dyDescent="0.25">
      <c r="A946">
        <v>8700</v>
      </c>
      <c r="B946">
        <v>1986</v>
      </c>
      <c r="C946" t="s">
        <v>41</v>
      </c>
      <c r="D946" t="s">
        <v>30</v>
      </c>
      <c r="E946" t="str">
        <f>IF(OR(Table1[[#This Row],[marital_status]]="Married", Table1[[#This Row],[marital_status]]="Together"), "Partnered", "Single")</f>
        <v>Single</v>
      </c>
      <c r="F946" s="7">
        <v>14906</v>
      </c>
      <c r="G946" s="8">
        <v>0</v>
      </c>
      <c r="H946" s="8">
        <v>0</v>
      </c>
      <c r="I946" s="8">
        <f>Table1[[#This Row],[kids]]+Table1[[#This Row],[teens]]</f>
        <v>0</v>
      </c>
      <c r="J946" s="9">
        <v>41265</v>
      </c>
      <c r="K946" s="8">
        <v>86</v>
      </c>
      <c r="L946" s="6">
        <v>7</v>
      </c>
      <c r="M946" s="5">
        <v>7</v>
      </c>
      <c r="N946" s="5">
        <v>14</v>
      </c>
      <c r="O946" s="5">
        <v>7</v>
      </c>
      <c r="P946" s="5">
        <v>16</v>
      </c>
      <c r="Q946" s="5">
        <v>15</v>
      </c>
      <c r="R946" s="8">
        <v>3</v>
      </c>
      <c r="S946" s="8">
        <v>2</v>
      </c>
      <c r="T946" s="8">
        <v>1</v>
      </c>
      <c r="U946" s="8">
        <v>3</v>
      </c>
      <c r="V946" s="8">
        <v>7</v>
      </c>
      <c r="W946" t="s">
        <v>473</v>
      </c>
      <c r="X946" t="s">
        <v>473</v>
      </c>
      <c r="Y946" t="s">
        <v>473</v>
      </c>
      <c r="Z946" t="s">
        <v>473</v>
      </c>
      <c r="AA946" t="s">
        <v>473</v>
      </c>
      <c r="AB946" t="s">
        <v>473</v>
      </c>
      <c r="AC946" s="10">
        <v>3</v>
      </c>
      <c r="AD946" s="10">
        <v>11</v>
      </c>
      <c r="AE946" t="s">
        <v>473</v>
      </c>
    </row>
    <row r="947" spans="1:31" x14ac:dyDescent="0.25">
      <c r="A947">
        <v>3202</v>
      </c>
      <c r="B947">
        <v>1987</v>
      </c>
      <c r="C947" t="s">
        <v>33</v>
      </c>
      <c r="D947" t="s">
        <v>34</v>
      </c>
      <c r="E947" t="str">
        <f>IF(OR(Table1[[#This Row],[marital_status]]="Married", Table1[[#This Row],[marital_status]]="Together"), "Partnered", "Single")</f>
        <v>Partnered</v>
      </c>
      <c r="F947" s="7">
        <v>51563</v>
      </c>
      <c r="G947" s="8">
        <v>0</v>
      </c>
      <c r="H947" s="8">
        <v>0</v>
      </c>
      <c r="I947" s="8">
        <f>Table1[[#This Row],[kids]]+Table1[[#This Row],[teens]]</f>
        <v>0</v>
      </c>
      <c r="J947" s="9">
        <v>41183</v>
      </c>
      <c r="K947" s="8">
        <v>60</v>
      </c>
      <c r="L947" s="6">
        <v>1166</v>
      </c>
      <c r="M947" s="5">
        <v>0</v>
      </c>
      <c r="N947" s="5">
        <v>48</v>
      </c>
      <c r="O947" s="5">
        <v>0</v>
      </c>
      <c r="P947" s="5">
        <v>0</v>
      </c>
      <c r="Q947" s="5">
        <v>36</v>
      </c>
      <c r="R947" s="8">
        <v>1</v>
      </c>
      <c r="S947" s="8">
        <v>4</v>
      </c>
      <c r="T947" s="8">
        <v>4</v>
      </c>
      <c r="U947" s="8">
        <v>10</v>
      </c>
      <c r="V947" s="8">
        <v>8</v>
      </c>
      <c r="W947" t="s">
        <v>473</v>
      </c>
      <c r="X947" t="s">
        <v>474</v>
      </c>
      <c r="Y947" t="s">
        <v>474</v>
      </c>
      <c r="Z947" t="s">
        <v>473</v>
      </c>
      <c r="AA947" t="s">
        <v>473</v>
      </c>
      <c r="AB947" t="s">
        <v>473</v>
      </c>
      <c r="AC947" s="10">
        <v>3</v>
      </c>
      <c r="AD947" s="10">
        <v>11</v>
      </c>
      <c r="AE947" t="s">
        <v>473</v>
      </c>
    </row>
    <row r="948" spans="1:31" x14ac:dyDescent="0.25">
      <c r="A948">
        <v>1328</v>
      </c>
      <c r="B948">
        <v>1982</v>
      </c>
      <c r="C948" t="s">
        <v>46</v>
      </c>
      <c r="D948" t="s">
        <v>34</v>
      </c>
      <c r="E948" t="str">
        <f>IF(OR(Table1[[#This Row],[marital_status]]="Married", Table1[[#This Row],[marital_status]]="Together"), "Partnered", "Single")</f>
        <v>Partnered</v>
      </c>
      <c r="F948" s="7">
        <v>57937</v>
      </c>
      <c r="G948" s="8">
        <v>0</v>
      </c>
      <c r="H948" s="8">
        <v>1</v>
      </c>
      <c r="I948" s="8">
        <f>Table1[[#This Row],[kids]]+Table1[[#This Row],[teens]]</f>
        <v>1</v>
      </c>
      <c r="J948" s="9">
        <v>41686</v>
      </c>
      <c r="K948" s="8">
        <v>56</v>
      </c>
      <c r="L948" s="6">
        <v>261</v>
      </c>
      <c r="M948" s="5">
        <v>42</v>
      </c>
      <c r="N948" s="5">
        <v>144</v>
      </c>
      <c r="O948" s="5">
        <v>55</v>
      </c>
      <c r="P948" s="5">
        <v>48</v>
      </c>
      <c r="Q948" s="5">
        <v>133</v>
      </c>
      <c r="R948" s="8">
        <v>3</v>
      </c>
      <c r="S948" s="8">
        <v>4</v>
      </c>
      <c r="T948" s="8">
        <v>4</v>
      </c>
      <c r="U948" s="8">
        <v>9</v>
      </c>
      <c r="V948" s="8">
        <v>3</v>
      </c>
      <c r="W948" t="s">
        <v>473</v>
      </c>
      <c r="X948" t="s">
        <v>473</v>
      </c>
      <c r="Y948" t="s">
        <v>473</v>
      </c>
      <c r="Z948" t="s">
        <v>473</v>
      </c>
      <c r="AA948" t="s">
        <v>473</v>
      </c>
      <c r="AB948" t="s">
        <v>473</v>
      </c>
      <c r="AC948" s="10">
        <v>3</v>
      </c>
      <c r="AD948" s="10">
        <v>11</v>
      </c>
      <c r="AE948" t="s">
        <v>473</v>
      </c>
    </row>
    <row r="949" spans="1:31" x14ac:dyDescent="0.25">
      <c r="A949">
        <v>8405</v>
      </c>
      <c r="B949">
        <v>1979</v>
      </c>
      <c r="C949" t="s">
        <v>466</v>
      </c>
      <c r="D949" t="s">
        <v>37</v>
      </c>
      <c r="E949" t="str">
        <f>IF(OR(Table1[[#This Row],[marital_status]]="Married", Table1[[#This Row],[marital_status]]="Together"), "Partnered", "Single")</f>
        <v>Single</v>
      </c>
      <c r="F949" s="7">
        <v>68274</v>
      </c>
      <c r="G949" s="8">
        <v>1</v>
      </c>
      <c r="H949" s="8">
        <v>1</v>
      </c>
      <c r="I949" s="8">
        <f>Table1[[#This Row],[kids]]+Table1[[#This Row],[teens]]</f>
        <v>2</v>
      </c>
      <c r="J949" s="9">
        <v>41547</v>
      </c>
      <c r="K949" s="8">
        <v>83</v>
      </c>
      <c r="L949" s="6">
        <v>135</v>
      </c>
      <c r="M949" s="5">
        <v>25</v>
      </c>
      <c r="N949" s="5">
        <v>51</v>
      </c>
      <c r="O949" s="5">
        <v>23</v>
      </c>
      <c r="P949" s="5">
        <v>25</v>
      </c>
      <c r="Q949" s="5">
        <v>46</v>
      </c>
      <c r="R949" s="8">
        <v>2</v>
      </c>
      <c r="S949" s="8">
        <v>4</v>
      </c>
      <c r="T949" s="8">
        <v>2</v>
      </c>
      <c r="U949" s="8">
        <v>5</v>
      </c>
      <c r="V949" s="8">
        <v>3</v>
      </c>
      <c r="W949" t="s">
        <v>473</v>
      </c>
      <c r="X949" t="s">
        <v>473</v>
      </c>
      <c r="Y949" t="s">
        <v>473</v>
      </c>
      <c r="Z949" t="s">
        <v>473</v>
      </c>
      <c r="AA949" t="s">
        <v>473</v>
      </c>
      <c r="AB949" t="s">
        <v>473</v>
      </c>
      <c r="AC949" s="10">
        <v>3</v>
      </c>
      <c r="AD949" s="10">
        <v>11</v>
      </c>
      <c r="AE949" t="s">
        <v>473</v>
      </c>
    </row>
    <row r="950" spans="1:31" x14ac:dyDescent="0.25">
      <c r="A950">
        <v>6515</v>
      </c>
      <c r="B950">
        <v>1977</v>
      </c>
      <c r="C950" t="s">
        <v>466</v>
      </c>
      <c r="D950" t="s">
        <v>31</v>
      </c>
      <c r="E950" t="str">
        <f>IF(OR(Table1[[#This Row],[marital_status]]="Married", Table1[[#This Row],[marital_status]]="Together"), "Partnered", "Single")</f>
        <v>Partnered</v>
      </c>
      <c r="F950" s="7">
        <v>39771</v>
      </c>
      <c r="G950" s="8">
        <v>1</v>
      </c>
      <c r="H950" s="8">
        <v>0</v>
      </c>
      <c r="I950" s="8">
        <f>Table1[[#This Row],[kids]]+Table1[[#This Row],[teens]]</f>
        <v>1</v>
      </c>
      <c r="J950" s="9">
        <v>41614</v>
      </c>
      <c r="K950" s="8">
        <v>92</v>
      </c>
      <c r="L950" s="6">
        <v>6</v>
      </c>
      <c r="M950" s="5">
        <v>2</v>
      </c>
      <c r="N950" s="5">
        <v>18</v>
      </c>
      <c r="O950" s="5">
        <v>2</v>
      </c>
      <c r="P950" s="5">
        <v>8</v>
      </c>
      <c r="Q950" s="5">
        <v>14</v>
      </c>
      <c r="R950" s="8">
        <v>1</v>
      </c>
      <c r="S950" s="8">
        <v>2</v>
      </c>
      <c r="T950" s="8">
        <v>0</v>
      </c>
      <c r="U950" s="8">
        <v>3</v>
      </c>
      <c r="V950" s="8">
        <v>4</v>
      </c>
      <c r="W950" t="s">
        <v>473</v>
      </c>
      <c r="X950" t="s">
        <v>473</v>
      </c>
      <c r="Y950" t="s">
        <v>473</v>
      </c>
      <c r="Z950" t="s">
        <v>473</v>
      </c>
      <c r="AA950" t="s">
        <v>473</v>
      </c>
      <c r="AB950" t="s">
        <v>473</v>
      </c>
      <c r="AC950" s="10">
        <v>3</v>
      </c>
      <c r="AD950" s="10">
        <v>11</v>
      </c>
      <c r="AE950" t="s">
        <v>473</v>
      </c>
    </row>
    <row r="951" spans="1:31" x14ac:dyDescent="0.25">
      <c r="A951">
        <v>2882</v>
      </c>
      <c r="B951">
        <v>1975</v>
      </c>
      <c r="C951" t="s">
        <v>46</v>
      </c>
      <c r="D951" t="s">
        <v>37</v>
      </c>
      <c r="E951" t="str">
        <f>IF(OR(Table1[[#This Row],[marital_status]]="Married", Table1[[#This Row],[marital_status]]="Together"), "Partnered", "Single")</f>
        <v>Single</v>
      </c>
      <c r="F951" s="7">
        <v>67893</v>
      </c>
      <c r="G951" s="8">
        <v>0</v>
      </c>
      <c r="H951" s="8">
        <v>1</v>
      </c>
      <c r="I951" s="8">
        <f>Table1[[#This Row],[kids]]+Table1[[#This Row],[teens]]</f>
        <v>1</v>
      </c>
      <c r="J951" s="9">
        <v>41183</v>
      </c>
      <c r="K951" s="8">
        <v>31</v>
      </c>
      <c r="L951" s="6">
        <v>711</v>
      </c>
      <c r="M951" s="5">
        <v>28</v>
      </c>
      <c r="N951" s="5">
        <v>142</v>
      </c>
      <c r="O951" s="5">
        <v>49</v>
      </c>
      <c r="P951" s="5">
        <v>18</v>
      </c>
      <c r="Q951" s="5">
        <v>47</v>
      </c>
      <c r="R951" s="8">
        <v>2</v>
      </c>
      <c r="S951" s="8">
        <v>3</v>
      </c>
      <c r="T951" s="8">
        <v>2</v>
      </c>
      <c r="U951" s="8">
        <v>9</v>
      </c>
      <c r="V951" s="8">
        <v>8</v>
      </c>
      <c r="W951" t="s">
        <v>473</v>
      </c>
      <c r="X951" t="s">
        <v>473</v>
      </c>
      <c r="Y951" t="s">
        <v>473</v>
      </c>
      <c r="Z951" t="s">
        <v>473</v>
      </c>
      <c r="AA951" t="s">
        <v>473</v>
      </c>
      <c r="AB951" t="s">
        <v>473</v>
      </c>
      <c r="AC951" s="10">
        <v>3</v>
      </c>
      <c r="AD951" s="10">
        <v>11</v>
      </c>
      <c r="AE951" t="s">
        <v>473</v>
      </c>
    </row>
    <row r="952" spans="1:31" x14ac:dyDescent="0.25">
      <c r="A952">
        <v>7574</v>
      </c>
      <c r="B952">
        <v>1979</v>
      </c>
      <c r="C952" t="s">
        <v>33</v>
      </c>
      <c r="D952" t="s">
        <v>31</v>
      </c>
      <c r="E952" t="str">
        <f>IF(OR(Table1[[#This Row],[marital_status]]="Married", Table1[[#This Row],[marital_status]]="Together"), "Partnered", "Single")</f>
        <v>Partnered</v>
      </c>
      <c r="F952" s="7">
        <v>27922</v>
      </c>
      <c r="G952" s="8">
        <v>1</v>
      </c>
      <c r="H952" s="8">
        <v>0</v>
      </c>
      <c r="I952" s="8">
        <f>Table1[[#This Row],[kids]]+Table1[[#This Row],[teens]]</f>
        <v>1</v>
      </c>
      <c r="J952" s="9">
        <v>41769</v>
      </c>
      <c r="K952" s="8">
        <v>80</v>
      </c>
      <c r="L952" s="6">
        <v>11</v>
      </c>
      <c r="M952" s="5">
        <v>0</v>
      </c>
      <c r="N952" s="5">
        <v>13</v>
      </c>
      <c r="O952" s="5">
        <v>2</v>
      </c>
      <c r="P952" s="5">
        <v>4</v>
      </c>
      <c r="Q952" s="5">
        <v>11</v>
      </c>
      <c r="R952" s="8">
        <v>1</v>
      </c>
      <c r="S952" s="8">
        <v>2</v>
      </c>
      <c r="T952" s="8">
        <v>0</v>
      </c>
      <c r="U952" s="8">
        <v>3</v>
      </c>
      <c r="V952" s="8">
        <v>4</v>
      </c>
      <c r="W952" t="s">
        <v>473</v>
      </c>
      <c r="X952" t="s">
        <v>473</v>
      </c>
      <c r="Y952" t="s">
        <v>473</v>
      </c>
      <c r="Z952" t="s">
        <v>473</v>
      </c>
      <c r="AA952" t="s">
        <v>473</v>
      </c>
      <c r="AB952" t="s">
        <v>473</v>
      </c>
      <c r="AC952" s="10">
        <v>3</v>
      </c>
      <c r="AD952" s="10">
        <v>11</v>
      </c>
      <c r="AE952" t="s">
        <v>473</v>
      </c>
    </row>
    <row r="953" spans="1:31" x14ac:dyDescent="0.25">
      <c r="A953">
        <v>6387</v>
      </c>
      <c r="B953">
        <v>1976</v>
      </c>
      <c r="C953" t="s">
        <v>33</v>
      </c>
      <c r="D953" t="s">
        <v>31</v>
      </c>
      <c r="E953" t="str">
        <f>IF(OR(Table1[[#This Row],[marital_status]]="Married", Table1[[#This Row],[marital_status]]="Together"), "Partnered", "Single")</f>
        <v>Partnered</v>
      </c>
      <c r="F953" s="7">
        <v>52190</v>
      </c>
      <c r="G953" s="8">
        <v>1</v>
      </c>
      <c r="H953" s="8">
        <v>1</v>
      </c>
      <c r="I953" s="8">
        <f>Table1[[#This Row],[kids]]+Table1[[#This Row],[teens]]</f>
        <v>2</v>
      </c>
      <c r="J953" s="9">
        <v>41767</v>
      </c>
      <c r="K953" s="8">
        <v>39</v>
      </c>
      <c r="L953" s="6">
        <v>42</v>
      </c>
      <c r="M953" s="5">
        <v>0</v>
      </c>
      <c r="N953" s="5">
        <v>17</v>
      </c>
      <c r="O953" s="5">
        <v>0</v>
      </c>
      <c r="P953" s="5">
        <v>0</v>
      </c>
      <c r="Q953" s="5">
        <v>18</v>
      </c>
      <c r="R953" s="8">
        <v>3</v>
      </c>
      <c r="S953" s="8">
        <v>2</v>
      </c>
      <c r="T953" s="8">
        <v>1</v>
      </c>
      <c r="U953" s="8">
        <v>3</v>
      </c>
      <c r="V953" s="8">
        <v>5</v>
      </c>
      <c r="W953" t="s">
        <v>474</v>
      </c>
      <c r="X953" t="s">
        <v>473</v>
      </c>
      <c r="Y953" t="s">
        <v>473</v>
      </c>
      <c r="Z953" t="s">
        <v>473</v>
      </c>
      <c r="AA953" t="s">
        <v>473</v>
      </c>
      <c r="AB953" t="s">
        <v>473</v>
      </c>
      <c r="AC953" s="10">
        <v>3</v>
      </c>
      <c r="AD953" s="10">
        <v>11</v>
      </c>
      <c r="AE953" t="s">
        <v>473</v>
      </c>
    </row>
    <row r="954" spans="1:31" x14ac:dyDescent="0.25">
      <c r="A954">
        <v>5320</v>
      </c>
      <c r="B954">
        <v>1973</v>
      </c>
      <c r="C954" t="s">
        <v>36</v>
      </c>
      <c r="D954" t="s">
        <v>37</v>
      </c>
      <c r="E954" t="str">
        <f>IF(OR(Table1[[#This Row],[marital_status]]="Married", Table1[[#This Row],[marital_status]]="Together"), "Partnered", "Single")</f>
        <v>Single</v>
      </c>
      <c r="F954" s="7">
        <v>44051</v>
      </c>
      <c r="G954" s="8">
        <v>1</v>
      </c>
      <c r="H954" s="8">
        <v>1</v>
      </c>
      <c r="I954" s="8">
        <f>Table1[[#This Row],[kids]]+Table1[[#This Row],[teens]]</f>
        <v>2</v>
      </c>
      <c r="J954" s="9">
        <v>41303</v>
      </c>
      <c r="K954" s="8">
        <v>20</v>
      </c>
      <c r="L954" s="6">
        <v>79</v>
      </c>
      <c r="M954" s="5">
        <v>7</v>
      </c>
      <c r="N954" s="5">
        <v>58</v>
      </c>
      <c r="O954" s="5">
        <v>6</v>
      </c>
      <c r="P954" s="5">
        <v>3</v>
      </c>
      <c r="Q954" s="5">
        <v>18</v>
      </c>
      <c r="R954" s="8">
        <v>4</v>
      </c>
      <c r="S954" s="8">
        <v>3</v>
      </c>
      <c r="T954" s="8">
        <v>1</v>
      </c>
      <c r="U954" s="8">
        <v>4</v>
      </c>
      <c r="V954" s="8">
        <v>6</v>
      </c>
      <c r="W954" t="s">
        <v>473</v>
      </c>
      <c r="X954" t="s">
        <v>473</v>
      </c>
      <c r="Y954" t="s">
        <v>473</v>
      </c>
      <c r="Z954" t="s">
        <v>473</v>
      </c>
      <c r="AA954" t="s">
        <v>473</v>
      </c>
      <c r="AB954" t="s">
        <v>473</v>
      </c>
      <c r="AC954" s="10">
        <v>3</v>
      </c>
      <c r="AD954" s="10">
        <v>11</v>
      </c>
      <c r="AE954" t="s">
        <v>474</v>
      </c>
    </row>
    <row r="955" spans="1:31" x14ac:dyDescent="0.25">
      <c r="A955">
        <v>5048</v>
      </c>
      <c r="B955">
        <v>1971</v>
      </c>
      <c r="C955" t="s">
        <v>33</v>
      </c>
      <c r="D955" t="s">
        <v>30</v>
      </c>
      <c r="E955" t="str">
        <f>IF(OR(Table1[[#This Row],[marital_status]]="Married", Table1[[#This Row],[marital_status]]="Together"), "Partnered", "Single")</f>
        <v>Single</v>
      </c>
      <c r="F955" s="7">
        <v>42767</v>
      </c>
      <c r="G955" s="8">
        <v>2</v>
      </c>
      <c r="H955" s="8">
        <v>0</v>
      </c>
      <c r="I955" s="8">
        <f>Table1[[#This Row],[kids]]+Table1[[#This Row],[teens]]</f>
        <v>2</v>
      </c>
      <c r="J955" s="9">
        <v>41405</v>
      </c>
      <c r="K955" s="8">
        <v>53</v>
      </c>
      <c r="L955" s="6">
        <v>20</v>
      </c>
      <c r="M955" s="5">
        <v>6</v>
      </c>
      <c r="N955" s="5">
        <v>43</v>
      </c>
      <c r="O955" s="5">
        <v>19</v>
      </c>
      <c r="P955" s="5">
        <v>5</v>
      </c>
      <c r="Q955" s="5">
        <v>38</v>
      </c>
      <c r="R955" s="8">
        <v>1</v>
      </c>
      <c r="S955" s="8">
        <v>3</v>
      </c>
      <c r="T955" s="8">
        <v>1</v>
      </c>
      <c r="U955" s="8">
        <v>2</v>
      </c>
      <c r="V955" s="8">
        <v>8</v>
      </c>
      <c r="W955" t="s">
        <v>473</v>
      </c>
      <c r="X955" t="s">
        <v>473</v>
      </c>
      <c r="Y955" t="s">
        <v>473</v>
      </c>
      <c r="Z955" t="s">
        <v>473</v>
      </c>
      <c r="AA955" t="s">
        <v>473</v>
      </c>
      <c r="AB955" t="s">
        <v>473</v>
      </c>
      <c r="AC955" s="10">
        <v>3</v>
      </c>
      <c r="AD955" s="10">
        <v>11</v>
      </c>
      <c r="AE955" t="s">
        <v>473</v>
      </c>
    </row>
    <row r="956" spans="1:31" x14ac:dyDescent="0.25">
      <c r="A956">
        <v>8146</v>
      </c>
      <c r="B956">
        <v>1976</v>
      </c>
      <c r="C956" t="s">
        <v>36</v>
      </c>
      <c r="D956" t="s">
        <v>31</v>
      </c>
      <c r="E956" t="str">
        <f>IF(OR(Table1[[#This Row],[marital_status]]="Married", Table1[[#This Row],[marital_status]]="Together"), "Partnered", "Single")</f>
        <v>Partnered</v>
      </c>
      <c r="F956" s="7">
        <v>46106</v>
      </c>
      <c r="G956" s="8">
        <v>1</v>
      </c>
      <c r="H956" s="8">
        <v>1</v>
      </c>
      <c r="I956" s="8">
        <f>Table1[[#This Row],[kids]]+Table1[[#This Row],[teens]]</f>
        <v>2</v>
      </c>
      <c r="J956" s="9">
        <v>41770</v>
      </c>
      <c r="K956" s="8">
        <v>84</v>
      </c>
      <c r="L956" s="6">
        <v>30</v>
      </c>
      <c r="M956" s="5">
        <v>0</v>
      </c>
      <c r="N956" s="5">
        <v>8</v>
      </c>
      <c r="O956" s="5">
        <v>2</v>
      </c>
      <c r="P956" s="5">
        <v>0</v>
      </c>
      <c r="Q956" s="5">
        <v>14</v>
      </c>
      <c r="R956" s="8">
        <v>1</v>
      </c>
      <c r="S956" s="8">
        <v>1</v>
      </c>
      <c r="T956" s="8">
        <v>1</v>
      </c>
      <c r="U956" s="8">
        <v>2</v>
      </c>
      <c r="V956" s="8">
        <v>6</v>
      </c>
      <c r="W956" t="s">
        <v>473</v>
      </c>
      <c r="X956" t="s">
        <v>473</v>
      </c>
      <c r="Y956" t="s">
        <v>473</v>
      </c>
      <c r="Z956" t="s">
        <v>473</v>
      </c>
      <c r="AA956" t="s">
        <v>473</v>
      </c>
      <c r="AB956" t="s">
        <v>473</v>
      </c>
      <c r="AC956" s="10">
        <v>3</v>
      </c>
      <c r="AD956" s="10">
        <v>11</v>
      </c>
      <c r="AE956" t="s">
        <v>473</v>
      </c>
    </row>
    <row r="957" spans="1:31" x14ac:dyDescent="0.25">
      <c r="A957">
        <v>10031</v>
      </c>
      <c r="B957">
        <v>1976</v>
      </c>
      <c r="C957" t="s">
        <v>33</v>
      </c>
      <c r="D957" t="s">
        <v>34</v>
      </c>
      <c r="E957" t="str">
        <f>IF(OR(Table1[[#This Row],[marital_status]]="Married", Table1[[#This Row],[marital_status]]="Together"), "Partnered", "Single")</f>
        <v>Partnered</v>
      </c>
      <c r="F957" s="7">
        <v>16927</v>
      </c>
      <c r="G957" s="8">
        <v>1</v>
      </c>
      <c r="H957" s="8">
        <v>1</v>
      </c>
      <c r="I957" s="8">
        <f>Table1[[#This Row],[kids]]+Table1[[#This Row],[teens]]</f>
        <v>2</v>
      </c>
      <c r="J957" s="9">
        <v>41315</v>
      </c>
      <c r="K957" s="8">
        <v>50</v>
      </c>
      <c r="L957" s="6">
        <v>20</v>
      </c>
      <c r="M957" s="5">
        <v>2</v>
      </c>
      <c r="N957" s="5">
        <v>23</v>
      </c>
      <c r="O957" s="5">
        <v>3</v>
      </c>
      <c r="P957" s="5">
        <v>1</v>
      </c>
      <c r="Q957" s="5">
        <v>4</v>
      </c>
      <c r="R957" s="8">
        <v>5</v>
      </c>
      <c r="S957" s="8">
        <v>3</v>
      </c>
      <c r="T957" s="8">
        <v>0</v>
      </c>
      <c r="U957" s="8">
        <v>4</v>
      </c>
      <c r="V957" s="8">
        <v>8</v>
      </c>
      <c r="W957" t="s">
        <v>473</v>
      </c>
      <c r="X957" t="s">
        <v>473</v>
      </c>
      <c r="Y957" t="s">
        <v>473</v>
      </c>
      <c r="Z957" t="s">
        <v>473</v>
      </c>
      <c r="AA957" t="s">
        <v>473</v>
      </c>
      <c r="AB957" t="s">
        <v>473</v>
      </c>
      <c r="AC957" s="10">
        <v>3</v>
      </c>
      <c r="AD957" s="10">
        <v>11</v>
      </c>
      <c r="AE957" t="s">
        <v>473</v>
      </c>
    </row>
    <row r="958" spans="1:31" x14ac:dyDescent="0.25">
      <c r="A958">
        <v>5748</v>
      </c>
      <c r="B958">
        <v>1965</v>
      </c>
      <c r="C958" t="s">
        <v>466</v>
      </c>
      <c r="D958" t="s">
        <v>34</v>
      </c>
      <c r="E958" t="str">
        <f>IF(OR(Table1[[#This Row],[marital_status]]="Married", Table1[[#This Row],[marital_status]]="Together"), "Partnered", "Single")</f>
        <v>Partnered</v>
      </c>
      <c r="F958" s="7">
        <v>59754</v>
      </c>
      <c r="G958" s="8">
        <v>0</v>
      </c>
      <c r="H958" s="8">
        <v>1</v>
      </c>
      <c r="I958" s="8">
        <f>Table1[[#This Row],[kids]]+Table1[[#This Row],[teens]]</f>
        <v>1</v>
      </c>
      <c r="J958" s="9">
        <v>41244</v>
      </c>
      <c r="K958" s="8">
        <v>96</v>
      </c>
      <c r="L958" s="6">
        <v>115</v>
      </c>
      <c r="M958" s="5">
        <v>27</v>
      </c>
      <c r="N958" s="5">
        <v>44</v>
      </c>
      <c r="O958" s="5">
        <v>4</v>
      </c>
      <c r="P958" s="5">
        <v>146</v>
      </c>
      <c r="Q958" s="5">
        <v>139</v>
      </c>
      <c r="R958" s="8">
        <v>3</v>
      </c>
      <c r="S958" s="8">
        <v>5</v>
      </c>
      <c r="T958" s="8">
        <v>2</v>
      </c>
      <c r="U958" s="8">
        <v>6</v>
      </c>
      <c r="V958" s="8">
        <v>5</v>
      </c>
      <c r="W958" t="s">
        <v>473</v>
      </c>
      <c r="X958" t="s">
        <v>473</v>
      </c>
      <c r="Y958" t="s">
        <v>473</v>
      </c>
      <c r="Z958" t="s">
        <v>473</v>
      </c>
      <c r="AA958" t="s">
        <v>473</v>
      </c>
      <c r="AB958" t="s">
        <v>473</v>
      </c>
      <c r="AC958" s="10">
        <v>3</v>
      </c>
      <c r="AD958" s="10">
        <v>11</v>
      </c>
      <c r="AE958" t="s">
        <v>474</v>
      </c>
    </row>
    <row r="959" spans="1:31" x14ac:dyDescent="0.25">
      <c r="A959">
        <v>2134</v>
      </c>
      <c r="B959">
        <v>1952</v>
      </c>
      <c r="C959" t="s">
        <v>466</v>
      </c>
      <c r="D959" t="s">
        <v>30</v>
      </c>
      <c r="E959" t="str">
        <f>IF(OR(Table1[[#This Row],[marital_status]]="Married", Table1[[#This Row],[marital_status]]="Together"), "Partnered", "Single")</f>
        <v>Single</v>
      </c>
      <c r="F959" s="7">
        <v>53700</v>
      </c>
      <c r="G959" s="8">
        <v>0</v>
      </c>
      <c r="H959" s="8">
        <v>1</v>
      </c>
      <c r="I959" s="8">
        <f>Table1[[#This Row],[kids]]+Table1[[#This Row],[teens]]</f>
        <v>1</v>
      </c>
      <c r="J959" s="9">
        <v>41138</v>
      </c>
      <c r="K959" s="8">
        <v>94</v>
      </c>
      <c r="L959" s="6">
        <v>263</v>
      </c>
      <c r="M959" s="5">
        <v>5</v>
      </c>
      <c r="N959" s="5">
        <v>233</v>
      </c>
      <c r="O959" s="5">
        <v>69</v>
      </c>
      <c r="P959" s="5">
        <v>41</v>
      </c>
      <c r="Q959" s="5">
        <v>83</v>
      </c>
      <c r="R959" s="8">
        <v>4</v>
      </c>
      <c r="S959" s="8">
        <v>5</v>
      </c>
      <c r="T959" s="8">
        <v>5</v>
      </c>
      <c r="U959" s="8">
        <v>8</v>
      </c>
      <c r="V959" s="8">
        <v>5</v>
      </c>
      <c r="W959" t="s">
        <v>473</v>
      </c>
      <c r="X959" t="s">
        <v>473</v>
      </c>
      <c r="Y959" t="s">
        <v>473</v>
      </c>
      <c r="Z959" t="s">
        <v>473</v>
      </c>
      <c r="AA959" t="s">
        <v>473</v>
      </c>
      <c r="AB959" t="s">
        <v>473</v>
      </c>
      <c r="AC959" s="10">
        <v>3</v>
      </c>
      <c r="AD959" s="10">
        <v>11</v>
      </c>
      <c r="AE959" t="s">
        <v>473</v>
      </c>
    </row>
    <row r="960" spans="1:31" x14ac:dyDescent="0.25">
      <c r="A960">
        <v>1523</v>
      </c>
      <c r="B960">
        <v>1973</v>
      </c>
      <c r="C960" t="s">
        <v>466</v>
      </c>
      <c r="D960" t="s">
        <v>34</v>
      </c>
      <c r="E960" t="str">
        <f>IF(OR(Table1[[#This Row],[marital_status]]="Married", Table1[[#This Row],[marital_status]]="Together"), "Partnered", "Single")</f>
        <v>Partnered</v>
      </c>
      <c r="F960" s="7">
        <v>59041</v>
      </c>
      <c r="G960" s="8">
        <v>1</v>
      </c>
      <c r="H960" s="8">
        <v>1</v>
      </c>
      <c r="I960" s="8">
        <f>Table1[[#This Row],[kids]]+Table1[[#This Row],[teens]]</f>
        <v>2</v>
      </c>
      <c r="J960" s="9">
        <v>41766</v>
      </c>
      <c r="K960" s="8">
        <v>25</v>
      </c>
      <c r="L960" s="6">
        <v>69</v>
      </c>
      <c r="M960" s="5">
        <v>2</v>
      </c>
      <c r="N960" s="5">
        <v>15</v>
      </c>
      <c r="O960" s="5">
        <v>2</v>
      </c>
      <c r="P960" s="5">
        <v>2</v>
      </c>
      <c r="Q960" s="5">
        <v>6</v>
      </c>
      <c r="R960" s="8">
        <v>2</v>
      </c>
      <c r="S960" s="8">
        <v>2</v>
      </c>
      <c r="T960" s="8">
        <v>0</v>
      </c>
      <c r="U960" s="8">
        <v>4</v>
      </c>
      <c r="V960" s="8">
        <v>5</v>
      </c>
      <c r="W960" t="s">
        <v>473</v>
      </c>
      <c r="X960" t="s">
        <v>473</v>
      </c>
      <c r="Y960" t="s">
        <v>473</v>
      </c>
      <c r="Z960" t="s">
        <v>473</v>
      </c>
      <c r="AA960" t="s">
        <v>473</v>
      </c>
      <c r="AB960" t="s">
        <v>473</v>
      </c>
      <c r="AC960" s="10">
        <v>3</v>
      </c>
      <c r="AD960" s="10">
        <v>11</v>
      </c>
      <c r="AE960" t="s">
        <v>473</v>
      </c>
    </row>
    <row r="961" spans="1:31" x14ac:dyDescent="0.25">
      <c r="A961">
        <v>9665</v>
      </c>
      <c r="B961">
        <v>1957</v>
      </c>
      <c r="C961" t="s">
        <v>33</v>
      </c>
      <c r="D961" t="s">
        <v>37</v>
      </c>
      <c r="E961" t="str">
        <f>IF(OR(Table1[[#This Row],[marital_status]]="Married", Table1[[#This Row],[marital_status]]="Together"), "Partnered", "Single")</f>
        <v>Single</v>
      </c>
      <c r="F961" s="7">
        <v>54237</v>
      </c>
      <c r="G961" s="8">
        <v>0</v>
      </c>
      <c r="H961" s="8">
        <v>1</v>
      </c>
      <c r="I961" s="8">
        <f>Table1[[#This Row],[kids]]+Table1[[#This Row],[teens]]</f>
        <v>1</v>
      </c>
      <c r="J961" s="9">
        <v>41391</v>
      </c>
      <c r="K961" s="8">
        <v>48</v>
      </c>
      <c r="L961" s="6">
        <v>267</v>
      </c>
      <c r="M961" s="5">
        <v>3</v>
      </c>
      <c r="N961" s="5">
        <v>30</v>
      </c>
      <c r="O961" s="5">
        <v>4</v>
      </c>
      <c r="P961" s="5">
        <v>0</v>
      </c>
      <c r="Q961" s="5">
        <v>57</v>
      </c>
      <c r="R961" s="8">
        <v>4</v>
      </c>
      <c r="S961" s="8">
        <v>5</v>
      </c>
      <c r="T961" s="8">
        <v>2</v>
      </c>
      <c r="U961" s="8">
        <v>5</v>
      </c>
      <c r="V961" s="8">
        <v>6</v>
      </c>
      <c r="W961" t="s">
        <v>473</v>
      </c>
      <c r="X961" t="s">
        <v>473</v>
      </c>
      <c r="Y961" t="s">
        <v>473</v>
      </c>
      <c r="Z961" t="s">
        <v>473</v>
      </c>
      <c r="AA961" t="s">
        <v>473</v>
      </c>
      <c r="AB961" t="s">
        <v>473</v>
      </c>
      <c r="AC961" s="10">
        <v>3</v>
      </c>
      <c r="AD961" s="10">
        <v>11</v>
      </c>
      <c r="AE961" t="s">
        <v>473</v>
      </c>
    </row>
    <row r="962" spans="1:31" x14ac:dyDescent="0.25">
      <c r="A962">
        <v>4640</v>
      </c>
      <c r="B962">
        <v>1967</v>
      </c>
      <c r="C962" t="s">
        <v>466</v>
      </c>
      <c r="D962" t="s">
        <v>37</v>
      </c>
      <c r="E962" t="str">
        <f>IF(OR(Table1[[#This Row],[marital_status]]="Married", Table1[[#This Row],[marital_status]]="Together"), "Partnered", "Single")</f>
        <v>Single</v>
      </c>
      <c r="F962" s="7">
        <v>70647</v>
      </c>
      <c r="G962" s="8">
        <v>0</v>
      </c>
      <c r="H962" s="8">
        <v>1</v>
      </c>
      <c r="I962" s="8">
        <f>Table1[[#This Row],[kids]]+Table1[[#This Row],[teens]]</f>
        <v>1</v>
      </c>
      <c r="J962" s="9">
        <v>41173</v>
      </c>
      <c r="K962" s="8">
        <v>65</v>
      </c>
      <c r="L962" s="6">
        <v>561</v>
      </c>
      <c r="M962" s="5">
        <v>85</v>
      </c>
      <c r="N962" s="5">
        <v>171</v>
      </c>
      <c r="O962" s="5">
        <v>25</v>
      </c>
      <c r="P962" s="5">
        <v>123</v>
      </c>
      <c r="Q962" s="5">
        <v>114</v>
      </c>
      <c r="R962" s="8">
        <v>2</v>
      </c>
      <c r="S962" s="8">
        <v>4</v>
      </c>
      <c r="T962" s="8">
        <v>7</v>
      </c>
      <c r="U962" s="8">
        <v>13</v>
      </c>
      <c r="V962" s="8">
        <v>2</v>
      </c>
      <c r="W962" t="s">
        <v>473</v>
      </c>
      <c r="X962" t="s">
        <v>473</v>
      </c>
      <c r="Y962" t="s">
        <v>473</v>
      </c>
      <c r="Z962" t="s">
        <v>473</v>
      </c>
      <c r="AA962" t="s">
        <v>473</v>
      </c>
      <c r="AB962" t="s">
        <v>473</v>
      </c>
      <c r="AC962" s="10">
        <v>3</v>
      </c>
      <c r="AD962" s="10">
        <v>11</v>
      </c>
      <c r="AE962" t="s">
        <v>473</v>
      </c>
    </row>
    <row r="963" spans="1:31" x14ac:dyDescent="0.25">
      <c r="A963">
        <v>3635</v>
      </c>
      <c r="B963">
        <v>1962</v>
      </c>
      <c r="C963" t="s">
        <v>33</v>
      </c>
      <c r="D963" t="s">
        <v>30</v>
      </c>
      <c r="E963" t="str">
        <f>IF(OR(Table1[[#This Row],[marital_status]]="Married", Table1[[#This Row],[marital_status]]="Together"), "Partnered", "Single")</f>
        <v>Single</v>
      </c>
      <c r="F963" s="7">
        <v>52597</v>
      </c>
      <c r="G963" s="8">
        <v>0</v>
      </c>
      <c r="H963" s="8">
        <v>1</v>
      </c>
      <c r="I963" s="8">
        <f>Table1[[#This Row],[kids]]+Table1[[#This Row],[teens]]</f>
        <v>1</v>
      </c>
      <c r="J963" s="9">
        <v>41766</v>
      </c>
      <c r="K963" s="8">
        <v>69</v>
      </c>
      <c r="L963" s="6">
        <v>492</v>
      </c>
      <c r="M963" s="5">
        <v>0</v>
      </c>
      <c r="N963" s="5">
        <v>37</v>
      </c>
      <c r="O963" s="5">
        <v>7</v>
      </c>
      <c r="P963" s="5">
        <v>0</v>
      </c>
      <c r="Q963" s="5">
        <v>42</v>
      </c>
      <c r="R963" s="8">
        <v>3</v>
      </c>
      <c r="S963" s="8">
        <v>6</v>
      </c>
      <c r="T963" s="8">
        <v>3</v>
      </c>
      <c r="U963" s="8">
        <v>8</v>
      </c>
      <c r="V963" s="8">
        <v>5</v>
      </c>
      <c r="W963" t="s">
        <v>473</v>
      </c>
      <c r="X963" t="s">
        <v>473</v>
      </c>
      <c r="Y963" t="s">
        <v>473</v>
      </c>
      <c r="Z963" t="s">
        <v>473</v>
      </c>
      <c r="AA963" t="s">
        <v>473</v>
      </c>
      <c r="AB963" t="s">
        <v>473</v>
      </c>
      <c r="AC963" s="10">
        <v>3</v>
      </c>
      <c r="AD963" s="10">
        <v>11</v>
      </c>
      <c r="AE963" t="s">
        <v>473</v>
      </c>
    </row>
    <row r="964" spans="1:31" x14ac:dyDescent="0.25">
      <c r="A964">
        <v>3547</v>
      </c>
      <c r="B964">
        <v>1969</v>
      </c>
      <c r="C964" t="s">
        <v>36</v>
      </c>
      <c r="D964" t="s">
        <v>31</v>
      </c>
      <c r="E964" t="str">
        <f>IF(OR(Table1[[#This Row],[marital_status]]="Married", Table1[[#This Row],[marital_status]]="Together"), "Partnered", "Single")</f>
        <v>Partnered</v>
      </c>
      <c r="F964" s="7">
        <v>41021</v>
      </c>
      <c r="G964" s="8">
        <v>1</v>
      </c>
      <c r="H964" s="8">
        <v>0</v>
      </c>
      <c r="I964" s="8">
        <f>Table1[[#This Row],[kids]]+Table1[[#This Row],[teens]]</f>
        <v>1</v>
      </c>
      <c r="J964" s="9">
        <v>41273</v>
      </c>
      <c r="K964" s="8">
        <v>12</v>
      </c>
      <c r="L964" s="6">
        <v>14</v>
      </c>
      <c r="M964" s="5">
        <v>7</v>
      </c>
      <c r="N964" s="5">
        <v>9</v>
      </c>
      <c r="O964" s="5">
        <v>6</v>
      </c>
      <c r="P964" s="5">
        <v>16</v>
      </c>
      <c r="Q964" s="5">
        <v>12</v>
      </c>
      <c r="R964" s="8">
        <v>2</v>
      </c>
      <c r="S964" s="8">
        <v>2</v>
      </c>
      <c r="T964" s="8">
        <v>0</v>
      </c>
      <c r="U964" s="8">
        <v>3</v>
      </c>
      <c r="V964" s="8">
        <v>6</v>
      </c>
      <c r="W964" t="s">
        <v>473</v>
      </c>
      <c r="X964" t="s">
        <v>473</v>
      </c>
      <c r="Y964" t="s">
        <v>473</v>
      </c>
      <c r="Z964" t="s">
        <v>473</v>
      </c>
      <c r="AA964" t="s">
        <v>473</v>
      </c>
      <c r="AB964" t="s">
        <v>473</v>
      </c>
      <c r="AC964" s="10">
        <v>3</v>
      </c>
      <c r="AD964" s="10">
        <v>11</v>
      </c>
      <c r="AE964" t="s">
        <v>474</v>
      </c>
    </row>
    <row r="965" spans="1:31" x14ac:dyDescent="0.25">
      <c r="A965">
        <v>2456</v>
      </c>
      <c r="B965">
        <v>1975</v>
      </c>
      <c r="C965" t="s">
        <v>33</v>
      </c>
      <c r="D965" t="s">
        <v>34</v>
      </c>
      <c r="E965" t="str">
        <f>IF(OR(Table1[[#This Row],[marital_status]]="Married", Table1[[#This Row],[marital_status]]="Together"), "Partnered", "Single")</f>
        <v>Partnered</v>
      </c>
      <c r="F965" s="7">
        <v>40233</v>
      </c>
      <c r="G965" s="8">
        <v>0</v>
      </c>
      <c r="H965" s="8">
        <v>1</v>
      </c>
      <c r="I965" s="8">
        <f>Table1[[#This Row],[kids]]+Table1[[#This Row],[teens]]</f>
        <v>1</v>
      </c>
      <c r="J965" s="9">
        <v>41561</v>
      </c>
      <c r="K965" s="8">
        <v>84</v>
      </c>
      <c r="L965" s="6">
        <v>80</v>
      </c>
      <c r="M965" s="5">
        <v>4</v>
      </c>
      <c r="N965" s="5">
        <v>46</v>
      </c>
      <c r="O965" s="5">
        <v>0</v>
      </c>
      <c r="P965" s="5">
        <v>17</v>
      </c>
      <c r="Q965" s="5">
        <v>2</v>
      </c>
      <c r="R965" s="8">
        <v>5</v>
      </c>
      <c r="S965" s="8">
        <v>2</v>
      </c>
      <c r="T965" s="8">
        <v>1</v>
      </c>
      <c r="U965" s="8">
        <v>5</v>
      </c>
      <c r="V965" s="8">
        <v>6</v>
      </c>
      <c r="W965" t="s">
        <v>473</v>
      </c>
      <c r="X965" t="s">
        <v>473</v>
      </c>
      <c r="Y965" t="s">
        <v>473</v>
      </c>
      <c r="Z965" t="s">
        <v>473</v>
      </c>
      <c r="AA965" t="s">
        <v>473</v>
      </c>
      <c r="AB965" t="s">
        <v>473</v>
      </c>
      <c r="AC965" s="10">
        <v>3</v>
      </c>
      <c r="AD965" s="10">
        <v>11</v>
      </c>
      <c r="AE965" t="s">
        <v>473</v>
      </c>
    </row>
    <row r="966" spans="1:31" x14ac:dyDescent="0.25">
      <c r="A966">
        <v>5633</v>
      </c>
      <c r="B966">
        <v>1980</v>
      </c>
      <c r="C966" t="s">
        <v>466</v>
      </c>
      <c r="D966" t="s">
        <v>34</v>
      </c>
      <c r="E966" t="str">
        <f>IF(OR(Table1[[#This Row],[marital_status]]="Married", Table1[[#This Row],[marital_status]]="Together"), "Partnered", "Single")</f>
        <v>Partnered</v>
      </c>
      <c r="F966" s="7">
        <v>50183</v>
      </c>
      <c r="G966" s="8">
        <v>1</v>
      </c>
      <c r="H966" s="8">
        <v>1</v>
      </c>
      <c r="I966" s="8">
        <f>Table1[[#This Row],[kids]]+Table1[[#This Row],[teens]]</f>
        <v>2</v>
      </c>
      <c r="J966" s="9">
        <v>41815</v>
      </c>
      <c r="K966" s="8">
        <v>47</v>
      </c>
      <c r="L966" s="6">
        <v>97</v>
      </c>
      <c r="M966" s="5">
        <v>12</v>
      </c>
      <c r="N966" s="5">
        <v>84</v>
      </c>
      <c r="O966" s="5">
        <v>13</v>
      </c>
      <c r="P966" s="5">
        <v>10</v>
      </c>
      <c r="Q966" s="5">
        <v>15</v>
      </c>
      <c r="R966" s="8">
        <v>7</v>
      </c>
      <c r="S966" s="8">
        <v>3</v>
      </c>
      <c r="T966" s="8">
        <v>1</v>
      </c>
      <c r="U966" s="8">
        <v>6</v>
      </c>
      <c r="V966" s="8">
        <v>5</v>
      </c>
      <c r="W966" t="s">
        <v>473</v>
      </c>
      <c r="X966" t="s">
        <v>473</v>
      </c>
      <c r="Y966" t="s">
        <v>473</v>
      </c>
      <c r="Z966" t="s">
        <v>473</v>
      </c>
      <c r="AA966" t="s">
        <v>473</v>
      </c>
      <c r="AB966" t="s">
        <v>473</v>
      </c>
      <c r="AC966" s="10">
        <v>3</v>
      </c>
      <c r="AD966" s="10">
        <v>11</v>
      </c>
      <c r="AE966" t="s">
        <v>473</v>
      </c>
    </row>
    <row r="967" spans="1:31" x14ac:dyDescent="0.25">
      <c r="A967">
        <v>7801</v>
      </c>
      <c r="B967">
        <v>1959</v>
      </c>
      <c r="C967" t="s">
        <v>466</v>
      </c>
      <c r="D967" t="s">
        <v>31</v>
      </c>
      <c r="E967" t="str">
        <f>IF(OR(Table1[[#This Row],[marital_status]]="Married", Table1[[#This Row],[marital_status]]="Together"), "Partnered", "Single")</f>
        <v>Partnered</v>
      </c>
      <c r="F967" s="7">
        <v>54753</v>
      </c>
      <c r="G967" s="8">
        <v>0</v>
      </c>
      <c r="H967" s="8">
        <v>1</v>
      </c>
      <c r="I967" s="8">
        <f>Table1[[#This Row],[kids]]+Table1[[#This Row],[teens]]</f>
        <v>1</v>
      </c>
      <c r="J967" s="9">
        <v>41529</v>
      </c>
      <c r="K967" s="8">
        <v>87</v>
      </c>
      <c r="L967" s="6">
        <v>197</v>
      </c>
      <c r="M967" s="5">
        <v>107</v>
      </c>
      <c r="N967" s="5">
        <v>227</v>
      </c>
      <c r="O967" s="5">
        <v>7</v>
      </c>
      <c r="P967" s="5">
        <v>59</v>
      </c>
      <c r="Q967" s="5">
        <v>131</v>
      </c>
      <c r="R967" s="8">
        <v>3</v>
      </c>
      <c r="S967" s="8">
        <v>5</v>
      </c>
      <c r="T967" s="8">
        <v>2</v>
      </c>
      <c r="U967" s="8">
        <v>11</v>
      </c>
      <c r="V967" s="8">
        <v>4</v>
      </c>
      <c r="W967" t="s">
        <v>473</v>
      </c>
      <c r="X967" t="s">
        <v>473</v>
      </c>
      <c r="Y967" t="s">
        <v>473</v>
      </c>
      <c r="Z967" t="s">
        <v>473</v>
      </c>
      <c r="AA967" t="s">
        <v>473</v>
      </c>
      <c r="AB967" t="s">
        <v>473</v>
      </c>
      <c r="AC967" s="10">
        <v>3</v>
      </c>
      <c r="AD967" s="10">
        <v>11</v>
      </c>
      <c r="AE967" t="s">
        <v>473</v>
      </c>
    </row>
    <row r="968" spans="1:31" x14ac:dyDescent="0.25">
      <c r="A968">
        <v>10489</v>
      </c>
      <c r="B968">
        <v>1973</v>
      </c>
      <c r="C968" t="s">
        <v>466</v>
      </c>
      <c r="D968" t="s">
        <v>34</v>
      </c>
      <c r="E968" t="str">
        <f>IF(OR(Table1[[#This Row],[marital_status]]="Married", Table1[[#This Row],[marital_status]]="Together"), "Partnered", "Single")</f>
        <v>Partnered</v>
      </c>
      <c r="F968" s="7">
        <v>92955</v>
      </c>
      <c r="G968" s="8">
        <v>0</v>
      </c>
      <c r="H968" s="8">
        <v>0</v>
      </c>
      <c r="I968" s="8">
        <f>Table1[[#This Row],[kids]]+Table1[[#This Row],[teens]]</f>
        <v>0</v>
      </c>
      <c r="J968" s="9">
        <v>41505</v>
      </c>
      <c r="K968" s="8">
        <v>35</v>
      </c>
      <c r="L968" s="6">
        <v>693</v>
      </c>
      <c r="M968" s="5">
        <v>21</v>
      </c>
      <c r="N968" s="5">
        <v>925</v>
      </c>
      <c r="O968" s="5">
        <v>31</v>
      </c>
      <c r="P968" s="5">
        <v>24</v>
      </c>
      <c r="Q968" s="5">
        <v>84</v>
      </c>
      <c r="R968" s="8">
        <v>1</v>
      </c>
      <c r="S968" s="8">
        <v>6</v>
      </c>
      <c r="T968" s="8">
        <v>7</v>
      </c>
      <c r="U968" s="8">
        <v>9</v>
      </c>
      <c r="V968" s="8">
        <v>2</v>
      </c>
      <c r="W968" t="s">
        <v>473</v>
      </c>
      <c r="X968" t="s">
        <v>473</v>
      </c>
      <c r="Y968" t="s">
        <v>474</v>
      </c>
      <c r="Z968" t="s">
        <v>474</v>
      </c>
      <c r="AA968" t="s">
        <v>473</v>
      </c>
      <c r="AB968" t="s">
        <v>473</v>
      </c>
      <c r="AC968" s="10">
        <v>3</v>
      </c>
      <c r="AD968" s="10">
        <v>11</v>
      </c>
      <c r="AE968" t="s">
        <v>474</v>
      </c>
    </row>
    <row r="969" spans="1:31" x14ac:dyDescent="0.25">
      <c r="A969">
        <v>7011</v>
      </c>
      <c r="B969">
        <v>1973</v>
      </c>
      <c r="C969" t="s">
        <v>466</v>
      </c>
      <c r="D969" t="s">
        <v>34</v>
      </c>
      <c r="E969" t="str">
        <f>IF(OR(Table1[[#This Row],[marital_status]]="Married", Table1[[#This Row],[marital_status]]="Together"), "Partnered", "Single")</f>
        <v>Partnered</v>
      </c>
      <c r="F969" s="7">
        <v>33471</v>
      </c>
      <c r="G969" s="8">
        <v>1</v>
      </c>
      <c r="H969" s="8">
        <v>0</v>
      </c>
      <c r="I969" s="8">
        <f>Table1[[#This Row],[kids]]+Table1[[#This Row],[teens]]</f>
        <v>1</v>
      </c>
      <c r="J969" s="9">
        <v>41194</v>
      </c>
      <c r="K969" s="8">
        <v>47</v>
      </c>
      <c r="L969" s="6">
        <v>43</v>
      </c>
      <c r="M969" s="5">
        <v>2</v>
      </c>
      <c r="N969" s="5">
        <v>27</v>
      </c>
      <c r="O969" s="5">
        <v>0</v>
      </c>
      <c r="P969" s="5">
        <v>9</v>
      </c>
      <c r="Q969" s="5">
        <v>12</v>
      </c>
      <c r="R969" s="8">
        <v>3</v>
      </c>
      <c r="S969" s="8">
        <v>3</v>
      </c>
      <c r="T969" s="8">
        <v>0</v>
      </c>
      <c r="U969" s="8">
        <v>4</v>
      </c>
      <c r="V969" s="8">
        <v>7</v>
      </c>
      <c r="W969" t="s">
        <v>473</v>
      </c>
      <c r="X969" t="s">
        <v>473</v>
      </c>
      <c r="Y969" t="s">
        <v>473</v>
      </c>
      <c r="Z969" t="s">
        <v>473</v>
      </c>
      <c r="AA969" t="s">
        <v>473</v>
      </c>
      <c r="AB969" t="s">
        <v>473</v>
      </c>
      <c r="AC969" s="10">
        <v>3</v>
      </c>
      <c r="AD969" s="10">
        <v>11</v>
      </c>
      <c r="AE969" t="s">
        <v>473</v>
      </c>
    </row>
    <row r="970" spans="1:31" x14ac:dyDescent="0.25">
      <c r="A970">
        <v>2620</v>
      </c>
      <c r="B970">
        <v>1974</v>
      </c>
      <c r="C970" t="s">
        <v>33</v>
      </c>
      <c r="D970" t="s">
        <v>34</v>
      </c>
      <c r="E970" t="str">
        <f>IF(OR(Table1[[#This Row],[marital_status]]="Married", Table1[[#This Row],[marital_status]]="Together"), "Partnered", "Single")</f>
        <v>Partnered</v>
      </c>
      <c r="F970" s="7">
        <v>34596</v>
      </c>
      <c r="G970" s="8">
        <v>1</v>
      </c>
      <c r="H970" s="8">
        <v>0</v>
      </c>
      <c r="I970" s="8">
        <f>Table1[[#This Row],[kids]]+Table1[[#This Row],[teens]]</f>
        <v>1</v>
      </c>
      <c r="J970" s="9">
        <v>41377</v>
      </c>
      <c r="K970" s="8">
        <v>48</v>
      </c>
      <c r="L970" s="6">
        <v>14</v>
      </c>
      <c r="M970" s="5">
        <v>0</v>
      </c>
      <c r="N970" s="5">
        <v>2</v>
      </c>
      <c r="O970" s="5">
        <v>0</v>
      </c>
      <c r="P970" s="5">
        <v>0</v>
      </c>
      <c r="Q970" s="5">
        <v>7</v>
      </c>
      <c r="R970" s="8">
        <v>1</v>
      </c>
      <c r="S970" s="8">
        <v>1</v>
      </c>
      <c r="T970" s="8">
        <v>0</v>
      </c>
      <c r="U970" s="8">
        <v>2</v>
      </c>
      <c r="V970" s="8">
        <v>8</v>
      </c>
      <c r="W970" t="s">
        <v>473</v>
      </c>
      <c r="X970" t="s">
        <v>473</v>
      </c>
      <c r="Y970" t="s">
        <v>473</v>
      </c>
      <c r="Z970" t="s">
        <v>473</v>
      </c>
      <c r="AA970" t="s">
        <v>473</v>
      </c>
      <c r="AB970" t="s">
        <v>473</v>
      </c>
      <c r="AC970" s="10">
        <v>3</v>
      </c>
      <c r="AD970" s="10">
        <v>11</v>
      </c>
      <c r="AE970" t="s">
        <v>474</v>
      </c>
    </row>
    <row r="971" spans="1:31" x14ac:dyDescent="0.25">
      <c r="A971">
        <v>3933</v>
      </c>
      <c r="B971">
        <v>1980</v>
      </c>
      <c r="C971" t="s">
        <v>466</v>
      </c>
      <c r="D971" t="s">
        <v>31</v>
      </c>
      <c r="E971" t="str">
        <f>IF(OR(Table1[[#This Row],[marital_status]]="Married", Table1[[#This Row],[marital_status]]="Together"), "Partnered", "Single")</f>
        <v>Partnered</v>
      </c>
      <c r="F971" s="7">
        <v>44010</v>
      </c>
      <c r="G971" s="8">
        <v>1</v>
      </c>
      <c r="H971" s="8">
        <v>0</v>
      </c>
      <c r="I971" s="8">
        <f>Table1[[#This Row],[kids]]+Table1[[#This Row],[teens]]</f>
        <v>1</v>
      </c>
      <c r="J971" s="9">
        <v>41195</v>
      </c>
      <c r="K971" s="8">
        <v>46</v>
      </c>
      <c r="L971" s="6">
        <v>186</v>
      </c>
      <c r="M971" s="5">
        <v>36</v>
      </c>
      <c r="N971" s="5">
        <v>234</v>
      </c>
      <c r="O971" s="5">
        <v>86</v>
      </c>
      <c r="P971" s="5">
        <v>72</v>
      </c>
      <c r="Q971" s="5">
        <v>48</v>
      </c>
      <c r="R971" s="8">
        <v>6</v>
      </c>
      <c r="S971" s="8">
        <v>10</v>
      </c>
      <c r="T971" s="8">
        <v>2</v>
      </c>
      <c r="U971" s="8">
        <v>6</v>
      </c>
      <c r="V971" s="8">
        <v>9</v>
      </c>
      <c r="W971" t="s">
        <v>473</v>
      </c>
      <c r="X971" t="s">
        <v>473</v>
      </c>
      <c r="Y971" t="s">
        <v>473</v>
      </c>
      <c r="Z971" t="s">
        <v>473</v>
      </c>
      <c r="AA971" t="s">
        <v>473</v>
      </c>
      <c r="AB971" t="s">
        <v>473</v>
      </c>
      <c r="AC971" s="10">
        <v>3</v>
      </c>
      <c r="AD971" s="10">
        <v>11</v>
      </c>
      <c r="AE971" t="s">
        <v>473</v>
      </c>
    </row>
    <row r="972" spans="1:31" x14ac:dyDescent="0.25">
      <c r="A972">
        <v>10981</v>
      </c>
      <c r="B972">
        <v>1988</v>
      </c>
      <c r="C972" t="s">
        <v>466</v>
      </c>
      <c r="D972" t="s">
        <v>34</v>
      </c>
      <c r="E972" t="str">
        <f>IF(OR(Table1[[#This Row],[marital_status]]="Married", Table1[[#This Row],[marital_status]]="Together"), "Partnered", "Single")</f>
        <v>Partnered</v>
      </c>
      <c r="F972" s="7">
        <v>84219</v>
      </c>
      <c r="G972" s="8">
        <v>0</v>
      </c>
      <c r="H972" s="8">
        <v>0</v>
      </c>
      <c r="I972" s="8">
        <f>Table1[[#This Row],[kids]]+Table1[[#This Row],[teens]]</f>
        <v>0</v>
      </c>
      <c r="J972" s="9">
        <v>41672</v>
      </c>
      <c r="K972" s="8">
        <v>27</v>
      </c>
      <c r="L972" s="6">
        <v>434</v>
      </c>
      <c r="M972" s="5">
        <v>137</v>
      </c>
      <c r="N972" s="5">
        <v>400</v>
      </c>
      <c r="O972" s="5">
        <v>45</v>
      </c>
      <c r="P972" s="5">
        <v>137</v>
      </c>
      <c r="Q972" s="5">
        <v>45</v>
      </c>
      <c r="R972" s="8">
        <v>1</v>
      </c>
      <c r="S972" s="8">
        <v>3</v>
      </c>
      <c r="T972" s="8">
        <v>4</v>
      </c>
      <c r="U972" s="8">
        <v>10</v>
      </c>
      <c r="V972" s="8">
        <v>1</v>
      </c>
      <c r="W972" t="s">
        <v>473</v>
      </c>
      <c r="X972" t="s">
        <v>473</v>
      </c>
      <c r="Y972" t="s">
        <v>473</v>
      </c>
      <c r="Z972" t="s">
        <v>473</v>
      </c>
      <c r="AA972" t="s">
        <v>473</v>
      </c>
      <c r="AB972" t="s">
        <v>473</v>
      </c>
      <c r="AC972" s="10">
        <v>3</v>
      </c>
      <c r="AD972" s="10">
        <v>11</v>
      </c>
      <c r="AE972" t="s">
        <v>473</v>
      </c>
    </row>
    <row r="973" spans="1:31" x14ac:dyDescent="0.25">
      <c r="A973">
        <v>1734</v>
      </c>
      <c r="B973">
        <v>1968</v>
      </c>
      <c r="C973" t="s">
        <v>33</v>
      </c>
      <c r="D973" t="s">
        <v>31</v>
      </c>
      <c r="E973" t="str">
        <f>IF(OR(Table1[[#This Row],[marital_status]]="Married", Table1[[#This Row],[marital_status]]="Together"), "Partnered", "Single")</f>
        <v>Partnered</v>
      </c>
      <c r="F973" s="7">
        <v>40706</v>
      </c>
      <c r="G973" s="8">
        <v>2</v>
      </c>
      <c r="H973" s="8">
        <v>1</v>
      </c>
      <c r="I973" s="8">
        <f>Table1[[#This Row],[kids]]+Table1[[#This Row],[teens]]</f>
        <v>3</v>
      </c>
      <c r="J973" s="9">
        <v>41291</v>
      </c>
      <c r="K973" s="8">
        <v>37</v>
      </c>
      <c r="L973" s="6">
        <v>59</v>
      </c>
      <c r="M973" s="5">
        <v>0</v>
      </c>
      <c r="N973" s="5">
        <v>11</v>
      </c>
      <c r="O973" s="5">
        <v>4</v>
      </c>
      <c r="P973" s="5">
        <v>2</v>
      </c>
      <c r="Q973" s="5">
        <v>5</v>
      </c>
      <c r="R973" s="8">
        <v>4</v>
      </c>
      <c r="S973" s="8">
        <v>3</v>
      </c>
      <c r="T973" s="8">
        <v>0</v>
      </c>
      <c r="U973" s="8">
        <v>4</v>
      </c>
      <c r="V973" s="8">
        <v>7</v>
      </c>
      <c r="W973" t="s">
        <v>473</v>
      </c>
      <c r="X973" t="s">
        <v>473</v>
      </c>
      <c r="Y973" t="s">
        <v>473</v>
      </c>
      <c r="Z973" t="s">
        <v>473</v>
      </c>
      <c r="AA973" t="s">
        <v>473</v>
      </c>
      <c r="AB973" t="s">
        <v>473</v>
      </c>
      <c r="AC973" s="10">
        <v>3</v>
      </c>
      <c r="AD973" s="10">
        <v>11</v>
      </c>
      <c r="AE973" t="s">
        <v>473</v>
      </c>
    </row>
    <row r="974" spans="1:31" x14ac:dyDescent="0.25">
      <c r="A974">
        <v>10995</v>
      </c>
      <c r="B974">
        <v>1988</v>
      </c>
      <c r="C974" t="s">
        <v>46</v>
      </c>
      <c r="D974" t="s">
        <v>34</v>
      </c>
      <c r="E974" t="str">
        <f>IF(OR(Table1[[#This Row],[marital_status]]="Married", Table1[[#This Row],[marital_status]]="Together"), "Partnered", "Single")</f>
        <v>Partnered</v>
      </c>
      <c r="F974" s="7">
        <v>15716</v>
      </c>
      <c r="G974" s="8">
        <v>1</v>
      </c>
      <c r="H974" s="8">
        <v>0</v>
      </c>
      <c r="I974" s="8">
        <f>Table1[[#This Row],[kids]]+Table1[[#This Row],[teens]]</f>
        <v>1</v>
      </c>
      <c r="J974" s="9">
        <v>41225</v>
      </c>
      <c r="K974" s="8">
        <v>8</v>
      </c>
      <c r="L974" s="6">
        <v>16</v>
      </c>
      <c r="M974" s="5">
        <v>5</v>
      </c>
      <c r="N974" s="5">
        <v>30</v>
      </c>
      <c r="O974" s="5">
        <v>8</v>
      </c>
      <c r="P974" s="5">
        <v>7</v>
      </c>
      <c r="Q974" s="5">
        <v>26</v>
      </c>
      <c r="R974" s="8">
        <v>3</v>
      </c>
      <c r="S974" s="8">
        <v>3</v>
      </c>
      <c r="T974" s="8">
        <v>0</v>
      </c>
      <c r="U974" s="8">
        <v>4</v>
      </c>
      <c r="V974" s="8">
        <v>8</v>
      </c>
      <c r="W974" t="s">
        <v>473</v>
      </c>
      <c r="X974" t="s">
        <v>473</v>
      </c>
      <c r="Y974" t="s">
        <v>473</v>
      </c>
      <c r="Z974" t="s">
        <v>473</v>
      </c>
      <c r="AA974" t="s">
        <v>473</v>
      </c>
      <c r="AB974" t="s">
        <v>474</v>
      </c>
      <c r="AC974" s="10">
        <v>3</v>
      </c>
      <c r="AD974" s="10">
        <v>11</v>
      </c>
      <c r="AE974" t="s">
        <v>473</v>
      </c>
    </row>
    <row r="975" spans="1:31" x14ac:dyDescent="0.25">
      <c r="A975">
        <v>6357</v>
      </c>
      <c r="B975">
        <v>1959</v>
      </c>
      <c r="C975" t="s">
        <v>46</v>
      </c>
      <c r="D975" t="s">
        <v>37</v>
      </c>
      <c r="E975" t="str">
        <f>IF(OR(Table1[[#This Row],[marital_status]]="Married", Table1[[#This Row],[marital_status]]="Together"), "Partnered", "Single")</f>
        <v>Single</v>
      </c>
      <c r="F975" s="7">
        <v>59052</v>
      </c>
      <c r="G975" s="8">
        <v>0</v>
      </c>
      <c r="H975" s="8">
        <v>1</v>
      </c>
      <c r="I975" s="8">
        <f>Table1[[#This Row],[kids]]+Table1[[#This Row],[teens]]</f>
        <v>1</v>
      </c>
      <c r="J975" s="9">
        <v>41595</v>
      </c>
      <c r="K975" s="8">
        <v>29</v>
      </c>
      <c r="L975" s="6">
        <v>230</v>
      </c>
      <c r="M975" s="5">
        <v>35</v>
      </c>
      <c r="N975" s="5">
        <v>75</v>
      </c>
      <c r="O975" s="5">
        <v>63</v>
      </c>
      <c r="P975" s="5">
        <v>57</v>
      </c>
      <c r="Q975" s="5">
        <v>31</v>
      </c>
      <c r="R975" s="8">
        <v>3</v>
      </c>
      <c r="S975" s="8">
        <v>7</v>
      </c>
      <c r="T975" s="8">
        <v>1</v>
      </c>
      <c r="U975" s="8">
        <v>7</v>
      </c>
      <c r="V975" s="8">
        <v>5</v>
      </c>
      <c r="W975" t="s">
        <v>473</v>
      </c>
      <c r="X975" t="s">
        <v>473</v>
      </c>
      <c r="Y975" t="s">
        <v>473</v>
      </c>
      <c r="Z975" t="s">
        <v>473</v>
      </c>
      <c r="AA975" t="s">
        <v>473</v>
      </c>
      <c r="AB975" t="s">
        <v>473</v>
      </c>
      <c r="AC975" s="10">
        <v>3</v>
      </c>
      <c r="AD975" s="10">
        <v>11</v>
      </c>
      <c r="AE975" t="s">
        <v>473</v>
      </c>
    </row>
    <row r="976" spans="1:31" x14ac:dyDescent="0.25">
      <c r="A976">
        <v>9209</v>
      </c>
      <c r="B976">
        <v>1971</v>
      </c>
      <c r="C976" t="s">
        <v>36</v>
      </c>
      <c r="D976" t="s">
        <v>31</v>
      </c>
      <c r="E976" t="str">
        <f>IF(OR(Table1[[#This Row],[marital_status]]="Married", Table1[[#This Row],[marital_status]]="Together"), "Partnered", "Single")</f>
        <v>Partnered</v>
      </c>
      <c r="F976" s="7">
        <v>80573</v>
      </c>
      <c r="G976" s="8">
        <v>0</v>
      </c>
      <c r="H976" s="8">
        <v>0</v>
      </c>
      <c r="I976" s="8">
        <f>Table1[[#This Row],[kids]]+Table1[[#This Row],[teens]]</f>
        <v>0</v>
      </c>
      <c r="J976" s="9">
        <v>41196</v>
      </c>
      <c r="K976" s="8">
        <v>85</v>
      </c>
      <c r="L976" s="6">
        <v>829</v>
      </c>
      <c r="M976" s="5">
        <v>138</v>
      </c>
      <c r="N976" s="5">
        <v>430</v>
      </c>
      <c r="O976" s="5">
        <v>60</v>
      </c>
      <c r="P976" s="5">
        <v>92</v>
      </c>
      <c r="Q976" s="5">
        <v>15</v>
      </c>
      <c r="R976" s="8">
        <v>1</v>
      </c>
      <c r="S976" s="8">
        <v>4</v>
      </c>
      <c r="T976" s="8">
        <v>6</v>
      </c>
      <c r="U976" s="8">
        <v>13</v>
      </c>
      <c r="V976" s="8">
        <v>2</v>
      </c>
      <c r="W976" t="s">
        <v>473</v>
      </c>
      <c r="X976" t="s">
        <v>473</v>
      </c>
      <c r="Y976" t="s">
        <v>473</v>
      </c>
      <c r="Z976" t="s">
        <v>473</v>
      </c>
      <c r="AA976" t="s">
        <v>473</v>
      </c>
      <c r="AB976" t="s">
        <v>473</v>
      </c>
      <c r="AC976" s="10">
        <v>3</v>
      </c>
      <c r="AD976" s="10">
        <v>11</v>
      </c>
      <c r="AE976" t="s">
        <v>473</v>
      </c>
    </row>
    <row r="977" spans="1:31" x14ac:dyDescent="0.25">
      <c r="A977">
        <v>10286</v>
      </c>
      <c r="B977">
        <v>1962</v>
      </c>
      <c r="C977" t="s">
        <v>466</v>
      </c>
      <c r="D977" t="s">
        <v>34</v>
      </c>
      <c r="E977" t="str">
        <f>IF(OR(Table1[[#This Row],[marital_status]]="Married", Table1[[#This Row],[marital_status]]="Together"), "Partnered", "Single")</f>
        <v>Partnered</v>
      </c>
      <c r="F977" s="7">
        <v>83715</v>
      </c>
      <c r="G977" s="8">
        <v>0</v>
      </c>
      <c r="H977" s="8">
        <v>0</v>
      </c>
      <c r="I977" s="8">
        <f>Table1[[#This Row],[kids]]+Table1[[#This Row],[teens]]</f>
        <v>0</v>
      </c>
      <c r="J977" s="9">
        <v>41673</v>
      </c>
      <c r="K977" s="8">
        <v>2</v>
      </c>
      <c r="L977" s="6">
        <v>318</v>
      </c>
      <c r="M977" s="5">
        <v>8</v>
      </c>
      <c r="N977" s="5">
        <v>407</v>
      </c>
      <c r="O977" s="5">
        <v>150</v>
      </c>
      <c r="P977" s="5">
        <v>35</v>
      </c>
      <c r="Q977" s="5">
        <v>8</v>
      </c>
      <c r="R977" s="8">
        <v>1</v>
      </c>
      <c r="S977" s="8">
        <v>2</v>
      </c>
      <c r="T977" s="8">
        <v>8</v>
      </c>
      <c r="U977" s="8">
        <v>13</v>
      </c>
      <c r="V977" s="8">
        <v>0</v>
      </c>
      <c r="W977" t="s">
        <v>473</v>
      </c>
      <c r="X977" t="s">
        <v>473</v>
      </c>
      <c r="Y977" t="s">
        <v>473</v>
      </c>
      <c r="Z977" t="s">
        <v>473</v>
      </c>
      <c r="AA977" t="s">
        <v>473</v>
      </c>
      <c r="AB977" t="s">
        <v>473</v>
      </c>
      <c r="AC977" s="10">
        <v>3</v>
      </c>
      <c r="AD977" s="10">
        <v>11</v>
      </c>
      <c r="AE977" t="s">
        <v>473</v>
      </c>
    </row>
    <row r="978" spans="1:31" x14ac:dyDescent="0.25">
      <c r="A978">
        <v>2611</v>
      </c>
      <c r="B978">
        <v>1959</v>
      </c>
      <c r="C978" t="s">
        <v>36</v>
      </c>
      <c r="D978" t="s">
        <v>31</v>
      </c>
      <c r="E978" t="str">
        <f>IF(OR(Table1[[#This Row],[marital_status]]="Married", Table1[[#This Row],[marital_status]]="Together"), "Partnered", "Single")</f>
        <v>Partnered</v>
      </c>
      <c r="F978" s="7">
        <v>82576</v>
      </c>
      <c r="G978" s="8">
        <v>0</v>
      </c>
      <c r="H978" s="8">
        <v>0</v>
      </c>
      <c r="I978" s="8">
        <f>Table1[[#This Row],[kids]]+Table1[[#This Row],[teens]]</f>
        <v>0</v>
      </c>
      <c r="J978" s="9">
        <v>41122</v>
      </c>
      <c r="K978" s="8">
        <v>66</v>
      </c>
      <c r="L978" s="6">
        <v>1206</v>
      </c>
      <c r="M978" s="5">
        <v>55</v>
      </c>
      <c r="N978" s="5">
        <v>445</v>
      </c>
      <c r="O978" s="5">
        <v>168</v>
      </c>
      <c r="P978" s="5">
        <v>18</v>
      </c>
      <c r="Q978" s="5">
        <v>18</v>
      </c>
      <c r="R978" s="8">
        <v>1</v>
      </c>
      <c r="S978" s="8">
        <v>2</v>
      </c>
      <c r="T978" s="8">
        <v>4</v>
      </c>
      <c r="U978" s="8">
        <v>12</v>
      </c>
      <c r="V978" s="8">
        <v>1</v>
      </c>
      <c r="W978" t="s">
        <v>473</v>
      </c>
      <c r="X978" t="s">
        <v>473</v>
      </c>
      <c r="Y978" t="s">
        <v>474</v>
      </c>
      <c r="Z978" t="s">
        <v>473</v>
      </c>
      <c r="AA978" t="s">
        <v>473</v>
      </c>
      <c r="AB978" t="s">
        <v>473</v>
      </c>
      <c r="AC978" s="10">
        <v>3</v>
      </c>
      <c r="AD978" s="10">
        <v>11</v>
      </c>
      <c r="AE978" t="s">
        <v>473</v>
      </c>
    </row>
    <row r="979" spans="1:31" x14ac:dyDescent="0.25">
      <c r="A979">
        <v>1600</v>
      </c>
      <c r="B979">
        <v>1965</v>
      </c>
      <c r="C979" t="s">
        <v>36</v>
      </c>
      <c r="D979" t="s">
        <v>34</v>
      </c>
      <c r="E979" t="str">
        <f>IF(OR(Table1[[#This Row],[marital_status]]="Married", Table1[[#This Row],[marital_status]]="Together"), "Partnered", "Single")</f>
        <v>Partnered</v>
      </c>
      <c r="F979" s="7">
        <v>56962</v>
      </c>
      <c r="G979" s="8">
        <v>2</v>
      </c>
      <c r="H979" s="8">
        <v>1</v>
      </c>
      <c r="I979" s="8">
        <f>Table1[[#This Row],[kids]]+Table1[[#This Row],[teens]]</f>
        <v>3</v>
      </c>
      <c r="J979" s="9">
        <v>41558</v>
      </c>
      <c r="K979" s="8">
        <v>60</v>
      </c>
      <c r="L979" s="6">
        <v>292</v>
      </c>
      <c r="M979" s="5">
        <v>3</v>
      </c>
      <c r="N979" s="5">
        <v>77</v>
      </c>
      <c r="O979" s="5">
        <v>10</v>
      </c>
      <c r="P979" s="5">
        <v>3</v>
      </c>
      <c r="Q979" s="5">
        <v>26</v>
      </c>
      <c r="R979" s="8">
        <v>7</v>
      </c>
      <c r="S979" s="8">
        <v>6</v>
      </c>
      <c r="T979" s="8">
        <v>3</v>
      </c>
      <c r="U979" s="8">
        <v>5</v>
      </c>
      <c r="V979" s="8">
        <v>7</v>
      </c>
      <c r="W979" t="s">
        <v>473</v>
      </c>
      <c r="X979" t="s">
        <v>473</v>
      </c>
      <c r="Y979" t="s">
        <v>473</v>
      </c>
      <c r="Z979" t="s">
        <v>473</v>
      </c>
      <c r="AA979" t="s">
        <v>473</v>
      </c>
      <c r="AB979" t="s">
        <v>473</v>
      </c>
      <c r="AC979" s="10">
        <v>3</v>
      </c>
      <c r="AD979" s="10">
        <v>11</v>
      </c>
      <c r="AE979" t="s">
        <v>473</v>
      </c>
    </row>
    <row r="980" spans="1:31" x14ac:dyDescent="0.25">
      <c r="A980">
        <v>3308</v>
      </c>
      <c r="B980">
        <v>1952</v>
      </c>
      <c r="C980" t="s">
        <v>466</v>
      </c>
      <c r="D980" t="s">
        <v>34</v>
      </c>
      <c r="E980" t="str">
        <f>IF(OR(Table1[[#This Row],[marital_status]]="Married", Table1[[#This Row],[marital_status]]="Together"), "Partnered", "Single")</f>
        <v>Partnered</v>
      </c>
      <c r="F980" s="7">
        <v>35704</v>
      </c>
      <c r="G980" s="8">
        <v>1</v>
      </c>
      <c r="H980" s="8">
        <v>1</v>
      </c>
      <c r="I980" s="8">
        <f>Table1[[#This Row],[kids]]+Table1[[#This Row],[teens]]</f>
        <v>2</v>
      </c>
      <c r="J980" s="9">
        <v>41642</v>
      </c>
      <c r="K980" s="8">
        <v>54</v>
      </c>
      <c r="L980" s="6">
        <v>30</v>
      </c>
      <c r="M980" s="5">
        <v>9</v>
      </c>
      <c r="N980" s="5">
        <v>12</v>
      </c>
      <c r="O980" s="5">
        <v>2</v>
      </c>
      <c r="P980" s="5">
        <v>11</v>
      </c>
      <c r="Q980" s="5">
        <v>30</v>
      </c>
      <c r="R980" s="8">
        <v>3</v>
      </c>
      <c r="S980" s="8">
        <v>2</v>
      </c>
      <c r="T980" s="8">
        <v>0</v>
      </c>
      <c r="U980" s="8">
        <v>4</v>
      </c>
      <c r="V980" s="8">
        <v>4</v>
      </c>
      <c r="W980" t="s">
        <v>473</v>
      </c>
      <c r="X980" t="s">
        <v>473</v>
      </c>
      <c r="Y980" t="s">
        <v>473</v>
      </c>
      <c r="Z980" t="s">
        <v>473</v>
      </c>
      <c r="AA980" t="s">
        <v>473</v>
      </c>
      <c r="AB980" t="s">
        <v>473</v>
      </c>
      <c r="AC980" s="10">
        <v>3</v>
      </c>
      <c r="AD980" s="10">
        <v>11</v>
      </c>
      <c r="AE980" t="s">
        <v>473</v>
      </c>
    </row>
    <row r="981" spans="1:31" x14ac:dyDescent="0.25">
      <c r="A981">
        <v>5407</v>
      </c>
      <c r="B981">
        <v>1954</v>
      </c>
      <c r="C981" t="s">
        <v>466</v>
      </c>
      <c r="D981" t="s">
        <v>31</v>
      </c>
      <c r="E981" t="str">
        <f>IF(OR(Table1[[#This Row],[marital_status]]="Married", Table1[[#This Row],[marital_status]]="Together"), "Partnered", "Single")</f>
        <v>Partnered</v>
      </c>
      <c r="F981" s="7">
        <v>53103</v>
      </c>
      <c r="G981" s="8">
        <v>0</v>
      </c>
      <c r="H981" s="8">
        <v>1</v>
      </c>
      <c r="I981" s="8">
        <f>Table1[[#This Row],[kids]]+Table1[[#This Row],[teens]]</f>
        <v>1</v>
      </c>
      <c r="J981" s="9">
        <v>41529</v>
      </c>
      <c r="K981" s="8">
        <v>70</v>
      </c>
      <c r="L981" s="6">
        <v>729</v>
      </c>
      <c r="M981" s="5">
        <v>17</v>
      </c>
      <c r="N981" s="5">
        <v>133</v>
      </c>
      <c r="O981" s="5">
        <v>11</v>
      </c>
      <c r="P981" s="5">
        <v>0</v>
      </c>
      <c r="Q981" s="5">
        <v>195</v>
      </c>
      <c r="R981" s="8">
        <v>5</v>
      </c>
      <c r="S981" s="8">
        <v>10</v>
      </c>
      <c r="T981" s="8">
        <v>6</v>
      </c>
      <c r="U981" s="8">
        <v>7</v>
      </c>
      <c r="V981" s="8">
        <v>7</v>
      </c>
      <c r="W981" t="s">
        <v>474</v>
      </c>
      <c r="X981" t="s">
        <v>473</v>
      </c>
      <c r="Y981" t="s">
        <v>473</v>
      </c>
      <c r="Z981" t="s">
        <v>473</v>
      </c>
      <c r="AA981" t="s">
        <v>473</v>
      </c>
      <c r="AB981" t="s">
        <v>473</v>
      </c>
      <c r="AC981" s="10">
        <v>3</v>
      </c>
      <c r="AD981" s="10">
        <v>11</v>
      </c>
      <c r="AE981" t="s">
        <v>473</v>
      </c>
    </row>
    <row r="982" spans="1:31" x14ac:dyDescent="0.25">
      <c r="A982">
        <v>2166</v>
      </c>
      <c r="B982">
        <v>1960</v>
      </c>
      <c r="C982" t="s">
        <v>46</v>
      </c>
      <c r="D982" t="s">
        <v>57</v>
      </c>
      <c r="E982" t="str">
        <f>IF(OR(Table1[[#This Row],[marital_status]]="Married", Table1[[#This Row],[marital_status]]="Together"), "Partnered", "Single")</f>
        <v>Single</v>
      </c>
      <c r="F982" s="7">
        <v>46779</v>
      </c>
      <c r="G982" s="8">
        <v>1</v>
      </c>
      <c r="H982" s="8">
        <v>1</v>
      </c>
      <c r="I982" s="8">
        <f>Table1[[#This Row],[kids]]+Table1[[#This Row],[teens]]</f>
        <v>2</v>
      </c>
      <c r="J982" s="9">
        <v>41467</v>
      </c>
      <c r="K982" s="8">
        <v>55</v>
      </c>
      <c r="L982" s="6">
        <v>12</v>
      </c>
      <c r="M982" s="5">
        <v>1</v>
      </c>
      <c r="N982" s="5">
        <v>3</v>
      </c>
      <c r="O982" s="5">
        <v>0</v>
      </c>
      <c r="P982" s="5">
        <v>0</v>
      </c>
      <c r="Q982" s="5">
        <v>7</v>
      </c>
      <c r="R982" s="8">
        <v>1</v>
      </c>
      <c r="S982" s="8">
        <v>0</v>
      </c>
      <c r="T982" s="8">
        <v>1</v>
      </c>
      <c r="U982" s="8">
        <v>2</v>
      </c>
      <c r="V982" s="8">
        <v>4</v>
      </c>
      <c r="W982" t="s">
        <v>473</v>
      </c>
      <c r="X982" t="s">
        <v>473</v>
      </c>
      <c r="Y982" t="s">
        <v>473</v>
      </c>
      <c r="Z982" t="s">
        <v>473</v>
      </c>
      <c r="AA982" t="s">
        <v>473</v>
      </c>
      <c r="AB982" t="s">
        <v>473</v>
      </c>
      <c r="AC982" s="10">
        <v>3</v>
      </c>
      <c r="AD982" s="10">
        <v>11</v>
      </c>
      <c r="AE982" t="s">
        <v>473</v>
      </c>
    </row>
    <row r="983" spans="1:31" x14ac:dyDescent="0.25">
      <c r="A983">
        <v>3955</v>
      </c>
      <c r="B983">
        <v>1965</v>
      </c>
      <c r="C983" t="s">
        <v>466</v>
      </c>
      <c r="D983" t="s">
        <v>37</v>
      </c>
      <c r="E983" t="str">
        <f>IF(OR(Table1[[#This Row],[marital_status]]="Married", Table1[[#This Row],[marital_status]]="Together"), "Partnered", "Single")</f>
        <v>Single</v>
      </c>
      <c r="F983" s="7">
        <v>4861</v>
      </c>
      <c r="G983" s="8">
        <v>0</v>
      </c>
      <c r="H983" s="8">
        <v>0</v>
      </c>
      <c r="I983" s="8">
        <f>Table1[[#This Row],[kids]]+Table1[[#This Row],[teens]]</f>
        <v>0</v>
      </c>
      <c r="J983" s="9">
        <v>41812</v>
      </c>
      <c r="K983" s="8">
        <v>20</v>
      </c>
      <c r="L983" s="6">
        <v>2</v>
      </c>
      <c r="M983" s="5">
        <v>1</v>
      </c>
      <c r="N983" s="5">
        <v>1</v>
      </c>
      <c r="O983" s="5">
        <v>1</v>
      </c>
      <c r="P983" s="5">
        <v>0</v>
      </c>
      <c r="Q983" s="5">
        <v>1</v>
      </c>
      <c r="R983" s="8">
        <v>0</v>
      </c>
      <c r="S983" s="8">
        <v>0</v>
      </c>
      <c r="T983" s="8">
        <v>0</v>
      </c>
      <c r="U983" s="8">
        <v>0</v>
      </c>
      <c r="V983" s="8">
        <v>14</v>
      </c>
      <c r="W983" t="s">
        <v>473</v>
      </c>
      <c r="X983" t="s">
        <v>473</v>
      </c>
      <c r="Y983" t="s">
        <v>473</v>
      </c>
      <c r="Z983" t="s">
        <v>473</v>
      </c>
      <c r="AA983" t="s">
        <v>473</v>
      </c>
      <c r="AB983" t="s">
        <v>473</v>
      </c>
      <c r="AC983" s="10">
        <v>3</v>
      </c>
      <c r="AD983" s="10">
        <v>11</v>
      </c>
      <c r="AE983" t="s">
        <v>473</v>
      </c>
    </row>
    <row r="984" spans="1:31" x14ac:dyDescent="0.25">
      <c r="A984">
        <v>6634</v>
      </c>
      <c r="B984">
        <v>1979</v>
      </c>
      <c r="C984" t="s">
        <v>36</v>
      </c>
      <c r="D984" t="s">
        <v>37</v>
      </c>
      <c r="E984" t="str">
        <f>IF(OR(Table1[[#This Row],[marital_status]]="Married", Table1[[#This Row],[marital_status]]="Together"), "Partnered", "Single")</f>
        <v>Single</v>
      </c>
      <c r="F984" s="7">
        <v>33462</v>
      </c>
      <c r="G984" s="8">
        <v>1</v>
      </c>
      <c r="H984" s="8">
        <v>0</v>
      </c>
      <c r="I984" s="8">
        <f>Table1[[#This Row],[kids]]+Table1[[#This Row],[teens]]</f>
        <v>1</v>
      </c>
      <c r="J984" s="9">
        <v>41493</v>
      </c>
      <c r="K984" s="8">
        <v>78</v>
      </c>
      <c r="L984" s="6">
        <v>22</v>
      </c>
      <c r="M984" s="5">
        <v>3</v>
      </c>
      <c r="N984" s="5">
        <v>18</v>
      </c>
      <c r="O984" s="5">
        <v>0</v>
      </c>
      <c r="P984" s="5">
        <v>0</v>
      </c>
      <c r="Q984" s="5">
        <v>11</v>
      </c>
      <c r="R984" s="8">
        <v>1</v>
      </c>
      <c r="S984" s="8">
        <v>2</v>
      </c>
      <c r="T984" s="8">
        <v>0</v>
      </c>
      <c r="U984" s="8">
        <v>3</v>
      </c>
      <c r="V984" s="8">
        <v>7</v>
      </c>
      <c r="W984" t="s">
        <v>473</v>
      </c>
      <c r="X984" t="s">
        <v>473</v>
      </c>
      <c r="Y984" t="s">
        <v>473</v>
      </c>
      <c r="Z984" t="s">
        <v>473</v>
      </c>
      <c r="AA984" t="s">
        <v>473</v>
      </c>
      <c r="AB984" t="s">
        <v>473</v>
      </c>
      <c r="AC984" s="10">
        <v>3</v>
      </c>
      <c r="AD984" s="10">
        <v>11</v>
      </c>
      <c r="AE984" t="s">
        <v>473</v>
      </c>
    </row>
    <row r="985" spans="1:31" x14ac:dyDescent="0.25">
      <c r="A985">
        <v>3056</v>
      </c>
      <c r="B985">
        <v>1978</v>
      </c>
      <c r="C985" t="s">
        <v>466</v>
      </c>
      <c r="D985" t="s">
        <v>37</v>
      </c>
      <c r="E985" t="str">
        <f>IF(OR(Table1[[#This Row],[marital_status]]="Married", Table1[[#This Row],[marital_status]]="Together"), "Partnered", "Single")</f>
        <v>Single</v>
      </c>
      <c r="F985" s="7">
        <v>63693</v>
      </c>
      <c r="G985" s="8">
        <v>0</v>
      </c>
      <c r="H985" s="8">
        <v>1</v>
      </c>
      <c r="I985" s="8">
        <f>Table1[[#This Row],[kids]]+Table1[[#This Row],[teens]]</f>
        <v>1</v>
      </c>
      <c r="J985" s="9">
        <v>41561</v>
      </c>
      <c r="K985" s="8">
        <v>63</v>
      </c>
      <c r="L985" s="6">
        <v>587</v>
      </c>
      <c r="M985" s="5">
        <v>43</v>
      </c>
      <c r="N985" s="5">
        <v>337</v>
      </c>
      <c r="O985" s="5">
        <v>42</v>
      </c>
      <c r="P985" s="5">
        <v>87</v>
      </c>
      <c r="Q985" s="5">
        <v>54</v>
      </c>
      <c r="R985" s="8">
        <v>3</v>
      </c>
      <c r="S985" s="8">
        <v>11</v>
      </c>
      <c r="T985" s="8">
        <v>6</v>
      </c>
      <c r="U985" s="8">
        <v>9</v>
      </c>
      <c r="V985" s="8">
        <v>6</v>
      </c>
      <c r="W985" t="s">
        <v>473</v>
      </c>
      <c r="X985" t="s">
        <v>473</v>
      </c>
      <c r="Y985" t="s">
        <v>473</v>
      </c>
      <c r="Z985" t="s">
        <v>473</v>
      </c>
      <c r="AA985" t="s">
        <v>473</v>
      </c>
      <c r="AB985" t="s">
        <v>473</v>
      </c>
      <c r="AC985" s="10">
        <v>3</v>
      </c>
      <c r="AD985" s="10">
        <v>11</v>
      </c>
      <c r="AE985" t="s">
        <v>473</v>
      </c>
    </row>
    <row r="986" spans="1:31" x14ac:dyDescent="0.25">
      <c r="A986">
        <v>5718</v>
      </c>
      <c r="B986">
        <v>1950</v>
      </c>
      <c r="C986" t="s">
        <v>466</v>
      </c>
      <c r="D986" t="s">
        <v>34</v>
      </c>
      <c r="E986" t="str">
        <f>IF(OR(Table1[[#This Row],[marital_status]]="Married", Table1[[#This Row],[marital_status]]="Together"), "Partnered", "Single")</f>
        <v>Partnered</v>
      </c>
      <c r="F986" s="7">
        <v>80763</v>
      </c>
      <c r="G986" s="8">
        <v>0</v>
      </c>
      <c r="H986" s="8">
        <v>0</v>
      </c>
      <c r="I986" s="8">
        <f>Table1[[#This Row],[kids]]+Table1[[#This Row],[teens]]</f>
        <v>0</v>
      </c>
      <c r="J986" s="9">
        <v>41501</v>
      </c>
      <c r="K986" s="8">
        <v>17</v>
      </c>
      <c r="L986" s="6">
        <v>674</v>
      </c>
      <c r="M986" s="5">
        <v>168</v>
      </c>
      <c r="N986" s="5">
        <v>108</v>
      </c>
      <c r="O986" s="5">
        <v>192</v>
      </c>
      <c r="P986" s="5">
        <v>42</v>
      </c>
      <c r="Q986" s="5">
        <v>231</v>
      </c>
      <c r="R986" s="8">
        <v>1</v>
      </c>
      <c r="S986" s="8">
        <v>5</v>
      </c>
      <c r="T986" s="8">
        <v>11</v>
      </c>
      <c r="U986" s="8">
        <v>6</v>
      </c>
      <c r="V986" s="8">
        <v>3</v>
      </c>
      <c r="W986" t="s">
        <v>473</v>
      </c>
      <c r="X986" t="s">
        <v>473</v>
      </c>
      <c r="Y986" t="s">
        <v>474</v>
      </c>
      <c r="Z986" t="s">
        <v>474</v>
      </c>
      <c r="AA986" t="s">
        <v>473</v>
      </c>
      <c r="AB986" t="s">
        <v>473</v>
      </c>
      <c r="AC986" s="10">
        <v>3</v>
      </c>
      <c r="AD986" s="10">
        <v>11</v>
      </c>
      <c r="AE986" t="s">
        <v>474</v>
      </c>
    </row>
    <row r="987" spans="1:31" x14ac:dyDescent="0.25">
      <c r="A987">
        <v>6872</v>
      </c>
      <c r="B987">
        <v>1974</v>
      </c>
      <c r="C987" t="s">
        <v>33</v>
      </c>
      <c r="D987" t="s">
        <v>34</v>
      </c>
      <c r="E987" t="str">
        <f>IF(OR(Table1[[#This Row],[marital_status]]="Married", Table1[[#This Row],[marital_status]]="Together"), "Partnered", "Single")</f>
        <v>Partnered</v>
      </c>
      <c r="F987" s="7">
        <v>65352</v>
      </c>
      <c r="G987" s="8">
        <v>0</v>
      </c>
      <c r="H987" s="8">
        <v>1</v>
      </c>
      <c r="I987" s="8">
        <f>Table1[[#This Row],[kids]]+Table1[[#This Row],[teens]]</f>
        <v>1</v>
      </c>
      <c r="J987" s="9">
        <v>41507</v>
      </c>
      <c r="K987" s="8">
        <v>43</v>
      </c>
      <c r="L987" s="6">
        <v>284</v>
      </c>
      <c r="M987" s="5">
        <v>3</v>
      </c>
      <c r="N987" s="5">
        <v>84</v>
      </c>
      <c r="O987" s="5">
        <v>4</v>
      </c>
      <c r="P987" s="5">
        <v>7</v>
      </c>
      <c r="Q987" s="5">
        <v>23</v>
      </c>
      <c r="R987" s="8">
        <v>2</v>
      </c>
      <c r="S987" s="8">
        <v>4</v>
      </c>
      <c r="T987" s="8">
        <v>2</v>
      </c>
      <c r="U987" s="8">
        <v>8</v>
      </c>
      <c r="V987" s="8">
        <v>4</v>
      </c>
      <c r="W987" t="s">
        <v>473</v>
      </c>
      <c r="X987" t="s">
        <v>473</v>
      </c>
      <c r="Y987" t="s">
        <v>473</v>
      </c>
      <c r="Z987" t="s">
        <v>473</v>
      </c>
      <c r="AA987" t="s">
        <v>473</v>
      </c>
      <c r="AB987" t="s">
        <v>473</v>
      </c>
      <c r="AC987" s="10">
        <v>3</v>
      </c>
      <c r="AD987" s="10">
        <v>11</v>
      </c>
      <c r="AE987" t="s">
        <v>473</v>
      </c>
    </row>
    <row r="988" spans="1:31" x14ac:dyDescent="0.25">
      <c r="A988">
        <v>8164</v>
      </c>
      <c r="B988">
        <v>1978</v>
      </c>
      <c r="C988" t="s">
        <v>33</v>
      </c>
      <c r="D988" t="s">
        <v>34</v>
      </c>
      <c r="E988" t="str">
        <f>IF(OR(Table1[[#This Row],[marital_status]]="Married", Table1[[#This Row],[marital_status]]="Together"), "Partnered", "Single")</f>
        <v>Partnered</v>
      </c>
      <c r="F988" s="7">
        <v>82170</v>
      </c>
      <c r="G988" s="8">
        <v>0</v>
      </c>
      <c r="H988" s="8">
        <v>0</v>
      </c>
      <c r="I988" s="8">
        <f>Table1[[#This Row],[kids]]+Table1[[#This Row],[teens]]</f>
        <v>0</v>
      </c>
      <c r="J988" s="9">
        <v>41603</v>
      </c>
      <c r="K988" s="8">
        <v>13</v>
      </c>
      <c r="L988" s="6">
        <v>1023</v>
      </c>
      <c r="M988" s="5">
        <v>93</v>
      </c>
      <c r="N988" s="5">
        <v>651</v>
      </c>
      <c r="O988" s="5">
        <v>49</v>
      </c>
      <c r="P988" s="5">
        <v>55</v>
      </c>
      <c r="Q988" s="5">
        <v>37</v>
      </c>
      <c r="R988" s="8">
        <v>1</v>
      </c>
      <c r="S988" s="8">
        <v>5</v>
      </c>
      <c r="T988" s="8">
        <v>6</v>
      </c>
      <c r="U988" s="8">
        <v>7</v>
      </c>
      <c r="V988" s="8">
        <v>2</v>
      </c>
      <c r="W988" t="s">
        <v>473</v>
      </c>
      <c r="X988" t="s">
        <v>473</v>
      </c>
      <c r="Y988" t="s">
        <v>473</v>
      </c>
      <c r="Z988" t="s">
        <v>473</v>
      </c>
      <c r="AA988" t="s">
        <v>473</v>
      </c>
      <c r="AB988" t="s">
        <v>473</v>
      </c>
      <c r="AC988" s="10">
        <v>3</v>
      </c>
      <c r="AD988" s="10">
        <v>11</v>
      </c>
      <c r="AE988" t="s">
        <v>473</v>
      </c>
    </row>
    <row r="989" spans="1:31" x14ac:dyDescent="0.25">
      <c r="A989">
        <v>4580</v>
      </c>
      <c r="B989">
        <v>1969</v>
      </c>
      <c r="C989" t="s">
        <v>466</v>
      </c>
      <c r="D989" t="s">
        <v>34</v>
      </c>
      <c r="E989" t="str">
        <f>IF(OR(Table1[[#This Row],[marital_status]]="Married", Table1[[#This Row],[marital_status]]="Together"), "Partnered", "Single")</f>
        <v>Partnered</v>
      </c>
      <c r="F989" s="7">
        <v>75759</v>
      </c>
      <c r="G989" s="8">
        <v>0</v>
      </c>
      <c r="H989" s="8">
        <v>0</v>
      </c>
      <c r="I989" s="8">
        <f>Table1[[#This Row],[kids]]+Table1[[#This Row],[teens]]</f>
        <v>0</v>
      </c>
      <c r="J989" s="9">
        <v>41572</v>
      </c>
      <c r="K989" s="8">
        <v>46</v>
      </c>
      <c r="L989" s="6">
        <v>1394</v>
      </c>
      <c r="M989" s="5">
        <v>22</v>
      </c>
      <c r="N989" s="5">
        <v>708</v>
      </c>
      <c r="O989" s="5">
        <v>89</v>
      </c>
      <c r="P989" s="5">
        <v>91</v>
      </c>
      <c r="Q989" s="5">
        <v>182</v>
      </c>
      <c r="R989" s="8">
        <v>1</v>
      </c>
      <c r="S989" s="8">
        <v>9</v>
      </c>
      <c r="T989" s="8">
        <v>7</v>
      </c>
      <c r="U989" s="8">
        <v>9</v>
      </c>
      <c r="V989" s="8">
        <v>5</v>
      </c>
      <c r="W989" t="s">
        <v>474</v>
      </c>
      <c r="X989" t="s">
        <v>473</v>
      </c>
      <c r="Y989" t="s">
        <v>474</v>
      </c>
      <c r="Z989" t="s">
        <v>474</v>
      </c>
      <c r="AA989" t="s">
        <v>473</v>
      </c>
      <c r="AB989" t="s">
        <v>473</v>
      </c>
      <c r="AC989" s="10">
        <v>3</v>
      </c>
      <c r="AD989" s="10">
        <v>11</v>
      </c>
      <c r="AE989" t="s">
        <v>474</v>
      </c>
    </row>
    <row r="990" spans="1:31" x14ac:dyDescent="0.25">
      <c r="A990">
        <v>9305</v>
      </c>
      <c r="B990">
        <v>1976</v>
      </c>
      <c r="C990" t="s">
        <v>46</v>
      </c>
      <c r="D990" t="s">
        <v>30</v>
      </c>
      <c r="E990" t="str">
        <f>IF(OR(Table1[[#This Row],[marital_status]]="Married", Table1[[#This Row],[marital_status]]="Together"), "Partnered", "Single")</f>
        <v>Single</v>
      </c>
      <c r="F990" s="7">
        <v>79689</v>
      </c>
      <c r="G990" s="8">
        <v>0</v>
      </c>
      <c r="H990" s="8">
        <v>0</v>
      </c>
      <c r="I990" s="8">
        <f>Table1[[#This Row],[kids]]+Table1[[#This Row],[teens]]</f>
        <v>0</v>
      </c>
      <c r="J990" s="9">
        <v>41406</v>
      </c>
      <c r="K990" s="8">
        <v>65</v>
      </c>
      <c r="L990" s="6">
        <v>311</v>
      </c>
      <c r="M990" s="5">
        <v>26</v>
      </c>
      <c r="N990" s="5">
        <v>640</v>
      </c>
      <c r="O990" s="5">
        <v>180</v>
      </c>
      <c r="P990" s="5">
        <v>37</v>
      </c>
      <c r="Q990" s="5">
        <v>121</v>
      </c>
      <c r="R990" s="8">
        <v>1</v>
      </c>
      <c r="S990" s="8">
        <v>4</v>
      </c>
      <c r="T990" s="8">
        <v>9</v>
      </c>
      <c r="U990" s="8">
        <v>13</v>
      </c>
      <c r="V990" s="8">
        <v>2</v>
      </c>
      <c r="W990" t="s">
        <v>473</v>
      </c>
      <c r="X990" t="s">
        <v>473</v>
      </c>
      <c r="Y990" t="s">
        <v>473</v>
      </c>
      <c r="Z990" t="s">
        <v>473</v>
      </c>
      <c r="AA990" t="s">
        <v>473</v>
      </c>
      <c r="AB990" t="s">
        <v>473</v>
      </c>
      <c r="AC990" s="10">
        <v>3</v>
      </c>
      <c r="AD990" s="10">
        <v>11</v>
      </c>
      <c r="AE990" t="s">
        <v>473</v>
      </c>
    </row>
    <row r="991" spans="1:31" x14ac:dyDescent="0.25">
      <c r="A991">
        <v>453</v>
      </c>
      <c r="B991">
        <v>1956</v>
      </c>
      <c r="C991" t="s">
        <v>33</v>
      </c>
      <c r="D991" t="s">
        <v>57</v>
      </c>
      <c r="E991" t="str">
        <f>IF(OR(Table1[[#This Row],[marital_status]]="Married", Table1[[#This Row],[marital_status]]="Together"), "Partnered", "Single")</f>
        <v>Single</v>
      </c>
      <c r="F991" s="7">
        <v>35340</v>
      </c>
      <c r="G991" s="8">
        <v>1</v>
      </c>
      <c r="H991" s="8">
        <v>1</v>
      </c>
      <c r="I991" s="8">
        <f>Table1[[#This Row],[kids]]+Table1[[#This Row],[teens]]</f>
        <v>2</v>
      </c>
      <c r="J991" s="9">
        <v>41819</v>
      </c>
      <c r="K991" s="8">
        <v>1</v>
      </c>
      <c r="L991" s="6">
        <v>27</v>
      </c>
      <c r="M991" s="5">
        <v>0</v>
      </c>
      <c r="N991" s="5">
        <v>12</v>
      </c>
      <c r="O991" s="5">
        <v>0</v>
      </c>
      <c r="P991" s="5">
        <v>1</v>
      </c>
      <c r="Q991" s="5">
        <v>5</v>
      </c>
      <c r="R991" s="8">
        <v>2</v>
      </c>
      <c r="S991" s="8">
        <v>2</v>
      </c>
      <c r="T991" s="8">
        <v>0</v>
      </c>
      <c r="U991" s="8">
        <v>3</v>
      </c>
      <c r="V991" s="8">
        <v>5</v>
      </c>
      <c r="W991" t="s">
        <v>473</v>
      </c>
      <c r="X991" t="s">
        <v>473</v>
      </c>
      <c r="Y991" t="s">
        <v>473</v>
      </c>
      <c r="Z991" t="s">
        <v>473</v>
      </c>
      <c r="AA991" t="s">
        <v>473</v>
      </c>
      <c r="AB991" t="s">
        <v>473</v>
      </c>
      <c r="AC991" s="10">
        <v>3</v>
      </c>
      <c r="AD991" s="10">
        <v>11</v>
      </c>
      <c r="AE991" t="s">
        <v>473</v>
      </c>
    </row>
    <row r="992" spans="1:31" x14ac:dyDescent="0.25">
      <c r="A992">
        <v>8545</v>
      </c>
      <c r="B992">
        <v>1954</v>
      </c>
      <c r="C992" t="s">
        <v>466</v>
      </c>
      <c r="D992" t="s">
        <v>37</v>
      </c>
      <c r="E992" t="str">
        <f>IF(OR(Table1[[#This Row],[marital_status]]="Married", Table1[[#This Row],[marital_status]]="Together"), "Partnered", "Single")</f>
        <v>Single</v>
      </c>
      <c r="F992" s="7">
        <v>85683</v>
      </c>
      <c r="G992" s="8">
        <v>0</v>
      </c>
      <c r="H992" s="8">
        <v>0</v>
      </c>
      <c r="I992" s="8">
        <f>Table1[[#This Row],[kids]]+Table1[[#This Row],[teens]]</f>
        <v>0</v>
      </c>
      <c r="J992" s="9">
        <v>41719</v>
      </c>
      <c r="K992" s="8">
        <v>6</v>
      </c>
      <c r="L992" s="6">
        <v>1296</v>
      </c>
      <c r="M992" s="5">
        <v>17</v>
      </c>
      <c r="N992" s="5">
        <v>311</v>
      </c>
      <c r="O992" s="5">
        <v>45</v>
      </c>
      <c r="P992" s="5">
        <v>69</v>
      </c>
      <c r="Q992" s="5">
        <v>51</v>
      </c>
      <c r="R992" s="8">
        <v>1</v>
      </c>
      <c r="S992" s="8">
        <v>2</v>
      </c>
      <c r="T992" s="8">
        <v>4</v>
      </c>
      <c r="U992" s="8">
        <v>10</v>
      </c>
      <c r="V992" s="8">
        <v>1</v>
      </c>
      <c r="W992" t="s">
        <v>473</v>
      </c>
      <c r="X992" t="s">
        <v>474</v>
      </c>
      <c r="Y992" t="s">
        <v>474</v>
      </c>
      <c r="Z992" t="s">
        <v>474</v>
      </c>
      <c r="AA992" t="s">
        <v>474</v>
      </c>
      <c r="AB992" t="s">
        <v>473</v>
      </c>
      <c r="AC992" s="10">
        <v>3</v>
      </c>
      <c r="AD992" s="10">
        <v>11</v>
      </c>
      <c r="AE992" t="s">
        <v>474</v>
      </c>
    </row>
    <row r="993" spans="1:31" x14ac:dyDescent="0.25">
      <c r="A993">
        <v>9850</v>
      </c>
      <c r="B993">
        <v>1972</v>
      </c>
      <c r="C993" t="s">
        <v>46</v>
      </c>
      <c r="D993" t="s">
        <v>34</v>
      </c>
      <c r="E993" t="str">
        <f>IF(OR(Table1[[#This Row],[marital_status]]="Married", Table1[[#This Row],[marital_status]]="Together"), "Partnered", "Single")</f>
        <v>Partnered</v>
      </c>
      <c r="F993" s="7">
        <v>24884</v>
      </c>
      <c r="G993" s="8">
        <v>1</v>
      </c>
      <c r="H993" s="8">
        <v>0</v>
      </c>
      <c r="I993" s="8">
        <f>Table1[[#This Row],[kids]]+Table1[[#This Row],[teens]]</f>
        <v>1</v>
      </c>
      <c r="J993" s="9">
        <v>41242</v>
      </c>
      <c r="K993" s="8">
        <v>32</v>
      </c>
      <c r="L993" s="6">
        <v>3</v>
      </c>
      <c r="M993" s="5">
        <v>6</v>
      </c>
      <c r="N993" s="5">
        <v>7</v>
      </c>
      <c r="O993" s="5">
        <v>0</v>
      </c>
      <c r="P993" s="5">
        <v>0</v>
      </c>
      <c r="Q993" s="5">
        <v>3</v>
      </c>
      <c r="R993" s="8">
        <v>1</v>
      </c>
      <c r="S993" s="8">
        <v>0</v>
      </c>
      <c r="T993" s="8">
        <v>0</v>
      </c>
      <c r="U993" s="8">
        <v>3</v>
      </c>
      <c r="V993" s="8">
        <v>7</v>
      </c>
      <c r="W993" t="s">
        <v>473</v>
      </c>
      <c r="X993" t="s">
        <v>473</v>
      </c>
      <c r="Y993" t="s">
        <v>473</v>
      </c>
      <c r="Z993" t="s">
        <v>473</v>
      </c>
      <c r="AA993" t="s">
        <v>473</v>
      </c>
      <c r="AB993" t="s">
        <v>473</v>
      </c>
      <c r="AC993" s="10">
        <v>3</v>
      </c>
      <c r="AD993" s="10">
        <v>11</v>
      </c>
      <c r="AE993" t="s">
        <v>473</v>
      </c>
    </row>
    <row r="994" spans="1:31" x14ac:dyDescent="0.25">
      <c r="A994">
        <v>7378</v>
      </c>
      <c r="B994">
        <v>1981</v>
      </c>
      <c r="C994" t="s">
        <v>36</v>
      </c>
      <c r="D994" t="s">
        <v>31</v>
      </c>
      <c r="E994" t="str">
        <f>IF(OR(Table1[[#This Row],[marital_status]]="Married", Table1[[#This Row],[marital_status]]="Together"), "Partnered", "Single")</f>
        <v>Partnered</v>
      </c>
      <c r="F994" s="7">
        <v>42021</v>
      </c>
      <c r="G994" s="8">
        <v>1</v>
      </c>
      <c r="H994" s="8">
        <v>0</v>
      </c>
      <c r="I994" s="8">
        <f>Table1[[#This Row],[kids]]+Table1[[#This Row],[teens]]</f>
        <v>1</v>
      </c>
      <c r="J994" s="9">
        <v>41152</v>
      </c>
      <c r="K994" s="8">
        <v>34</v>
      </c>
      <c r="L994" s="6">
        <v>393</v>
      </c>
      <c r="M994" s="5">
        <v>5</v>
      </c>
      <c r="N994" s="5">
        <v>136</v>
      </c>
      <c r="O994" s="5">
        <v>7</v>
      </c>
      <c r="P994" s="5">
        <v>5</v>
      </c>
      <c r="Q994" s="5">
        <v>27</v>
      </c>
      <c r="R994" s="8">
        <v>5</v>
      </c>
      <c r="S994" s="8">
        <v>10</v>
      </c>
      <c r="T994" s="8">
        <v>1</v>
      </c>
      <c r="U994" s="8">
        <v>6</v>
      </c>
      <c r="V994" s="8">
        <v>9</v>
      </c>
      <c r="W994" t="s">
        <v>474</v>
      </c>
      <c r="X994" t="s">
        <v>473</v>
      </c>
      <c r="Y994" t="s">
        <v>473</v>
      </c>
      <c r="Z994" t="s">
        <v>473</v>
      </c>
      <c r="AA994" t="s">
        <v>473</v>
      </c>
      <c r="AB994" t="s">
        <v>473</v>
      </c>
      <c r="AC994" s="10">
        <v>3</v>
      </c>
      <c r="AD994" s="10">
        <v>11</v>
      </c>
      <c r="AE994" t="s">
        <v>473</v>
      </c>
    </row>
    <row r="995" spans="1:31" x14ac:dyDescent="0.25">
      <c r="A995">
        <v>7646</v>
      </c>
      <c r="B995">
        <v>1989</v>
      </c>
      <c r="C995" t="s">
        <v>466</v>
      </c>
      <c r="D995" t="s">
        <v>30</v>
      </c>
      <c r="E995" t="str">
        <f>IF(OR(Table1[[#This Row],[marital_status]]="Married", Table1[[#This Row],[marital_status]]="Together"), "Partnered", "Single")</f>
        <v>Single</v>
      </c>
      <c r="F995" s="7">
        <v>64449</v>
      </c>
      <c r="G995" s="8">
        <v>1</v>
      </c>
      <c r="H995" s="8">
        <v>0</v>
      </c>
      <c r="I995" s="8">
        <f>Table1[[#This Row],[kids]]+Table1[[#This Row],[teens]]</f>
        <v>1</v>
      </c>
      <c r="J995" s="9">
        <v>41688</v>
      </c>
      <c r="K995" s="8">
        <v>70</v>
      </c>
      <c r="L995" s="6">
        <v>218</v>
      </c>
      <c r="M995" s="5">
        <v>63</v>
      </c>
      <c r="N995" s="5">
        <v>282</v>
      </c>
      <c r="O995" s="5">
        <v>137</v>
      </c>
      <c r="P995" s="5">
        <v>35</v>
      </c>
      <c r="Q995" s="5">
        <v>70</v>
      </c>
      <c r="R995" s="8">
        <v>4</v>
      </c>
      <c r="S995" s="8">
        <v>5</v>
      </c>
      <c r="T995" s="8">
        <v>3</v>
      </c>
      <c r="U995" s="8">
        <v>12</v>
      </c>
      <c r="V995" s="8">
        <v>4</v>
      </c>
      <c r="W995" t="s">
        <v>473</v>
      </c>
      <c r="X995" t="s">
        <v>473</v>
      </c>
      <c r="Y995" t="s">
        <v>473</v>
      </c>
      <c r="Z995" t="s">
        <v>473</v>
      </c>
      <c r="AA995" t="s">
        <v>473</v>
      </c>
      <c r="AB995" t="s">
        <v>473</v>
      </c>
      <c r="AC995" s="10">
        <v>3</v>
      </c>
      <c r="AD995" s="10">
        <v>11</v>
      </c>
      <c r="AE995" t="s">
        <v>473</v>
      </c>
    </row>
    <row r="996" spans="1:31" x14ac:dyDescent="0.25">
      <c r="A996">
        <v>1640</v>
      </c>
      <c r="B996">
        <v>1954</v>
      </c>
      <c r="C996" t="s">
        <v>466</v>
      </c>
      <c r="D996" t="s">
        <v>37</v>
      </c>
      <c r="E996" t="str">
        <f>IF(OR(Table1[[#This Row],[marital_status]]="Married", Table1[[#This Row],[marital_status]]="Together"), "Partnered", "Single")</f>
        <v>Single</v>
      </c>
      <c r="F996" s="7">
        <v>64587</v>
      </c>
      <c r="G996" s="8">
        <v>1</v>
      </c>
      <c r="H996" s="8">
        <v>1</v>
      </c>
      <c r="I996" s="8">
        <f>Table1[[#This Row],[kids]]+Table1[[#This Row],[teens]]</f>
        <v>2</v>
      </c>
      <c r="J996" s="9">
        <v>41812</v>
      </c>
      <c r="K996" s="8">
        <v>49</v>
      </c>
      <c r="L996" s="6">
        <v>66</v>
      </c>
      <c r="M996" s="5">
        <v>0</v>
      </c>
      <c r="N996" s="5">
        <v>16</v>
      </c>
      <c r="O996" s="5">
        <v>0</v>
      </c>
      <c r="P996" s="5">
        <v>6</v>
      </c>
      <c r="Q996" s="5">
        <v>20</v>
      </c>
      <c r="R996" s="8">
        <v>2</v>
      </c>
      <c r="S996" s="8">
        <v>1</v>
      </c>
      <c r="T996" s="8">
        <v>1</v>
      </c>
      <c r="U996" s="8">
        <v>4</v>
      </c>
      <c r="V996" s="8">
        <v>3</v>
      </c>
      <c r="W996" t="s">
        <v>473</v>
      </c>
      <c r="X996" t="s">
        <v>473</v>
      </c>
      <c r="Y996" t="s">
        <v>473</v>
      </c>
      <c r="Z996" t="s">
        <v>473</v>
      </c>
      <c r="AA996" t="s">
        <v>473</v>
      </c>
      <c r="AB996" t="s">
        <v>473</v>
      </c>
      <c r="AC996" s="10">
        <v>3</v>
      </c>
      <c r="AD996" s="10">
        <v>11</v>
      </c>
      <c r="AE996" t="s">
        <v>473</v>
      </c>
    </row>
    <row r="997" spans="1:31" x14ac:dyDescent="0.25">
      <c r="A997">
        <v>5184</v>
      </c>
      <c r="B997">
        <v>1995</v>
      </c>
      <c r="C997" t="s">
        <v>466</v>
      </c>
      <c r="D997" t="s">
        <v>30</v>
      </c>
      <c r="E997" t="str">
        <f>IF(OR(Table1[[#This Row],[marital_status]]="Married", Table1[[#This Row],[marital_status]]="Together"), "Partnered", "Single")</f>
        <v>Single</v>
      </c>
      <c r="F997" s="7">
        <v>34824</v>
      </c>
      <c r="G997" s="8">
        <v>0</v>
      </c>
      <c r="H997" s="8">
        <v>0</v>
      </c>
      <c r="I997" s="8">
        <f>Table1[[#This Row],[kids]]+Table1[[#This Row],[teens]]</f>
        <v>0</v>
      </c>
      <c r="J997" s="9">
        <v>41724</v>
      </c>
      <c r="K997" s="8">
        <v>65</v>
      </c>
      <c r="L997" s="6">
        <v>4</v>
      </c>
      <c r="M997" s="5">
        <v>2</v>
      </c>
      <c r="N997" s="5">
        <v>11</v>
      </c>
      <c r="O997" s="5">
        <v>2</v>
      </c>
      <c r="P997" s="5">
        <v>0</v>
      </c>
      <c r="Q997" s="5">
        <v>4</v>
      </c>
      <c r="R997" s="8">
        <v>1</v>
      </c>
      <c r="S997" s="8">
        <v>1</v>
      </c>
      <c r="T997" s="8">
        <v>0</v>
      </c>
      <c r="U997" s="8">
        <v>2</v>
      </c>
      <c r="V997" s="8">
        <v>6</v>
      </c>
      <c r="W997" t="s">
        <v>473</v>
      </c>
      <c r="X997" t="s">
        <v>473</v>
      </c>
      <c r="Y997" t="s">
        <v>473</v>
      </c>
      <c r="Z997" t="s">
        <v>473</v>
      </c>
      <c r="AA997" t="s">
        <v>473</v>
      </c>
      <c r="AB997" t="s">
        <v>473</v>
      </c>
      <c r="AC997" s="10">
        <v>3</v>
      </c>
      <c r="AD997" s="10">
        <v>11</v>
      </c>
      <c r="AE997" t="s">
        <v>473</v>
      </c>
    </row>
    <row r="998" spans="1:31" x14ac:dyDescent="0.25">
      <c r="A998">
        <v>8492</v>
      </c>
      <c r="B998">
        <v>1978</v>
      </c>
      <c r="C998" t="s">
        <v>466</v>
      </c>
      <c r="D998" t="s">
        <v>31</v>
      </c>
      <c r="E998" t="str">
        <f>IF(OR(Table1[[#This Row],[marital_status]]="Married", Table1[[#This Row],[marital_status]]="Together"), "Partnered", "Single")</f>
        <v>Partnered</v>
      </c>
      <c r="F998" s="7">
        <v>75437</v>
      </c>
      <c r="G998" s="8">
        <v>0</v>
      </c>
      <c r="H998" s="8">
        <v>0</v>
      </c>
      <c r="I998" s="8">
        <f>Table1[[#This Row],[kids]]+Table1[[#This Row],[teens]]</f>
        <v>0</v>
      </c>
      <c r="J998" s="9">
        <v>41587</v>
      </c>
      <c r="K998" s="8">
        <v>25</v>
      </c>
      <c r="L998" s="6">
        <v>795</v>
      </c>
      <c r="M998" s="5">
        <v>0</v>
      </c>
      <c r="N998" s="5">
        <v>545</v>
      </c>
      <c r="O998" s="5">
        <v>95</v>
      </c>
      <c r="P998" s="5">
        <v>58</v>
      </c>
      <c r="Q998" s="5">
        <v>0</v>
      </c>
      <c r="R998" s="8">
        <v>1</v>
      </c>
      <c r="S998" s="8">
        <v>8</v>
      </c>
      <c r="T998" s="8">
        <v>4</v>
      </c>
      <c r="U998" s="8">
        <v>10</v>
      </c>
      <c r="V998" s="8">
        <v>6</v>
      </c>
      <c r="W998" t="s">
        <v>473</v>
      </c>
      <c r="X998" t="s">
        <v>473</v>
      </c>
      <c r="Y998" t="s">
        <v>473</v>
      </c>
      <c r="Z998" t="s">
        <v>474</v>
      </c>
      <c r="AA998" t="s">
        <v>473</v>
      </c>
      <c r="AB998" t="s">
        <v>473</v>
      </c>
      <c r="AC998" s="10">
        <v>3</v>
      </c>
      <c r="AD998" s="10">
        <v>11</v>
      </c>
      <c r="AE998" t="s">
        <v>473</v>
      </c>
    </row>
    <row r="999" spans="1:31" x14ac:dyDescent="0.25">
      <c r="A999">
        <v>11188</v>
      </c>
      <c r="B999">
        <v>1957</v>
      </c>
      <c r="C999" t="s">
        <v>466</v>
      </c>
      <c r="D999" t="s">
        <v>31</v>
      </c>
      <c r="E999" t="str">
        <f>IF(OR(Table1[[#This Row],[marital_status]]="Married", Table1[[#This Row],[marital_status]]="Together"), "Partnered", "Single")</f>
        <v>Partnered</v>
      </c>
      <c r="F999" s="7">
        <v>26091</v>
      </c>
      <c r="G999" s="8">
        <v>1</v>
      </c>
      <c r="H999" s="8">
        <v>1</v>
      </c>
      <c r="I999" s="8">
        <f>Table1[[#This Row],[kids]]+Table1[[#This Row],[teens]]</f>
        <v>2</v>
      </c>
      <c r="J999" s="9">
        <v>41695</v>
      </c>
      <c r="K999" s="8">
        <v>84</v>
      </c>
      <c r="L999" s="6">
        <v>15</v>
      </c>
      <c r="M999" s="5">
        <v>10</v>
      </c>
      <c r="N999" s="5">
        <v>19</v>
      </c>
      <c r="O999" s="5">
        <v>8</v>
      </c>
      <c r="P999" s="5">
        <v>17</v>
      </c>
      <c r="Q999" s="5">
        <v>20</v>
      </c>
      <c r="R999" s="8">
        <v>3</v>
      </c>
      <c r="S999" s="8">
        <v>2</v>
      </c>
      <c r="T999" s="8">
        <v>1</v>
      </c>
      <c r="U999" s="8">
        <v>3</v>
      </c>
      <c r="V999" s="8">
        <v>5</v>
      </c>
      <c r="W999" t="s">
        <v>473</v>
      </c>
      <c r="X999" t="s">
        <v>473</v>
      </c>
      <c r="Y999" t="s">
        <v>473</v>
      </c>
      <c r="Z999" t="s">
        <v>473</v>
      </c>
      <c r="AA999" t="s">
        <v>473</v>
      </c>
      <c r="AB999" t="s">
        <v>473</v>
      </c>
      <c r="AC999" s="10">
        <v>3</v>
      </c>
      <c r="AD999" s="10">
        <v>11</v>
      </c>
      <c r="AE999" t="s">
        <v>473</v>
      </c>
    </row>
    <row r="1000" spans="1:31" x14ac:dyDescent="0.25">
      <c r="A1000">
        <v>1212</v>
      </c>
      <c r="B1000">
        <v>1973</v>
      </c>
      <c r="C1000" t="s">
        <v>466</v>
      </c>
      <c r="D1000" t="s">
        <v>34</v>
      </c>
      <c r="E1000" t="str">
        <f>IF(OR(Table1[[#This Row],[marital_status]]="Married", Table1[[#This Row],[marital_status]]="Together"), "Partnered", "Single")</f>
        <v>Partnered</v>
      </c>
      <c r="F1000" s="7">
        <v>52845</v>
      </c>
      <c r="G1000" s="8">
        <v>1</v>
      </c>
      <c r="H1000" s="8">
        <v>0</v>
      </c>
      <c r="I1000" s="8">
        <f>Table1[[#This Row],[kids]]+Table1[[#This Row],[teens]]</f>
        <v>1</v>
      </c>
      <c r="J1000" s="9">
        <v>41499</v>
      </c>
      <c r="K1000" s="8">
        <v>7</v>
      </c>
      <c r="L1000" s="6">
        <v>384</v>
      </c>
      <c r="M1000" s="5">
        <v>25</v>
      </c>
      <c r="N1000" s="5">
        <v>292</v>
      </c>
      <c r="O1000" s="5">
        <v>130</v>
      </c>
      <c r="P1000" s="5">
        <v>41</v>
      </c>
      <c r="Q1000" s="5">
        <v>64</v>
      </c>
      <c r="R1000" s="8">
        <v>3</v>
      </c>
      <c r="S1000" s="8">
        <v>8</v>
      </c>
      <c r="T1000" s="8">
        <v>8</v>
      </c>
      <c r="U1000" s="8">
        <v>6</v>
      </c>
      <c r="V1000" s="8">
        <v>6</v>
      </c>
      <c r="W1000" t="s">
        <v>474</v>
      </c>
      <c r="X1000" t="s">
        <v>473</v>
      </c>
      <c r="Y1000" t="s">
        <v>473</v>
      </c>
      <c r="Z1000" t="s">
        <v>473</v>
      </c>
      <c r="AA1000" t="s">
        <v>473</v>
      </c>
      <c r="AB1000" t="s">
        <v>473</v>
      </c>
      <c r="AC1000" s="10">
        <v>3</v>
      </c>
      <c r="AD1000" s="10">
        <v>11</v>
      </c>
      <c r="AE1000" t="s">
        <v>473</v>
      </c>
    </row>
    <row r="1001" spans="1:31" x14ac:dyDescent="0.25">
      <c r="A1001">
        <v>9097</v>
      </c>
      <c r="B1001">
        <v>1956</v>
      </c>
      <c r="C1001" t="s">
        <v>466</v>
      </c>
      <c r="D1001" t="s">
        <v>37</v>
      </c>
      <c r="E1001" t="str">
        <f>IF(OR(Table1[[#This Row],[marital_status]]="Married", Table1[[#This Row],[marital_status]]="Together"), "Partnered", "Single")</f>
        <v>Single</v>
      </c>
      <c r="F1001" s="7">
        <v>46086</v>
      </c>
      <c r="G1001" s="8">
        <v>0</v>
      </c>
      <c r="H1001" s="8">
        <v>1</v>
      </c>
      <c r="I1001" s="8">
        <f>Table1[[#This Row],[kids]]+Table1[[#This Row],[teens]]</f>
        <v>1</v>
      </c>
      <c r="J1001" s="9">
        <v>41581</v>
      </c>
      <c r="K1001" s="8">
        <v>34</v>
      </c>
      <c r="L1001" s="6">
        <v>244</v>
      </c>
      <c r="M1001" s="5">
        <v>8</v>
      </c>
      <c r="N1001" s="5">
        <v>32</v>
      </c>
      <c r="O1001" s="5">
        <v>7</v>
      </c>
      <c r="P1001" s="5">
        <v>2</v>
      </c>
      <c r="Q1001" s="5">
        <v>50</v>
      </c>
      <c r="R1001" s="8">
        <v>4</v>
      </c>
      <c r="S1001" s="8">
        <v>3</v>
      </c>
      <c r="T1001" s="8">
        <v>1</v>
      </c>
      <c r="U1001" s="8">
        <v>8</v>
      </c>
      <c r="V1001" s="8">
        <v>4</v>
      </c>
      <c r="W1001" t="s">
        <v>473</v>
      </c>
      <c r="X1001" t="s">
        <v>473</v>
      </c>
      <c r="Y1001" t="s">
        <v>473</v>
      </c>
      <c r="Z1001" t="s">
        <v>473</v>
      </c>
      <c r="AA1001" t="s">
        <v>473</v>
      </c>
      <c r="AB1001" t="s">
        <v>473</v>
      </c>
      <c r="AC1001" s="10">
        <v>3</v>
      </c>
      <c r="AD1001" s="10">
        <v>11</v>
      </c>
      <c r="AE1001" t="s">
        <v>473</v>
      </c>
    </row>
    <row r="1002" spans="1:31" x14ac:dyDescent="0.25">
      <c r="A1002">
        <v>10473</v>
      </c>
      <c r="B1002">
        <v>1956</v>
      </c>
      <c r="C1002" t="s">
        <v>33</v>
      </c>
      <c r="D1002" t="s">
        <v>57</v>
      </c>
      <c r="E1002" t="str">
        <f>IF(OR(Table1[[#This Row],[marital_status]]="Married", Table1[[#This Row],[marital_status]]="Together"), "Partnered", "Single")</f>
        <v>Single</v>
      </c>
      <c r="F1002" s="7">
        <v>78028</v>
      </c>
      <c r="G1002" s="8">
        <v>0</v>
      </c>
      <c r="H1002" s="8">
        <v>1</v>
      </c>
      <c r="I1002" s="8">
        <f>Table1[[#This Row],[kids]]+Table1[[#This Row],[teens]]</f>
        <v>1</v>
      </c>
      <c r="J1002" s="9">
        <v>41162</v>
      </c>
      <c r="K1002" s="8">
        <v>38</v>
      </c>
      <c r="L1002" s="6">
        <v>158</v>
      </c>
      <c r="M1002" s="5">
        <v>19</v>
      </c>
      <c r="N1002" s="5">
        <v>288</v>
      </c>
      <c r="O1002" s="5">
        <v>25</v>
      </c>
      <c r="P1002" s="5">
        <v>0</v>
      </c>
      <c r="Q1002" s="5">
        <v>38</v>
      </c>
      <c r="R1002" s="8">
        <v>1</v>
      </c>
      <c r="S1002" s="8">
        <v>6</v>
      </c>
      <c r="T1002" s="8">
        <v>4</v>
      </c>
      <c r="U1002" s="8">
        <v>9</v>
      </c>
      <c r="V1002" s="8">
        <v>7</v>
      </c>
      <c r="W1002" t="s">
        <v>473</v>
      </c>
      <c r="X1002" t="s">
        <v>474</v>
      </c>
      <c r="Y1002" t="s">
        <v>474</v>
      </c>
      <c r="Z1002" t="s">
        <v>473</v>
      </c>
      <c r="AA1002" t="s">
        <v>473</v>
      </c>
      <c r="AB1002" t="s">
        <v>473</v>
      </c>
      <c r="AC1002" s="10">
        <v>3</v>
      </c>
      <c r="AD1002" s="10">
        <v>11</v>
      </c>
      <c r="AE1002" t="s">
        <v>474</v>
      </c>
    </row>
    <row r="1003" spans="1:31" x14ac:dyDescent="0.25">
      <c r="A1003">
        <v>7962</v>
      </c>
      <c r="B1003">
        <v>1987</v>
      </c>
      <c r="C1003" t="s">
        <v>33</v>
      </c>
      <c r="D1003" t="s">
        <v>30</v>
      </c>
      <c r="E1003" t="str">
        <f>IF(OR(Table1[[#This Row],[marital_status]]="Married", Table1[[#This Row],[marital_status]]="Together"), "Partnered", "Single")</f>
        <v>Single</v>
      </c>
      <c r="F1003" s="7">
        <v>95169</v>
      </c>
      <c r="G1003" s="8">
        <v>0</v>
      </c>
      <c r="H1003" s="8">
        <v>0</v>
      </c>
      <c r="I1003" s="8">
        <f>Table1[[#This Row],[kids]]+Table1[[#This Row],[teens]]</f>
        <v>0</v>
      </c>
      <c r="J1003" s="9">
        <v>41556</v>
      </c>
      <c r="K1003" s="8">
        <v>1</v>
      </c>
      <c r="L1003" s="6">
        <v>1285</v>
      </c>
      <c r="M1003" s="5">
        <v>21</v>
      </c>
      <c r="N1003" s="5">
        <v>449</v>
      </c>
      <c r="O1003" s="5">
        <v>106</v>
      </c>
      <c r="P1003" s="5">
        <v>20</v>
      </c>
      <c r="Q1003" s="5">
        <v>20</v>
      </c>
      <c r="R1003" s="8">
        <v>1</v>
      </c>
      <c r="S1003" s="8">
        <v>4</v>
      </c>
      <c r="T1003" s="8">
        <v>3</v>
      </c>
      <c r="U1003" s="8">
        <v>4</v>
      </c>
      <c r="V1003" s="8">
        <v>1</v>
      </c>
      <c r="W1003" t="s">
        <v>473</v>
      </c>
      <c r="X1003" t="s">
        <v>473</v>
      </c>
      <c r="Y1003" t="s">
        <v>474</v>
      </c>
      <c r="Z1003" t="s">
        <v>474</v>
      </c>
      <c r="AA1003" t="s">
        <v>473</v>
      </c>
      <c r="AB1003" t="s">
        <v>473</v>
      </c>
      <c r="AC1003" s="10">
        <v>3</v>
      </c>
      <c r="AD1003" s="10">
        <v>11</v>
      </c>
      <c r="AE1003" t="s">
        <v>474</v>
      </c>
    </row>
    <row r="1004" spans="1:31" x14ac:dyDescent="0.25">
      <c r="A1004">
        <v>9984</v>
      </c>
      <c r="B1004">
        <v>1981</v>
      </c>
      <c r="C1004" t="s">
        <v>46</v>
      </c>
      <c r="D1004" t="s">
        <v>34</v>
      </c>
      <c r="E1004" t="str">
        <f>IF(OR(Table1[[#This Row],[marital_status]]="Married", Table1[[#This Row],[marital_status]]="Together"), "Partnered", "Single")</f>
        <v>Partnered</v>
      </c>
      <c r="F1004" s="7">
        <v>56337</v>
      </c>
      <c r="G1004" s="8">
        <v>1</v>
      </c>
      <c r="H1004" s="8">
        <v>1</v>
      </c>
      <c r="I1004" s="8">
        <f>Table1[[#This Row],[kids]]+Table1[[#This Row],[teens]]</f>
        <v>2</v>
      </c>
      <c r="J1004" s="9">
        <v>41360</v>
      </c>
      <c r="K1004" s="8">
        <v>25</v>
      </c>
      <c r="L1004" s="6">
        <v>349</v>
      </c>
      <c r="M1004" s="5">
        <v>16</v>
      </c>
      <c r="N1004" s="5">
        <v>144</v>
      </c>
      <c r="O1004" s="5">
        <v>28</v>
      </c>
      <c r="P1004" s="5">
        <v>5</v>
      </c>
      <c r="Q1004" s="5">
        <v>182</v>
      </c>
      <c r="R1004" s="8">
        <v>5</v>
      </c>
      <c r="S1004" s="8">
        <v>8</v>
      </c>
      <c r="T1004" s="8">
        <v>5</v>
      </c>
      <c r="U1004" s="8">
        <v>4</v>
      </c>
      <c r="V1004" s="8">
        <v>8</v>
      </c>
      <c r="W1004" t="s">
        <v>474</v>
      </c>
      <c r="X1004" t="s">
        <v>473</v>
      </c>
      <c r="Y1004" t="s">
        <v>473</v>
      </c>
      <c r="Z1004" t="s">
        <v>474</v>
      </c>
      <c r="AA1004" t="s">
        <v>473</v>
      </c>
      <c r="AB1004" t="s">
        <v>473</v>
      </c>
      <c r="AC1004" s="10">
        <v>3</v>
      </c>
      <c r="AD1004" s="10">
        <v>11</v>
      </c>
      <c r="AE1004" t="s">
        <v>474</v>
      </c>
    </row>
    <row r="1005" spans="1:31" x14ac:dyDescent="0.25">
      <c r="A1005">
        <v>5527</v>
      </c>
      <c r="B1005">
        <v>1987</v>
      </c>
      <c r="C1005" t="s">
        <v>466</v>
      </c>
      <c r="D1005" t="s">
        <v>31</v>
      </c>
      <c r="E1005" t="str">
        <f>IF(OR(Table1[[#This Row],[marital_status]]="Married", Table1[[#This Row],[marital_status]]="Together"), "Partnered", "Single")</f>
        <v>Partnered</v>
      </c>
      <c r="F1005" s="7">
        <v>22434</v>
      </c>
      <c r="G1005" s="8">
        <v>1</v>
      </c>
      <c r="H1005" s="8">
        <v>0</v>
      </c>
      <c r="I1005" s="8">
        <f>Table1[[#This Row],[kids]]+Table1[[#This Row],[teens]]</f>
        <v>1</v>
      </c>
      <c r="J1005" s="9">
        <v>41318</v>
      </c>
      <c r="K1005" s="8">
        <v>25</v>
      </c>
      <c r="L1005" s="6">
        <v>4</v>
      </c>
      <c r="M1005" s="5">
        <v>12</v>
      </c>
      <c r="N1005" s="5">
        <v>11</v>
      </c>
      <c r="O1005" s="5">
        <v>3</v>
      </c>
      <c r="P1005" s="5">
        <v>13</v>
      </c>
      <c r="Q1005" s="5">
        <v>15</v>
      </c>
      <c r="R1005" s="8">
        <v>2</v>
      </c>
      <c r="S1005" s="8">
        <v>2</v>
      </c>
      <c r="T1005" s="8">
        <v>0</v>
      </c>
      <c r="U1005" s="8">
        <v>3</v>
      </c>
      <c r="V1005" s="8">
        <v>8</v>
      </c>
      <c r="W1005" t="s">
        <v>473</v>
      </c>
      <c r="X1005" t="s">
        <v>473</v>
      </c>
      <c r="Y1005" t="s">
        <v>473</v>
      </c>
      <c r="Z1005" t="s">
        <v>473</v>
      </c>
      <c r="AA1005" t="s">
        <v>473</v>
      </c>
      <c r="AB1005" t="s">
        <v>473</v>
      </c>
      <c r="AC1005" s="10">
        <v>3</v>
      </c>
      <c r="AD1005" s="10">
        <v>11</v>
      </c>
      <c r="AE1005" t="s">
        <v>473</v>
      </c>
    </row>
    <row r="1006" spans="1:31" x14ac:dyDescent="0.25">
      <c r="A1006">
        <v>6374</v>
      </c>
      <c r="B1006">
        <v>1954</v>
      </c>
      <c r="C1006" t="s">
        <v>33</v>
      </c>
      <c r="D1006" t="s">
        <v>34</v>
      </c>
      <c r="E1006" t="str">
        <f>IF(OR(Table1[[#This Row],[marital_status]]="Married", Table1[[#This Row],[marital_status]]="Together"), "Partnered", "Single")</f>
        <v>Partnered</v>
      </c>
      <c r="F1006" s="7">
        <v>36930</v>
      </c>
      <c r="G1006" s="8">
        <v>0</v>
      </c>
      <c r="H1006" s="8">
        <v>1</v>
      </c>
      <c r="I1006" s="8">
        <f>Table1[[#This Row],[kids]]+Table1[[#This Row],[teens]]</f>
        <v>1</v>
      </c>
      <c r="J1006" s="9">
        <v>41411</v>
      </c>
      <c r="K1006" s="8">
        <v>50</v>
      </c>
      <c r="L1006" s="6">
        <v>223</v>
      </c>
      <c r="M1006" s="5">
        <v>2</v>
      </c>
      <c r="N1006" s="5">
        <v>31</v>
      </c>
      <c r="O1006" s="5">
        <v>0</v>
      </c>
      <c r="P1006" s="5">
        <v>2</v>
      </c>
      <c r="Q1006" s="5">
        <v>39</v>
      </c>
      <c r="R1006" s="8">
        <v>5</v>
      </c>
      <c r="S1006" s="8">
        <v>5</v>
      </c>
      <c r="T1006" s="8">
        <v>2</v>
      </c>
      <c r="U1006" s="8">
        <v>4</v>
      </c>
      <c r="V1006" s="8">
        <v>8</v>
      </c>
      <c r="W1006" t="s">
        <v>473</v>
      </c>
      <c r="X1006" t="s">
        <v>473</v>
      </c>
      <c r="Y1006" t="s">
        <v>473</v>
      </c>
      <c r="Z1006" t="s">
        <v>473</v>
      </c>
      <c r="AA1006" t="s">
        <v>473</v>
      </c>
      <c r="AB1006" t="s">
        <v>473</v>
      </c>
      <c r="AC1006" s="10">
        <v>3</v>
      </c>
      <c r="AD1006" s="10">
        <v>11</v>
      </c>
      <c r="AE1006" t="s">
        <v>473</v>
      </c>
    </row>
    <row r="1007" spans="1:31" x14ac:dyDescent="0.25">
      <c r="A1007">
        <v>7453</v>
      </c>
      <c r="B1007">
        <v>1954</v>
      </c>
      <c r="C1007" t="s">
        <v>466</v>
      </c>
      <c r="D1007" t="s">
        <v>30</v>
      </c>
      <c r="E1007" t="str">
        <f>IF(OR(Table1[[#This Row],[marital_status]]="Married", Table1[[#This Row],[marital_status]]="Together"), "Partnered", "Single")</f>
        <v>Single</v>
      </c>
      <c r="F1007" s="7">
        <v>36130</v>
      </c>
      <c r="G1007" s="8">
        <v>0</v>
      </c>
      <c r="H1007" s="8">
        <v>1</v>
      </c>
      <c r="I1007" s="8">
        <f>Table1[[#This Row],[kids]]+Table1[[#This Row],[teens]]</f>
        <v>1</v>
      </c>
      <c r="J1007" s="9">
        <v>41307</v>
      </c>
      <c r="K1007" s="8">
        <v>46</v>
      </c>
      <c r="L1007" s="6">
        <v>157</v>
      </c>
      <c r="M1007" s="5">
        <v>43</v>
      </c>
      <c r="N1007" s="5">
        <v>127</v>
      </c>
      <c r="O1007" s="5">
        <v>68</v>
      </c>
      <c r="P1007" s="5">
        <v>56</v>
      </c>
      <c r="Q1007" s="5">
        <v>37</v>
      </c>
      <c r="R1007" s="8">
        <v>6</v>
      </c>
      <c r="S1007" s="8">
        <v>3</v>
      </c>
      <c r="T1007" s="8">
        <v>8</v>
      </c>
      <c r="U1007" s="8">
        <v>4</v>
      </c>
      <c r="V1007" s="8">
        <v>4</v>
      </c>
      <c r="W1007" t="s">
        <v>474</v>
      </c>
      <c r="X1007" t="s">
        <v>473</v>
      </c>
      <c r="Y1007" t="s">
        <v>473</v>
      </c>
      <c r="Z1007" t="s">
        <v>473</v>
      </c>
      <c r="AA1007" t="s">
        <v>473</v>
      </c>
      <c r="AB1007" t="s">
        <v>473</v>
      </c>
      <c r="AC1007" s="10">
        <v>3</v>
      </c>
      <c r="AD1007" s="10">
        <v>11</v>
      </c>
      <c r="AE1007" t="s">
        <v>474</v>
      </c>
    </row>
    <row r="1008" spans="1:31" x14ac:dyDescent="0.25">
      <c r="A1008">
        <v>8952</v>
      </c>
      <c r="B1008">
        <v>1953</v>
      </c>
      <c r="C1008" t="s">
        <v>36</v>
      </c>
      <c r="D1008" t="s">
        <v>34</v>
      </c>
      <c r="E1008" t="str">
        <f>IF(OR(Table1[[#This Row],[marital_status]]="Married", Table1[[#This Row],[marital_status]]="Together"), "Partnered", "Single")</f>
        <v>Partnered</v>
      </c>
      <c r="F1008" s="7">
        <v>65569</v>
      </c>
      <c r="G1008" s="8">
        <v>0</v>
      </c>
      <c r="H1008" s="8">
        <v>1</v>
      </c>
      <c r="I1008" s="8">
        <f>Table1[[#This Row],[kids]]+Table1[[#This Row],[teens]]</f>
        <v>1</v>
      </c>
      <c r="J1008" s="9">
        <v>41218</v>
      </c>
      <c r="K1008" s="8">
        <v>96</v>
      </c>
      <c r="L1008" s="6">
        <v>397</v>
      </c>
      <c r="M1008" s="5">
        <v>46</v>
      </c>
      <c r="N1008" s="5">
        <v>288</v>
      </c>
      <c r="O1008" s="5">
        <v>20</v>
      </c>
      <c r="P1008" s="5">
        <v>38</v>
      </c>
      <c r="Q1008" s="5">
        <v>70</v>
      </c>
      <c r="R1008" s="8">
        <v>2</v>
      </c>
      <c r="S1008" s="8">
        <v>6</v>
      </c>
      <c r="T1008" s="8">
        <v>5</v>
      </c>
      <c r="U1008" s="8">
        <v>10</v>
      </c>
      <c r="V1008" s="8">
        <v>3</v>
      </c>
      <c r="W1008" t="s">
        <v>473</v>
      </c>
      <c r="X1008" t="s">
        <v>473</v>
      </c>
      <c r="Y1008" t="s">
        <v>473</v>
      </c>
      <c r="Z1008" t="s">
        <v>473</v>
      </c>
      <c r="AA1008" t="s">
        <v>473</v>
      </c>
      <c r="AB1008" t="s">
        <v>473</v>
      </c>
      <c r="AC1008" s="10">
        <v>3</v>
      </c>
      <c r="AD1008" s="10">
        <v>11</v>
      </c>
      <c r="AE1008" t="s">
        <v>473</v>
      </c>
    </row>
    <row r="1009" spans="1:31" x14ac:dyDescent="0.25">
      <c r="A1009">
        <v>241</v>
      </c>
      <c r="B1009">
        <v>1952</v>
      </c>
      <c r="C1009" t="s">
        <v>466</v>
      </c>
      <c r="D1009" t="s">
        <v>31</v>
      </c>
      <c r="E1009" t="str">
        <f>IF(OR(Table1[[#This Row],[marital_status]]="Married", Table1[[#This Row],[marital_status]]="Together"), "Partnered", "Single")</f>
        <v>Partnered</v>
      </c>
      <c r="F1009" s="7">
        <v>83844</v>
      </c>
      <c r="G1009" s="8">
        <v>0</v>
      </c>
      <c r="H1009" s="8">
        <v>0</v>
      </c>
      <c r="I1009" s="8">
        <f>Table1[[#This Row],[kids]]+Table1[[#This Row],[teens]]</f>
        <v>0</v>
      </c>
      <c r="J1009" s="9">
        <v>41406</v>
      </c>
      <c r="K1009" s="8">
        <v>57</v>
      </c>
      <c r="L1009" s="6">
        <v>901</v>
      </c>
      <c r="M1009" s="5">
        <v>31</v>
      </c>
      <c r="N1009" s="5">
        <v>345</v>
      </c>
      <c r="O1009" s="5">
        <v>75</v>
      </c>
      <c r="P1009" s="5">
        <v>31</v>
      </c>
      <c r="Q1009" s="5">
        <v>191</v>
      </c>
      <c r="R1009" s="8">
        <v>1</v>
      </c>
      <c r="S1009" s="8">
        <v>4</v>
      </c>
      <c r="T1009" s="8">
        <v>4</v>
      </c>
      <c r="U1009" s="8">
        <v>11</v>
      </c>
      <c r="V1009" s="8">
        <v>1</v>
      </c>
      <c r="W1009" t="s">
        <v>473</v>
      </c>
      <c r="X1009" t="s">
        <v>473</v>
      </c>
      <c r="Y1009" t="s">
        <v>474</v>
      </c>
      <c r="Z1009" t="s">
        <v>473</v>
      </c>
      <c r="AA1009" t="s">
        <v>473</v>
      </c>
      <c r="AB1009" t="s">
        <v>473</v>
      </c>
      <c r="AC1009" s="10">
        <v>3</v>
      </c>
      <c r="AD1009" s="10">
        <v>11</v>
      </c>
      <c r="AE1009" t="s">
        <v>473</v>
      </c>
    </row>
    <row r="1010" spans="1:31" x14ac:dyDescent="0.25">
      <c r="A1010">
        <v>8975</v>
      </c>
      <c r="B1010">
        <v>1968</v>
      </c>
      <c r="C1010" t="s">
        <v>466</v>
      </c>
      <c r="D1010" t="s">
        <v>34</v>
      </c>
      <c r="E1010" t="str">
        <f>IF(OR(Table1[[#This Row],[marital_status]]="Married", Table1[[#This Row],[marital_status]]="Together"), "Partnered", "Single")</f>
        <v>Partnered</v>
      </c>
      <c r="F1010" s="7">
        <v>19514</v>
      </c>
      <c r="G1010" s="8">
        <v>1</v>
      </c>
      <c r="H1010" s="8">
        <v>1</v>
      </c>
      <c r="I1010" s="8">
        <f>Table1[[#This Row],[kids]]+Table1[[#This Row],[teens]]</f>
        <v>2</v>
      </c>
      <c r="J1010" s="9">
        <v>41665</v>
      </c>
      <c r="K1010" s="8">
        <v>47</v>
      </c>
      <c r="L1010" s="6">
        <v>14</v>
      </c>
      <c r="M1010" s="5">
        <v>3</v>
      </c>
      <c r="N1010" s="5">
        <v>21</v>
      </c>
      <c r="O1010" s="5">
        <v>2</v>
      </c>
      <c r="P1010" s="5">
        <v>1</v>
      </c>
      <c r="Q1010" s="5">
        <v>28</v>
      </c>
      <c r="R1010" s="8">
        <v>4</v>
      </c>
      <c r="S1010" s="8">
        <v>3</v>
      </c>
      <c r="T1010" s="8">
        <v>1</v>
      </c>
      <c r="U1010" s="8">
        <v>2</v>
      </c>
      <c r="V1010" s="8">
        <v>8</v>
      </c>
      <c r="W1010" t="s">
        <v>474</v>
      </c>
      <c r="X1010" t="s">
        <v>473</v>
      </c>
      <c r="Y1010" t="s">
        <v>473</v>
      </c>
      <c r="Z1010" t="s">
        <v>473</v>
      </c>
      <c r="AA1010" t="s">
        <v>473</v>
      </c>
      <c r="AB1010" t="s">
        <v>473</v>
      </c>
      <c r="AC1010" s="10">
        <v>3</v>
      </c>
      <c r="AD1010" s="10">
        <v>11</v>
      </c>
      <c r="AE1010" t="s">
        <v>473</v>
      </c>
    </row>
    <row r="1011" spans="1:31" x14ac:dyDescent="0.25">
      <c r="A1011">
        <v>6119</v>
      </c>
      <c r="B1011">
        <v>1963</v>
      </c>
      <c r="C1011" t="s">
        <v>33</v>
      </c>
      <c r="D1011" t="s">
        <v>30</v>
      </c>
      <c r="E1011" t="str">
        <f>IF(OR(Table1[[#This Row],[marital_status]]="Married", Table1[[#This Row],[marital_status]]="Together"), "Partnered", "Single")</f>
        <v>Single</v>
      </c>
      <c r="F1011" s="7">
        <v>36736</v>
      </c>
      <c r="G1011" s="8">
        <v>1</v>
      </c>
      <c r="H1011" s="8">
        <v>1</v>
      </c>
      <c r="I1011" s="8">
        <f>Table1[[#This Row],[kids]]+Table1[[#This Row],[teens]]</f>
        <v>2</v>
      </c>
      <c r="J1011" s="9">
        <v>41404</v>
      </c>
      <c r="K1011" s="8">
        <v>52</v>
      </c>
      <c r="L1011" s="6">
        <v>10</v>
      </c>
      <c r="M1011" s="5">
        <v>0</v>
      </c>
      <c r="N1011" s="5">
        <v>3</v>
      </c>
      <c r="O1011" s="5">
        <v>0</v>
      </c>
      <c r="P1011" s="5">
        <v>0</v>
      </c>
      <c r="Q1011" s="5">
        <v>4</v>
      </c>
      <c r="R1011" s="8">
        <v>1</v>
      </c>
      <c r="S1011" s="8">
        <v>1</v>
      </c>
      <c r="T1011" s="8">
        <v>0</v>
      </c>
      <c r="U1011" s="8">
        <v>2</v>
      </c>
      <c r="V1011" s="8">
        <v>6</v>
      </c>
      <c r="W1011" t="s">
        <v>473</v>
      </c>
      <c r="X1011" t="s">
        <v>473</v>
      </c>
      <c r="Y1011" t="s">
        <v>473</v>
      </c>
      <c r="Z1011" t="s">
        <v>473</v>
      </c>
      <c r="AA1011" t="s">
        <v>473</v>
      </c>
      <c r="AB1011" t="s">
        <v>473</v>
      </c>
      <c r="AC1011" s="10">
        <v>3</v>
      </c>
      <c r="AD1011" s="10">
        <v>11</v>
      </c>
      <c r="AE1011" t="s">
        <v>473</v>
      </c>
    </row>
    <row r="1012" spans="1:31" x14ac:dyDescent="0.25">
      <c r="A1012">
        <v>5236</v>
      </c>
      <c r="B1012">
        <v>1979</v>
      </c>
      <c r="C1012" t="s">
        <v>466</v>
      </c>
      <c r="D1012" t="s">
        <v>31</v>
      </c>
      <c r="E1012" t="str">
        <f>IF(OR(Table1[[#This Row],[marital_status]]="Married", Table1[[#This Row],[marital_status]]="Together"), "Partnered", "Single")</f>
        <v>Partnered</v>
      </c>
      <c r="F1012" s="7">
        <v>77568</v>
      </c>
      <c r="G1012" s="8">
        <v>0</v>
      </c>
      <c r="H1012" s="8">
        <v>1</v>
      </c>
      <c r="I1012" s="8">
        <f>Table1[[#This Row],[kids]]+Table1[[#This Row],[teens]]</f>
        <v>1</v>
      </c>
      <c r="J1012" s="9">
        <v>41146</v>
      </c>
      <c r="K1012" s="8">
        <v>30</v>
      </c>
      <c r="L1012" s="6">
        <v>1230</v>
      </c>
      <c r="M1012" s="5">
        <v>0</v>
      </c>
      <c r="N1012" s="5">
        <v>396</v>
      </c>
      <c r="O1012" s="5">
        <v>232</v>
      </c>
      <c r="P1012" s="5">
        <v>178</v>
      </c>
      <c r="Q1012" s="5">
        <v>158</v>
      </c>
      <c r="R1012" s="8">
        <v>1</v>
      </c>
      <c r="S1012" s="8">
        <v>10</v>
      </c>
      <c r="T1012" s="8">
        <v>2</v>
      </c>
      <c r="U1012" s="8">
        <v>8</v>
      </c>
      <c r="V1012" s="8">
        <v>5</v>
      </c>
      <c r="W1012" t="s">
        <v>473</v>
      </c>
      <c r="X1012" t="s">
        <v>474</v>
      </c>
      <c r="Y1012" t="s">
        <v>474</v>
      </c>
      <c r="Z1012" t="s">
        <v>474</v>
      </c>
      <c r="AA1012" t="s">
        <v>473</v>
      </c>
      <c r="AB1012" t="s">
        <v>473</v>
      </c>
      <c r="AC1012" s="10">
        <v>3</v>
      </c>
      <c r="AD1012" s="10">
        <v>11</v>
      </c>
      <c r="AE1012" t="s">
        <v>473</v>
      </c>
    </row>
    <row r="1013" spans="1:31" x14ac:dyDescent="0.25">
      <c r="A1013">
        <v>5723</v>
      </c>
      <c r="B1013">
        <v>1976</v>
      </c>
      <c r="C1013" t="s">
        <v>33</v>
      </c>
      <c r="D1013" t="s">
        <v>31</v>
      </c>
      <c r="E1013" t="str">
        <f>IF(OR(Table1[[#This Row],[marital_status]]="Married", Table1[[#This Row],[marital_status]]="Together"), "Partnered", "Single")</f>
        <v>Partnered</v>
      </c>
      <c r="F1013" s="7">
        <v>49187</v>
      </c>
      <c r="G1013" s="8">
        <v>0</v>
      </c>
      <c r="H1013" s="8">
        <v>1</v>
      </c>
      <c r="I1013" s="8">
        <f>Table1[[#This Row],[kids]]+Table1[[#This Row],[teens]]</f>
        <v>1</v>
      </c>
      <c r="J1013" s="9">
        <v>41650</v>
      </c>
      <c r="K1013" s="8">
        <v>63</v>
      </c>
      <c r="L1013" s="6">
        <v>81</v>
      </c>
      <c r="M1013" s="5">
        <v>1</v>
      </c>
      <c r="N1013" s="5">
        <v>31</v>
      </c>
      <c r="O1013" s="5">
        <v>2</v>
      </c>
      <c r="P1013" s="5">
        <v>1</v>
      </c>
      <c r="Q1013" s="5">
        <v>0</v>
      </c>
      <c r="R1013" s="8">
        <v>1</v>
      </c>
      <c r="S1013" s="8">
        <v>1</v>
      </c>
      <c r="T1013" s="8">
        <v>1</v>
      </c>
      <c r="U1013" s="8">
        <v>5</v>
      </c>
      <c r="V1013" s="8">
        <v>2</v>
      </c>
      <c r="W1013" t="s">
        <v>473</v>
      </c>
      <c r="X1013" t="s">
        <v>473</v>
      </c>
      <c r="Y1013" t="s">
        <v>473</v>
      </c>
      <c r="Z1013" t="s">
        <v>473</v>
      </c>
      <c r="AA1013" t="s">
        <v>473</v>
      </c>
      <c r="AB1013" t="s">
        <v>473</v>
      </c>
      <c r="AC1013" s="10">
        <v>3</v>
      </c>
      <c r="AD1013" s="10">
        <v>11</v>
      </c>
      <c r="AE1013" t="s">
        <v>473</v>
      </c>
    </row>
    <row r="1014" spans="1:31" x14ac:dyDescent="0.25">
      <c r="A1014">
        <v>1710</v>
      </c>
      <c r="B1014">
        <v>1978</v>
      </c>
      <c r="C1014" t="s">
        <v>466</v>
      </c>
      <c r="D1014" t="s">
        <v>30</v>
      </c>
      <c r="E1014" t="str">
        <f>IF(OR(Table1[[#This Row],[marital_status]]="Married", Table1[[#This Row],[marital_status]]="Together"), "Partnered", "Single")</f>
        <v>Single</v>
      </c>
      <c r="F1014" s="7">
        <v>30168</v>
      </c>
      <c r="G1014" s="8">
        <v>1</v>
      </c>
      <c r="H1014" s="8">
        <v>0</v>
      </c>
      <c r="I1014" s="8">
        <f>Table1[[#This Row],[kids]]+Table1[[#This Row],[teens]]</f>
        <v>1</v>
      </c>
      <c r="J1014" s="9">
        <v>41340</v>
      </c>
      <c r="K1014" s="8">
        <v>51</v>
      </c>
      <c r="L1014" s="6">
        <v>154</v>
      </c>
      <c r="M1014" s="5">
        <v>20</v>
      </c>
      <c r="N1014" s="5">
        <v>66</v>
      </c>
      <c r="O1014" s="5">
        <v>0</v>
      </c>
      <c r="P1014" s="5">
        <v>12</v>
      </c>
      <c r="Q1014" s="5">
        <v>27</v>
      </c>
      <c r="R1014" s="8">
        <v>7</v>
      </c>
      <c r="S1014" s="8">
        <v>6</v>
      </c>
      <c r="T1014" s="8">
        <v>1</v>
      </c>
      <c r="U1014" s="8">
        <v>4</v>
      </c>
      <c r="V1014" s="8">
        <v>9</v>
      </c>
      <c r="W1014" t="s">
        <v>473</v>
      </c>
      <c r="X1014" t="s">
        <v>473</v>
      </c>
      <c r="Y1014" t="s">
        <v>473</v>
      </c>
      <c r="Z1014" t="s">
        <v>473</v>
      </c>
      <c r="AA1014" t="s">
        <v>473</v>
      </c>
      <c r="AB1014" t="s">
        <v>473</v>
      </c>
      <c r="AC1014" s="10">
        <v>3</v>
      </c>
      <c r="AD1014" s="10">
        <v>11</v>
      </c>
      <c r="AE1014" t="s">
        <v>473</v>
      </c>
    </row>
    <row r="1015" spans="1:31" x14ac:dyDescent="0.25">
      <c r="A1015">
        <v>1970</v>
      </c>
      <c r="B1015">
        <v>1968</v>
      </c>
      <c r="C1015" t="s">
        <v>36</v>
      </c>
      <c r="D1015" t="s">
        <v>31</v>
      </c>
      <c r="E1015" t="str">
        <f>IF(OR(Table1[[#This Row],[marital_status]]="Married", Table1[[#This Row],[marital_status]]="Together"), "Partnered", "Single")</f>
        <v>Partnered</v>
      </c>
      <c r="F1015" s="7">
        <v>34053</v>
      </c>
      <c r="G1015" s="8">
        <v>0</v>
      </c>
      <c r="H1015" s="8">
        <v>1</v>
      </c>
      <c r="I1015" s="8">
        <f>Table1[[#This Row],[kids]]+Table1[[#This Row],[teens]]</f>
        <v>1</v>
      </c>
      <c r="J1015" s="9">
        <v>41162</v>
      </c>
      <c r="K1015" s="8">
        <v>14</v>
      </c>
      <c r="L1015" s="6">
        <v>63</v>
      </c>
      <c r="M1015" s="5">
        <v>0</v>
      </c>
      <c r="N1015" s="5">
        <v>21</v>
      </c>
      <c r="O1015" s="5">
        <v>7</v>
      </c>
      <c r="P1015" s="5">
        <v>0</v>
      </c>
      <c r="Q1015" s="5">
        <v>12</v>
      </c>
      <c r="R1015" s="8">
        <v>1</v>
      </c>
      <c r="S1015" s="8">
        <v>3</v>
      </c>
      <c r="T1015" s="8">
        <v>0</v>
      </c>
      <c r="U1015" s="8">
        <v>3</v>
      </c>
      <c r="V1015" s="8">
        <v>8</v>
      </c>
      <c r="W1015" t="s">
        <v>473</v>
      </c>
      <c r="X1015" t="s">
        <v>473</v>
      </c>
      <c r="Y1015" t="s">
        <v>473</v>
      </c>
      <c r="Z1015" t="s">
        <v>473</v>
      </c>
      <c r="AA1015" t="s">
        <v>473</v>
      </c>
      <c r="AB1015" t="s">
        <v>473</v>
      </c>
      <c r="AC1015" s="10">
        <v>3</v>
      </c>
      <c r="AD1015" s="10">
        <v>11</v>
      </c>
      <c r="AE1015" t="s">
        <v>473</v>
      </c>
    </row>
    <row r="1016" spans="1:31" x14ac:dyDescent="0.25">
      <c r="A1016">
        <v>5313</v>
      </c>
      <c r="B1016">
        <v>1971</v>
      </c>
      <c r="C1016" t="s">
        <v>36</v>
      </c>
      <c r="D1016" t="s">
        <v>34</v>
      </c>
      <c r="E1016" t="str">
        <f>IF(OR(Table1[[#This Row],[marital_status]]="Married", Table1[[#This Row],[marital_status]]="Together"), "Partnered", "Single")</f>
        <v>Partnered</v>
      </c>
      <c r="F1016" s="7">
        <v>38196</v>
      </c>
      <c r="G1016" s="8">
        <v>1</v>
      </c>
      <c r="H1016" s="8">
        <v>1</v>
      </c>
      <c r="I1016" s="8">
        <f>Table1[[#This Row],[kids]]+Table1[[#This Row],[teens]]</f>
        <v>2</v>
      </c>
      <c r="J1016" s="9">
        <v>41747</v>
      </c>
      <c r="K1016" s="8">
        <v>20</v>
      </c>
      <c r="L1016" s="6">
        <v>30</v>
      </c>
      <c r="M1016" s="5">
        <v>0</v>
      </c>
      <c r="N1016" s="5">
        <v>11</v>
      </c>
      <c r="O1016" s="5">
        <v>0</v>
      </c>
      <c r="P1016" s="5">
        <v>0</v>
      </c>
      <c r="Q1016" s="5">
        <v>3</v>
      </c>
      <c r="R1016" s="8">
        <v>3</v>
      </c>
      <c r="S1016" s="8">
        <v>2</v>
      </c>
      <c r="T1016" s="8">
        <v>0</v>
      </c>
      <c r="U1016" s="8">
        <v>4</v>
      </c>
      <c r="V1016" s="8">
        <v>5</v>
      </c>
      <c r="W1016" t="s">
        <v>473</v>
      </c>
      <c r="X1016" t="s">
        <v>473</v>
      </c>
      <c r="Y1016" t="s">
        <v>473</v>
      </c>
      <c r="Z1016" t="s">
        <v>473</v>
      </c>
      <c r="AA1016" t="s">
        <v>473</v>
      </c>
      <c r="AB1016" t="s">
        <v>473</v>
      </c>
      <c r="AC1016" s="10">
        <v>3</v>
      </c>
      <c r="AD1016" s="10">
        <v>11</v>
      </c>
      <c r="AE1016" t="s">
        <v>473</v>
      </c>
    </row>
    <row r="1017" spans="1:31" x14ac:dyDescent="0.25">
      <c r="A1017">
        <v>10634</v>
      </c>
      <c r="B1017">
        <v>1951</v>
      </c>
      <c r="C1017" t="s">
        <v>36</v>
      </c>
      <c r="D1017" t="s">
        <v>34</v>
      </c>
      <c r="E1017" t="str">
        <f>IF(OR(Table1[[#This Row],[marital_status]]="Married", Table1[[#This Row],[marital_status]]="Together"), "Partnered", "Single")</f>
        <v>Partnered</v>
      </c>
      <c r="F1017" s="7">
        <v>59412</v>
      </c>
      <c r="G1017" s="8">
        <v>0</v>
      </c>
      <c r="H1017" s="8">
        <v>0</v>
      </c>
      <c r="I1017" s="8">
        <f>Table1[[#This Row],[kids]]+Table1[[#This Row],[teens]]</f>
        <v>0</v>
      </c>
      <c r="J1017" s="9">
        <v>41748</v>
      </c>
      <c r="K1017" s="8">
        <v>56</v>
      </c>
      <c r="L1017" s="6">
        <v>90</v>
      </c>
      <c r="M1017" s="5">
        <v>67</v>
      </c>
      <c r="N1017" s="5">
        <v>165</v>
      </c>
      <c r="O1017" s="5">
        <v>30</v>
      </c>
      <c r="P1017" s="5">
        <v>43</v>
      </c>
      <c r="Q1017" s="5">
        <v>11</v>
      </c>
      <c r="R1017" s="8">
        <v>1</v>
      </c>
      <c r="S1017" s="8">
        <v>4</v>
      </c>
      <c r="T1017" s="8">
        <v>2</v>
      </c>
      <c r="U1017" s="8">
        <v>8</v>
      </c>
      <c r="V1017" s="8">
        <v>3</v>
      </c>
      <c r="W1017" t="s">
        <v>473</v>
      </c>
      <c r="X1017" t="s">
        <v>473</v>
      </c>
      <c r="Y1017" t="s">
        <v>473</v>
      </c>
      <c r="Z1017" t="s">
        <v>473</v>
      </c>
      <c r="AA1017" t="s">
        <v>473</v>
      </c>
      <c r="AB1017" t="s">
        <v>473</v>
      </c>
      <c r="AC1017" s="10">
        <v>3</v>
      </c>
      <c r="AD1017" s="10">
        <v>11</v>
      </c>
      <c r="AE1017" t="s">
        <v>473</v>
      </c>
    </row>
    <row r="1018" spans="1:31" x14ac:dyDescent="0.25">
      <c r="A1018">
        <v>7010</v>
      </c>
      <c r="B1018">
        <v>1965</v>
      </c>
      <c r="C1018" t="s">
        <v>46</v>
      </c>
      <c r="D1018" t="s">
        <v>34</v>
      </c>
      <c r="E1018" t="str">
        <f>IF(OR(Table1[[#This Row],[marital_status]]="Married", Table1[[#This Row],[marital_status]]="Together"), "Partnered", "Single")</f>
        <v>Partnered</v>
      </c>
      <c r="F1018" s="7">
        <v>70924</v>
      </c>
      <c r="G1018" s="8">
        <v>0</v>
      </c>
      <c r="H1018" s="8">
        <v>0</v>
      </c>
      <c r="I1018" s="8">
        <f>Table1[[#This Row],[kids]]+Table1[[#This Row],[teens]]</f>
        <v>0</v>
      </c>
      <c r="J1018" s="9">
        <v>41736</v>
      </c>
      <c r="K1018" s="8">
        <v>41</v>
      </c>
      <c r="L1018" s="6">
        <v>635</v>
      </c>
      <c r="M1018" s="5">
        <v>114</v>
      </c>
      <c r="N1018" s="5">
        <v>254</v>
      </c>
      <c r="O1018" s="5">
        <v>132</v>
      </c>
      <c r="P1018" s="5">
        <v>152</v>
      </c>
      <c r="Q1018" s="5">
        <v>76</v>
      </c>
      <c r="R1018" s="8">
        <v>1</v>
      </c>
      <c r="S1018" s="8">
        <v>6</v>
      </c>
      <c r="T1018" s="8">
        <v>6</v>
      </c>
      <c r="U1018" s="8">
        <v>7</v>
      </c>
      <c r="V1018" s="8">
        <v>3</v>
      </c>
      <c r="W1018" t="s">
        <v>473</v>
      </c>
      <c r="X1018" t="s">
        <v>473</v>
      </c>
      <c r="Y1018" t="s">
        <v>474</v>
      </c>
      <c r="Z1018" t="s">
        <v>473</v>
      </c>
      <c r="AA1018" t="s">
        <v>473</v>
      </c>
      <c r="AB1018" t="s">
        <v>473</v>
      </c>
      <c r="AC1018" s="10">
        <v>3</v>
      </c>
      <c r="AD1018" s="10">
        <v>11</v>
      </c>
      <c r="AE1018" t="s">
        <v>473</v>
      </c>
    </row>
    <row r="1019" spans="1:31" x14ac:dyDescent="0.25">
      <c r="A1019">
        <v>8562</v>
      </c>
      <c r="B1019">
        <v>1969</v>
      </c>
      <c r="C1019" t="s">
        <v>466</v>
      </c>
      <c r="D1019" t="s">
        <v>31</v>
      </c>
      <c r="E1019" t="str">
        <f>IF(OR(Table1[[#This Row],[marital_status]]="Married", Table1[[#This Row],[marital_status]]="Together"), "Partnered", "Single")</f>
        <v>Partnered</v>
      </c>
      <c r="F1019" s="7">
        <v>54165</v>
      </c>
      <c r="G1019" s="8">
        <v>0</v>
      </c>
      <c r="H1019" s="8">
        <v>0</v>
      </c>
      <c r="I1019" s="8">
        <f>Table1[[#This Row],[kids]]+Table1[[#This Row],[teens]]</f>
        <v>0</v>
      </c>
      <c r="J1019" s="9">
        <v>41422</v>
      </c>
      <c r="K1019" s="8">
        <v>72</v>
      </c>
      <c r="L1019" s="6">
        <v>127</v>
      </c>
      <c r="M1019" s="5">
        <v>4</v>
      </c>
      <c r="N1019" s="5">
        <v>73</v>
      </c>
      <c r="O1019" s="5">
        <v>15</v>
      </c>
      <c r="P1019" s="5">
        <v>6</v>
      </c>
      <c r="Q1019" s="5">
        <v>11</v>
      </c>
      <c r="R1019" s="8">
        <v>1</v>
      </c>
      <c r="S1019" s="8">
        <v>2</v>
      </c>
      <c r="T1019" s="8">
        <v>1</v>
      </c>
      <c r="U1019" s="8">
        <v>7</v>
      </c>
      <c r="V1019" s="8">
        <v>2</v>
      </c>
      <c r="W1019" t="s">
        <v>473</v>
      </c>
      <c r="X1019" t="s">
        <v>473</v>
      </c>
      <c r="Y1019" t="s">
        <v>473</v>
      </c>
      <c r="Z1019" t="s">
        <v>473</v>
      </c>
      <c r="AA1019" t="s">
        <v>473</v>
      </c>
      <c r="AB1019" t="s">
        <v>473</v>
      </c>
      <c r="AC1019" s="10">
        <v>3</v>
      </c>
      <c r="AD1019" s="10">
        <v>11</v>
      </c>
      <c r="AE1019" t="s">
        <v>473</v>
      </c>
    </row>
    <row r="1020" spans="1:31" x14ac:dyDescent="0.25">
      <c r="A1020">
        <v>3158</v>
      </c>
      <c r="B1020">
        <v>1973</v>
      </c>
      <c r="C1020" t="s">
        <v>466</v>
      </c>
      <c r="D1020" t="s">
        <v>34</v>
      </c>
      <c r="E1020" t="str">
        <f>IF(OR(Table1[[#This Row],[marital_status]]="Married", Table1[[#This Row],[marital_status]]="Together"), "Partnered", "Single")</f>
        <v>Partnered</v>
      </c>
      <c r="F1020" s="7">
        <v>32300</v>
      </c>
      <c r="G1020" s="8">
        <v>1</v>
      </c>
      <c r="H1020" s="8">
        <v>0</v>
      </c>
      <c r="I1020" s="8">
        <f>Table1[[#This Row],[kids]]+Table1[[#This Row],[teens]]</f>
        <v>1</v>
      </c>
      <c r="J1020" s="9">
        <v>41277</v>
      </c>
      <c r="K1020" s="8">
        <v>1</v>
      </c>
      <c r="L1020" s="6">
        <v>13</v>
      </c>
      <c r="M1020" s="5">
        <v>3</v>
      </c>
      <c r="N1020" s="5">
        <v>6</v>
      </c>
      <c r="O1020" s="5">
        <v>6</v>
      </c>
      <c r="P1020" s="5">
        <v>5</v>
      </c>
      <c r="Q1020" s="5">
        <v>6</v>
      </c>
      <c r="R1020" s="8">
        <v>1</v>
      </c>
      <c r="S1020" s="8">
        <v>1</v>
      </c>
      <c r="T1020" s="8">
        <v>0</v>
      </c>
      <c r="U1020" s="8">
        <v>3</v>
      </c>
      <c r="V1020" s="8">
        <v>8</v>
      </c>
      <c r="W1020" t="s">
        <v>473</v>
      </c>
      <c r="X1020" t="s">
        <v>473</v>
      </c>
      <c r="Y1020" t="s">
        <v>473</v>
      </c>
      <c r="Z1020" t="s">
        <v>473</v>
      </c>
      <c r="AA1020" t="s">
        <v>473</v>
      </c>
      <c r="AB1020" t="s">
        <v>473</v>
      </c>
      <c r="AC1020" s="10">
        <v>3</v>
      </c>
      <c r="AD1020" s="10">
        <v>11</v>
      </c>
      <c r="AE1020" t="s">
        <v>473</v>
      </c>
    </row>
    <row r="1021" spans="1:31" x14ac:dyDescent="0.25">
      <c r="A1021">
        <v>4436</v>
      </c>
      <c r="B1021">
        <v>1976</v>
      </c>
      <c r="C1021" t="s">
        <v>466</v>
      </c>
      <c r="D1021" t="s">
        <v>30</v>
      </c>
      <c r="E1021" t="str">
        <f>IF(OR(Table1[[#This Row],[marital_status]]="Married", Table1[[#This Row],[marital_status]]="Together"), "Partnered", "Single")</f>
        <v>Single</v>
      </c>
      <c r="F1021" s="7">
        <v>20180</v>
      </c>
      <c r="G1021" s="8">
        <v>0</v>
      </c>
      <c r="H1021" s="8">
        <v>0</v>
      </c>
      <c r="I1021" s="8">
        <f>Table1[[#This Row],[kids]]+Table1[[#This Row],[teens]]</f>
        <v>0</v>
      </c>
      <c r="J1021" s="9">
        <v>41325</v>
      </c>
      <c r="K1021" s="8">
        <v>27</v>
      </c>
      <c r="L1021" s="6">
        <v>18</v>
      </c>
      <c r="M1021" s="5">
        <v>42</v>
      </c>
      <c r="N1021" s="5">
        <v>24</v>
      </c>
      <c r="O1021" s="5">
        <v>15</v>
      </c>
      <c r="P1021" s="5">
        <v>20</v>
      </c>
      <c r="Q1021" s="5">
        <v>18</v>
      </c>
      <c r="R1021" s="8">
        <v>1</v>
      </c>
      <c r="S1021" s="8">
        <v>2</v>
      </c>
      <c r="T1021" s="8">
        <v>1</v>
      </c>
      <c r="U1021" s="8">
        <v>4</v>
      </c>
      <c r="V1021" s="8">
        <v>7</v>
      </c>
      <c r="W1021" t="s">
        <v>473</v>
      </c>
      <c r="X1021" t="s">
        <v>473</v>
      </c>
      <c r="Y1021" t="s">
        <v>473</v>
      </c>
      <c r="Z1021" t="s">
        <v>473</v>
      </c>
      <c r="AA1021" t="s">
        <v>473</v>
      </c>
      <c r="AB1021" t="s">
        <v>473</v>
      </c>
      <c r="AC1021" s="10">
        <v>3</v>
      </c>
      <c r="AD1021" s="10">
        <v>11</v>
      </c>
      <c r="AE1021" t="s">
        <v>473</v>
      </c>
    </row>
    <row r="1022" spans="1:31" x14ac:dyDescent="0.25">
      <c r="A1022">
        <v>5287</v>
      </c>
      <c r="B1022">
        <v>1973</v>
      </c>
      <c r="C1022" t="s">
        <v>466</v>
      </c>
      <c r="D1022" t="s">
        <v>34</v>
      </c>
      <c r="E1022" t="str">
        <f>IF(OR(Table1[[#This Row],[marital_status]]="Married", Table1[[#This Row],[marital_status]]="Together"), "Partnered", "Single")</f>
        <v>Partnered</v>
      </c>
      <c r="F1022" s="7">
        <v>34961</v>
      </c>
      <c r="G1022" s="8">
        <v>1</v>
      </c>
      <c r="H1022" s="8">
        <v>0</v>
      </c>
      <c r="I1022" s="8">
        <f>Table1[[#This Row],[kids]]+Table1[[#This Row],[teens]]</f>
        <v>1</v>
      </c>
      <c r="J1022" s="9">
        <v>41809</v>
      </c>
      <c r="K1022" s="8">
        <v>77</v>
      </c>
      <c r="L1022" s="6">
        <v>45</v>
      </c>
      <c r="M1022" s="5">
        <v>2</v>
      </c>
      <c r="N1022" s="5">
        <v>26</v>
      </c>
      <c r="O1022" s="5">
        <v>4</v>
      </c>
      <c r="P1022" s="5">
        <v>1</v>
      </c>
      <c r="Q1022" s="5">
        <v>1</v>
      </c>
      <c r="R1022" s="8">
        <v>3</v>
      </c>
      <c r="S1022" s="8">
        <v>3</v>
      </c>
      <c r="T1022" s="8">
        <v>1</v>
      </c>
      <c r="U1022" s="8">
        <v>3</v>
      </c>
      <c r="V1022" s="8">
        <v>7</v>
      </c>
      <c r="W1022" t="s">
        <v>473</v>
      </c>
      <c r="X1022" t="s">
        <v>473</v>
      </c>
      <c r="Y1022" t="s">
        <v>473</v>
      </c>
      <c r="Z1022" t="s">
        <v>473</v>
      </c>
      <c r="AA1022" t="s">
        <v>473</v>
      </c>
      <c r="AB1022" t="s">
        <v>473</v>
      </c>
      <c r="AC1022" s="10">
        <v>3</v>
      </c>
      <c r="AD1022" s="10">
        <v>11</v>
      </c>
      <c r="AE1022" t="s">
        <v>473</v>
      </c>
    </row>
    <row r="1023" spans="1:31" x14ac:dyDescent="0.25">
      <c r="A1023">
        <v>2445</v>
      </c>
      <c r="B1023">
        <v>1974</v>
      </c>
      <c r="C1023" t="s">
        <v>33</v>
      </c>
      <c r="D1023" t="s">
        <v>31</v>
      </c>
      <c r="E1023" t="str">
        <f>IF(OR(Table1[[#This Row],[marital_status]]="Married", Table1[[#This Row],[marital_status]]="Together"), "Partnered", "Single")</f>
        <v>Partnered</v>
      </c>
      <c r="F1023" s="7">
        <v>28440</v>
      </c>
      <c r="G1023" s="8">
        <v>1</v>
      </c>
      <c r="H1023" s="8">
        <v>0</v>
      </c>
      <c r="I1023" s="8">
        <f>Table1[[#This Row],[kids]]+Table1[[#This Row],[teens]]</f>
        <v>1</v>
      </c>
      <c r="J1023" s="9">
        <v>41462</v>
      </c>
      <c r="K1023" s="8">
        <v>87</v>
      </c>
      <c r="L1023" s="6">
        <v>38</v>
      </c>
      <c r="M1023" s="5">
        <v>1</v>
      </c>
      <c r="N1023" s="5">
        <v>24</v>
      </c>
      <c r="O1023" s="5">
        <v>0</v>
      </c>
      <c r="P1023" s="5">
        <v>0</v>
      </c>
      <c r="Q1023" s="5">
        <v>0</v>
      </c>
      <c r="R1023" s="8">
        <v>1</v>
      </c>
      <c r="S1023" s="8">
        <v>2</v>
      </c>
      <c r="T1023" s="8">
        <v>0</v>
      </c>
      <c r="U1023" s="8">
        <v>3</v>
      </c>
      <c r="V1023" s="8">
        <v>8</v>
      </c>
      <c r="W1023" t="s">
        <v>473</v>
      </c>
      <c r="X1023" t="s">
        <v>473</v>
      </c>
      <c r="Y1023" t="s">
        <v>473</v>
      </c>
      <c r="Z1023" t="s">
        <v>473</v>
      </c>
      <c r="AA1023" t="s">
        <v>473</v>
      </c>
      <c r="AB1023" t="s">
        <v>473</v>
      </c>
      <c r="AC1023" s="10">
        <v>3</v>
      </c>
      <c r="AD1023" s="10">
        <v>11</v>
      </c>
      <c r="AE1023" t="s">
        <v>473</v>
      </c>
    </row>
    <row r="1024" spans="1:31" x14ac:dyDescent="0.25">
      <c r="A1024">
        <v>6059</v>
      </c>
      <c r="B1024">
        <v>1953</v>
      </c>
      <c r="C1024" t="s">
        <v>33</v>
      </c>
      <c r="D1024" t="s">
        <v>31</v>
      </c>
      <c r="E1024" t="str">
        <f>IF(OR(Table1[[#This Row],[marital_status]]="Married", Table1[[#This Row],[marital_status]]="Together"), "Partnered", "Single")</f>
        <v>Partnered</v>
      </c>
      <c r="F1024" s="7">
        <v>64504</v>
      </c>
      <c r="G1024" s="8">
        <v>1</v>
      </c>
      <c r="H1024" s="8">
        <v>2</v>
      </c>
      <c r="I1024" s="8">
        <f>Table1[[#This Row],[kids]]+Table1[[#This Row],[teens]]</f>
        <v>3</v>
      </c>
      <c r="J1024" s="9">
        <v>41337</v>
      </c>
      <c r="K1024" s="8">
        <v>81</v>
      </c>
      <c r="L1024" s="6">
        <v>986</v>
      </c>
      <c r="M1024" s="5">
        <v>36</v>
      </c>
      <c r="N1024" s="5">
        <v>168</v>
      </c>
      <c r="O1024" s="5">
        <v>16</v>
      </c>
      <c r="P1024" s="5">
        <v>0</v>
      </c>
      <c r="Q1024" s="5">
        <v>108</v>
      </c>
      <c r="R1024" s="8">
        <v>7</v>
      </c>
      <c r="S1024" s="8">
        <v>11</v>
      </c>
      <c r="T1024" s="8">
        <v>3</v>
      </c>
      <c r="U1024" s="8">
        <v>4</v>
      </c>
      <c r="V1024" s="8">
        <v>7</v>
      </c>
      <c r="W1024" t="s">
        <v>473</v>
      </c>
      <c r="X1024" t="s">
        <v>473</v>
      </c>
      <c r="Y1024" t="s">
        <v>473</v>
      </c>
      <c r="Z1024" t="s">
        <v>473</v>
      </c>
      <c r="AA1024" t="s">
        <v>473</v>
      </c>
      <c r="AB1024" t="s">
        <v>473</v>
      </c>
      <c r="AC1024" s="10">
        <v>3</v>
      </c>
      <c r="AD1024" s="10">
        <v>11</v>
      </c>
      <c r="AE1024" t="s">
        <v>474</v>
      </c>
    </row>
    <row r="1025" spans="1:31" x14ac:dyDescent="0.25">
      <c r="A1025">
        <v>4550</v>
      </c>
      <c r="B1025">
        <v>1966</v>
      </c>
      <c r="C1025" t="s">
        <v>36</v>
      </c>
      <c r="D1025" t="s">
        <v>31</v>
      </c>
      <c r="E1025" t="str">
        <f>IF(OR(Table1[[#This Row],[marital_status]]="Married", Table1[[#This Row],[marital_status]]="Together"), "Partnered", "Single")</f>
        <v>Partnered</v>
      </c>
      <c r="F1025" s="7">
        <v>33564</v>
      </c>
      <c r="G1025" s="8">
        <v>0</v>
      </c>
      <c r="H1025" s="8">
        <v>1</v>
      </c>
      <c r="I1025" s="8">
        <f>Table1[[#This Row],[kids]]+Table1[[#This Row],[teens]]</f>
        <v>1</v>
      </c>
      <c r="J1025" s="9">
        <v>41814</v>
      </c>
      <c r="K1025" s="8">
        <v>51</v>
      </c>
      <c r="L1025" s="6">
        <v>61</v>
      </c>
      <c r="M1025" s="5">
        <v>0</v>
      </c>
      <c r="N1025" s="5">
        <v>3</v>
      </c>
      <c r="O1025" s="5">
        <v>0</v>
      </c>
      <c r="P1025" s="5">
        <v>0</v>
      </c>
      <c r="Q1025" s="5">
        <v>7</v>
      </c>
      <c r="R1025" s="8">
        <v>1</v>
      </c>
      <c r="S1025" s="8">
        <v>1</v>
      </c>
      <c r="T1025" s="8">
        <v>1</v>
      </c>
      <c r="U1025" s="8">
        <v>3</v>
      </c>
      <c r="V1025" s="8">
        <v>5</v>
      </c>
      <c r="W1025" t="s">
        <v>473</v>
      </c>
      <c r="X1025" t="s">
        <v>473</v>
      </c>
      <c r="Y1025" t="s">
        <v>473</v>
      </c>
      <c r="Z1025" t="s">
        <v>473</v>
      </c>
      <c r="AA1025" t="s">
        <v>473</v>
      </c>
      <c r="AB1025" t="s">
        <v>473</v>
      </c>
      <c r="AC1025" s="10">
        <v>3</v>
      </c>
      <c r="AD1025" s="10">
        <v>11</v>
      </c>
      <c r="AE1025" t="s">
        <v>473</v>
      </c>
    </row>
    <row r="1026" spans="1:31" x14ac:dyDescent="0.25">
      <c r="A1026">
        <v>4240</v>
      </c>
      <c r="B1026">
        <v>1978</v>
      </c>
      <c r="C1026" t="s">
        <v>466</v>
      </c>
      <c r="D1026" t="s">
        <v>34</v>
      </c>
      <c r="E1026" t="str">
        <f>IF(OR(Table1[[#This Row],[marital_status]]="Married", Table1[[#This Row],[marital_status]]="Together"), "Partnered", "Single")</f>
        <v>Partnered</v>
      </c>
      <c r="F1026" s="7">
        <v>17345</v>
      </c>
      <c r="G1026" s="8">
        <v>1</v>
      </c>
      <c r="H1026" s="8">
        <v>0</v>
      </c>
      <c r="I1026" s="8">
        <f>Table1[[#This Row],[kids]]+Table1[[#This Row],[teens]]</f>
        <v>1</v>
      </c>
      <c r="J1026" s="9">
        <v>41216</v>
      </c>
      <c r="K1026" s="8">
        <v>79</v>
      </c>
      <c r="L1026" s="6">
        <v>4</v>
      </c>
      <c r="M1026" s="5">
        <v>9</v>
      </c>
      <c r="N1026" s="5">
        <v>16</v>
      </c>
      <c r="O1026" s="5">
        <v>17</v>
      </c>
      <c r="P1026" s="5">
        <v>0</v>
      </c>
      <c r="Q1026" s="5">
        <v>12</v>
      </c>
      <c r="R1026" s="8">
        <v>2</v>
      </c>
      <c r="S1026" s="8">
        <v>2</v>
      </c>
      <c r="T1026" s="8">
        <v>1</v>
      </c>
      <c r="U1026" s="8">
        <v>2</v>
      </c>
      <c r="V1026" s="8">
        <v>8</v>
      </c>
      <c r="W1026" t="s">
        <v>473</v>
      </c>
      <c r="X1026" t="s">
        <v>473</v>
      </c>
      <c r="Y1026" t="s">
        <v>473</v>
      </c>
      <c r="Z1026" t="s">
        <v>473</v>
      </c>
      <c r="AA1026" t="s">
        <v>473</v>
      </c>
      <c r="AB1026" t="s">
        <v>473</v>
      </c>
      <c r="AC1026" s="10">
        <v>3</v>
      </c>
      <c r="AD1026" s="10">
        <v>11</v>
      </c>
      <c r="AE1026" t="s">
        <v>473</v>
      </c>
    </row>
    <row r="1027" spans="1:31" x14ac:dyDescent="0.25">
      <c r="A1027">
        <v>8911</v>
      </c>
      <c r="B1027">
        <v>1967</v>
      </c>
      <c r="C1027" t="s">
        <v>33</v>
      </c>
      <c r="D1027" t="s">
        <v>34</v>
      </c>
      <c r="E1027" t="str">
        <f>IF(OR(Table1[[#This Row],[marital_status]]="Married", Table1[[#This Row],[marital_status]]="Together"), "Partnered", "Single")</f>
        <v>Partnered</v>
      </c>
      <c r="F1027" s="7">
        <v>56320</v>
      </c>
      <c r="G1027" s="8">
        <v>0</v>
      </c>
      <c r="H1027" s="8">
        <v>1</v>
      </c>
      <c r="I1027" s="8">
        <f>Table1[[#This Row],[kids]]+Table1[[#This Row],[teens]]</f>
        <v>1</v>
      </c>
      <c r="J1027" s="9">
        <v>41372</v>
      </c>
      <c r="K1027" s="8">
        <v>11</v>
      </c>
      <c r="L1027" s="6">
        <v>201</v>
      </c>
      <c r="M1027" s="5">
        <v>53</v>
      </c>
      <c r="N1027" s="5">
        <v>172</v>
      </c>
      <c r="O1027" s="5">
        <v>116</v>
      </c>
      <c r="P1027" s="5">
        <v>77</v>
      </c>
      <c r="Q1027" s="5">
        <v>83</v>
      </c>
      <c r="R1027" s="8">
        <v>3</v>
      </c>
      <c r="S1027" s="8">
        <v>5</v>
      </c>
      <c r="T1027" s="8">
        <v>4</v>
      </c>
      <c r="U1027" s="8">
        <v>9</v>
      </c>
      <c r="V1027" s="8">
        <v>4</v>
      </c>
      <c r="W1027" t="s">
        <v>473</v>
      </c>
      <c r="X1027" t="s">
        <v>473</v>
      </c>
      <c r="Y1027" t="s">
        <v>473</v>
      </c>
      <c r="Z1027" t="s">
        <v>473</v>
      </c>
      <c r="AA1027" t="s">
        <v>473</v>
      </c>
      <c r="AB1027" t="s">
        <v>473</v>
      </c>
      <c r="AC1027" s="10">
        <v>3</v>
      </c>
      <c r="AD1027" s="10">
        <v>11</v>
      </c>
      <c r="AE1027" t="s">
        <v>473</v>
      </c>
    </row>
    <row r="1028" spans="1:31" x14ac:dyDescent="0.25">
      <c r="A1028">
        <v>3706</v>
      </c>
      <c r="B1028">
        <v>1978</v>
      </c>
      <c r="C1028" t="s">
        <v>466</v>
      </c>
      <c r="D1028" t="s">
        <v>30</v>
      </c>
      <c r="E1028" t="str">
        <f>IF(OR(Table1[[#This Row],[marital_status]]="Married", Table1[[#This Row],[marital_status]]="Together"), "Partnered", "Single")</f>
        <v>Single</v>
      </c>
      <c r="F1028" s="7">
        <v>28647</v>
      </c>
      <c r="G1028" s="8">
        <v>1</v>
      </c>
      <c r="H1028" s="8">
        <v>0</v>
      </c>
      <c r="I1028" s="8">
        <f>Table1[[#This Row],[kids]]+Table1[[#This Row],[teens]]</f>
        <v>1</v>
      </c>
      <c r="J1028" s="9">
        <v>41507</v>
      </c>
      <c r="K1028" s="8">
        <v>54</v>
      </c>
      <c r="L1028" s="6">
        <v>19</v>
      </c>
      <c r="M1028" s="5">
        <v>8</v>
      </c>
      <c r="N1028" s="5">
        <v>29</v>
      </c>
      <c r="O1028" s="5">
        <v>0</v>
      </c>
      <c r="P1028" s="5">
        <v>12</v>
      </c>
      <c r="Q1028" s="5">
        <v>26</v>
      </c>
      <c r="R1028" s="8">
        <v>1</v>
      </c>
      <c r="S1028" s="8">
        <v>2</v>
      </c>
      <c r="T1028" s="8">
        <v>2</v>
      </c>
      <c r="U1028" s="8">
        <v>2</v>
      </c>
      <c r="V1028" s="8">
        <v>7</v>
      </c>
      <c r="W1028" t="s">
        <v>474</v>
      </c>
      <c r="X1028" t="s">
        <v>473</v>
      </c>
      <c r="Y1028" t="s">
        <v>473</v>
      </c>
      <c r="Z1028" t="s">
        <v>473</v>
      </c>
      <c r="AA1028" t="s">
        <v>473</v>
      </c>
      <c r="AB1028" t="s">
        <v>473</v>
      </c>
      <c r="AC1028" s="10">
        <v>3</v>
      </c>
      <c r="AD1028" s="10">
        <v>11</v>
      </c>
      <c r="AE1028" t="s">
        <v>474</v>
      </c>
    </row>
    <row r="1029" spans="1:31" x14ac:dyDescent="0.25">
      <c r="A1029">
        <v>3628</v>
      </c>
      <c r="B1029">
        <v>1987</v>
      </c>
      <c r="C1029" t="s">
        <v>41</v>
      </c>
      <c r="D1029" t="s">
        <v>30</v>
      </c>
      <c r="E1029" t="str">
        <f>IF(OR(Table1[[#This Row],[marital_status]]="Married", Table1[[#This Row],[marital_status]]="Together"), "Partnered", "Single")</f>
        <v>Single</v>
      </c>
      <c r="F1029" s="7">
        <v>15038</v>
      </c>
      <c r="G1029" s="8">
        <v>1</v>
      </c>
      <c r="H1029" s="8">
        <v>0</v>
      </c>
      <c r="I1029" s="8">
        <f>Table1[[#This Row],[kids]]+Table1[[#This Row],[teens]]</f>
        <v>1</v>
      </c>
      <c r="J1029" s="9">
        <v>41303</v>
      </c>
      <c r="K1029" s="8">
        <v>93</v>
      </c>
      <c r="L1029" s="6">
        <v>4</v>
      </c>
      <c r="M1029" s="5">
        <v>8</v>
      </c>
      <c r="N1029" s="5">
        <v>11</v>
      </c>
      <c r="O1029" s="5">
        <v>19</v>
      </c>
      <c r="P1029" s="5">
        <v>12</v>
      </c>
      <c r="Q1029" s="5">
        <v>26</v>
      </c>
      <c r="R1029" s="8">
        <v>2</v>
      </c>
      <c r="S1029" s="8">
        <v>2</v>
      </c>
      <c r="T1029" s="8">
        <v>1</v>
      </c>
      <c r="U1029" s="8">
        <v>2</v>
      </c>
      <c r="V1029" s="8">
        <v>9</v>
      </c>
      <c r="W1029" t="s">
        <v>473</v>
      </c>
      <c r="X1029" t="s">
        <v>473</v>
      </c>
      <c r="Y1029" t="s">
        <v>473</v>
      </c>
      <c r="Z1029" t="s">
        <v>473</v>
      </c>
      <c r="AA1029" t="s">
        <v>473</v>
      </c>
      <c r="AB1029" t="s">
        <v>473</v>
      </c>
      <c r="AC1029" s="10">
        <v>3</v>
      </c>
      <c r="AD1029" s="10">
        <v>11</v>
      </c>
      <c r="AE1029" t="s">
        <v>473</v>
      </c>
    </row>
    <row r="1030" spans="1:31" x14ac:dyDescent="0.25">
      <c r="A1030">
        <v>10175</v>
      </c>
      <c r="B1030">
        <v>1958</v>
      </c>
      <c r="C1030" t="s">
        <v>33</v>
      </c>
      <c r="D1030" t="s">
        <v>37</v>
      </c>
      <c r="E1030" t="str">
        <f>IF(OR(Table1[[#This Row],[marital_status]]="Married", Table1[[#This Row],[marital_status]]="Together"), "Partnered", "Single")</f>
        <v>Single</v>
      </c>
      <c r="F1030" s="7">
        <v>32173</v>
      </c>
      <c r="G1030" s="8">
        <v>0</v>
      </c>
      <c r="H1030" s="8">
        <v>1</v>
      </c>
      <c r="I1030" s="8">
        <f>Table1[[#This Row],[kids]]+Table1[[#This Row],[teens]]</f>
        <v>1</v>
      </c>
      <c r="J1030" s="9">
        <v>41487</v>
      </c>
      <c r="K1030" s="8">
        <v>0</v>
      </c>
      <c r="L1030" s="6">
        <v>18</v>
      </c>
      <c r="M1030" s="5">
        <v>0</v>
      </c>
      <c r="N1030" s="5">
        <v>2</v>
      </c>
      <c r="O1030" s="5">
        <v>0</v>
      </c>
      <c r="P1030" s="5">
        <v>0</v>
      </c>
      <c r="Q1030" s="5">
        <v>2</v>
      </c>
      <c r="R1030" s="8">
        <v>1</v>
      </c>
      <c r="S1030" s="8">
        <v>1</v>
      </c>
      <c r="T1030" s="8">
        <v>0</v>
      </c>
      <c r="U1030" s="8">
        <v>3</v>
      </c>
      <c r="V1030" s="8">
        <v>4</v>
      </c>
      <c r="W1030" t="s">
        <v>473</v>
      </c>
      <c r="X1030" t="s">
        <v>473</v>
      </c>
      <c r="Y1030" t="s">
        <v>473</v>
      </c>
      <c r="Z1030" t="s">
        <v>473</v>
      </c>
      <c r="AA1030" t="s">
        <v>473</v>
      </c>
      <c r="AB1030" t="s">
        <v>473</v>
      </c>
      <c r="AC1030" s="10">
        <v>3</v>
      </c>
      <c r="AD1030" s="10">
        <v>11</v>
      </c>
      <c r="AE1030" t="s">
        <v>473</v>
      </c>
    </row>
    <row r="1031" spans="1:31" x14ac:dyDescent="0.25">
      <c r="A1031">
        <v>8985</v>
      </c>
      <c r="B1031">
        <v>1964</v>
      </c>
      <c r="C1031" t="s">
        <v>46</v>
      </c>
      <c r="D1031" t="s">
        <v>31</v>
      </c>
      <c r="E1031" t="str">
        <f>IF(OR(Table1[[#This Row],[marital_status]]="Married", Table1[[#This Row],[marital_status]]="Together"), "Partnered", "Single")</f>
        <v>Partnered</v>
      </c>
      <c r="F1031" s="7">
        <v>68316</v>
      </c>
      <c r="G1031" s="8">
        <v>0</v>
      </c>
      <c r="H1031" s="8">
        <v>1</v>
      </c>
      <c r="I1031" s="8">
        <f>Table1[[#This Row],[kids]]+Table1[[#This Row],[teens]]</f>
        <v>1</v>
      </c>
      <c r="J1031" s="9">
        <v>41217</v>
      </c>
      <c r="K1031" s="8">
        <v>54</v>
      </c>
      <c r="L1031" s="6">
        <v>806</v>
      </c>
      <c r="M1031" s="5">
        <v>80</v>
      </c>
      <c r="N1031" s="5">
        <v>161</v>
      </c>
      <c r="O1031" s="5">
        <v>120</v>
      </c>
      <c r="P1031" s="5">
        <v>11</v>
      </c>
      <c r="Q1031" s="5">
        <v>33</v>
      </c>
      <c r="R1031" s="8">
        <v>5</v>
      </c>
      <c r="S1031" s="8">
        <v>10</v>
      </c>
      <c r="T1031" s="8">
        <v>7</v>
      </c>
      <c r="U1031" s="8">
        <v>10</v>
      </c>
      <c r="V1031" s="8">
        <v>6</v>
      </c>
      <c r="W1031" t="s">
        <v>473</v>
      </c>
      <c r="X1031" t="s">
        <v>473</v>
      </c>
      <c r="Y1031" t="s">
        <v>473</v>
      </c>
      <c r="Z1031" t="s">
        <v>473</v>
      </c>
      <c r="AA1031" t="s">
        <v>473</v>
      </c>
      <c r="AB1031" t="s">
        <v>473</v>
      </c>
      <c r="AC1031" s="10">
        <v>3</v>
      </c>
      <c r="AD1031" s="10">
        <v>11</v>
      </c>
      <c r="AE1031" t="s">
        <v>473</v>
      </c>
    </row>
    <row r="1032" spans="1:31" x14ac:dyDescent="0.25">
      <c r="A1032">
        <v>5204</v>
      </c>
      <c r="B1032">
        <v>1971</v>
      </c>
      <c r="C1032" t="s">
        <v>466</v>
      </c>
      <c r="D1032" t="s">
        <v>31</v>
      </c>
      <c r="E1032" t="str">
        <f>IF(OR(Table1[[#This Row],[marital_status]]="Married", Table1[[#This Row],[marital_status]]="Together"), "Partnered", "Single")</f>
        <v>Partnered</v>
      </c>
      <c r="F1032" s="7">
        <v>74538</v>
      </c>
      <c r="G1032" s="8">
        <v>0</v>
      </c>
      <c r="H1032" s="8">
        <v>0</v>
      </c>
      <c r="I1032" s="8">
        <f>Table1[[#This Row],[kids]]+Table1[[#This Row],[teens]]</f>
        <v>0</v>
      </c>
      <c r="J1032" s="9">
        <v>41454</v>
      </c>
      <c r="K1032" s="8">
        <v>21</v>
      </c>
      <c r="L1032" s="6">
        <v>380</v>
      </c>
      <c r="M1032" s="5">
        <v>98</v>
      </c>
      <c r="N1032" s="5">
        <v>733</v>
      </c>
      <c r="O1032" s="5">
        <v>110</v>
      </c>
      <c r="P1032" s="5">
        <v>112</v>
      </c>
      <c r="Q1032" s="5">
        <v>28</v>
      </c>
      <c r="R1032" s="8">
        <v>1</v>
      </c>
      <c r="S1032" s="8">
        <v>8</v>
      </c>
      <c r="T1032" s="8">
        <v>8</v>
      </c>
      <c r="U1032" s="8">
        <v>5</v>
      </c>
      <c r="V1032" s="8">
        <v>3</v>
      </c>
      <c r="W1032" t="s">
        <v>473</v>
      </c>
      <c r="X1032" t="s">
        <v>473</v>
      </c>
      <c r="Y1032" t="s">
        <v>474</v>
      </c>
      <c r="Z1032" t="s">
        <v>473</v>
      </c>
      <c r="AA1032" t="s">
        <v>473</v>
      </c>
      <c r="AB1032" t="s">
        <v>473</v>
      </c>
      <c r="AC1032" s="10">
        <v>3</v>
      </c>
      <c r="AD1032" s="10">
        <v>11</v>
      </c>
      <c r="AE1032" t="s">
        <v>474</v>
      </c>
    </row>
    <row r="1033" spans="1:31" x14ac:dyDescent="0.25">
      <c r="A1033">
        <v>9220</v>
      </c>
      <c r="B1033">
        <v>1971</v>
      </c>
      <c r="C1033" t="s">
        <v>466</v>
      </c>
      <c r="D1033" t="s">
        <v>30</v>
      </c>
      <c r="E1033" t="str">
        <f>IF(OR(Table1[[#This Row],[marital_status]]="Married", Table1[[#This Row],[marital_status]]="Together"), "Partnered", "Single")</f>
        <v>Single</v>
      </c>
      <c r="F1033" s="7">
        <v>91700</v>
      </c>
      <c r="G1033" s="8">
        <v>0</v>
      </c>
      <c r="H1033" s="8">
        <v>0</v>
      </c>
      <c r="I1033" s="8">
        <f>Table1[[#This Row],[kids]]+Table1[[#This Row],[teens]]</f>
        <v>0</v>
      </c>
      <c r="J1033" s="9">
        <v>41291</v>
      </c>
      <c r="K1033" s="8">
        <v>58</v>
      </c>
      <c r="L1033" s="6">
        <v>576</v>
      </c>
      <c r="M1033" s="5">
        <v>172</v>
      </c>
      <c r="N1033" s="5">
        <v>961</v>
      </c>
      <c r="O1033" s="5">
        <v>125</v>
      </c>
      <c r="P1033" s="5">
        <v>115</v>
      </c>
      <c r="Q1033" s="5">
        <v>19</v>
      </c>
      <c r="R1033" s="8">
        <v>1</v>
      </c>
      <c r="S1033" s="8">
        <v>8</v>
      </c>
      <c r="T1033" s="8">
        <v>6</v>
      </c>
      <c r="U1033" s="8">
        <v>5</v>
      </c>
      <c r="V1033" s="8">
        <v>3</v>
      </c>
      <c r="W1033" t="s">
        <v>473</v>
      </c>
      <c r="X1033" t="s">
        <v>473</v>
      </c>
      <c r="Y1033" t="s">
        <v>473</v>
      </c>
      <c r="Z1033" t="s">
        <v>473</v>
      </c>
      <c r="AA1033" t="s">
        <v>473</v>
      </c>
      <c r="AB1033" t="s">
        <v>473</v>
      </c>
      <c r="AC1033" s="10">
        <v>3</v>
      </c>
      <c r="AD1033" s="10">
        <v>11</v>
      </c>
      <c r="AE1033" t="s">
        <v>474</v>
      </c>
    </row>
    <row r="1034" spans="1:31" x14ac:dyDescent="0.25">
      <c r="A1034">
        <v>9888</v>
      </c>
      <c r="B1034">
        <v>1969</v>
      </c>
      <c r="C1034" t="s">
        <v>466</v>
      </c>
      <c r="D1034" t="s">
        <v>31</v>
      </c>
      <c r="E1034" t="str">
        <f>IF(OR(Table1[[#This Row],[marital_status]]="Married", Table1[[#This Row],[marital_status]]="Together"), "Partnered", "Single")</f>
        <v>Partnered</v>
      </c>
      <c r="F1034" s="7">
        <v>68695</v>
      </c>
      <c r="G1034" s="8">
        <v>0</v>
      </c>
      <c r="H1034" s="8">
        <v>0</v>
      </c>
      <c r="I1034" s="8">
        <f>Table1[[#This Row],[kids]]+Table1[[#This Row],[teens]]</f>
        <v>0</v>
      </c>
      <c r="J1034" s="9">
        <v>41815</v>
      </c>
      <c r="K1034" s="8">
        <v>3</v>
      </c>
      <c r="L1034" s="6">
        <v>458</v>
      </c>
      <c r="M1034" s="5">
        <v>81</v>
      </c>
      <c r="N1034" s="5">
        <v>356</v>
      </c>
      <c r="O1034" s="5">
        <v>106</v>
      </c>
      <c r="P1034" s="5">
        <v>50</v>
      </c>
      <c r="Q1034" s="5">
        <v>40</v>
      </c>
      <c r="R1034" s="8">
        <v>1</v>
      </c>
      <c r="S1034" s="8">
        <v>4</v>
      </c>
      <c r="T1034" s="8">
        <v>4</v>
      </c>
      <c r="U1034" s="8">
        <v>7</v>
      </c>
      <c r="V1034" s="8">
        <v>2</v>
      </c>
      <c r="W1034" t="s">
        <v>473</v>
      </c>
      <c r="X1034" t="s">
        <v>473</v>
      </c>
      <c r="Y1034" t="s">
        <v>473</v>
      </c>
      <c r="Z1034" t="s">
        <v>473</v>
      </c>
      <c r="AA1034" t="s">
        <v>473</v>
      </c>
      <c r="AB1034" t="s">
        <v>473</v>
      </c>
      <c r="AC1034" s="10">
        <v>3</v>
      </c>
      <c r="AD1034" s="10">
        <v>11</v>
      </c>
      <c r="AE1034" t="s">
        <v>473</v>
      </c>
    </row>
    <row r="1035" spans="1:31" x14ac:dyDescent="0.25">
      <c r="A1035">
        <v>5263</v>
      </c>
      <c r="B1035">
        <v>1977</v>
      </c>
      <c r="C1035" t="s">
        <v>46</v>
      </c>
      <c r="D1035" t="s">
        <v>34</v>
      </c>
      <c r="E1035" t="str">
        <f>IF(OR(Table1[[#This Row],[marital_status]]="Married", Table1[[#This Row],[marital_status]]="Together"), "Partnered", "Single")</f>
        <v>Partnered</v>
      </c>
      <c r="F1035" s="7">
        <v>31056</v>
      </c>
      <c r="G1035" s="8">
        <v>1</v>
      </c>
      <c r="H1035" s="8">
        <v>0</v>
      </c>
      <c r="I1035" s="8">
        <f>Table1[[#This Row],[kids]]+Table1[[#This Row],[teens]]</f>
        <v>1</v>
      </c>
      <c r="J1035" s="9">
        <v>41296</v>
      </c>
      <c r="K1035" s="8">
        <v>99</v>
      </c>
      <c r="L1035" s="6">
        <v>5</v>
      </c>
      <c r="M1035" s="5">
        <v>10</v>
      </c>
      <c r="N1035" s="5">
        <v>13</v>
      </c>
      <c r="O1035" s="5">
        <v>3</v>
      </c>
      <c r="P1035" s="5">
        <v>8</v>
      </c>
      <c r="Q1035" s="5">
        <v>16</v>
      </c>
      <c r="R1035" s="8">
        <v>1</v>
      </c>
      <c r="S1035" s="8">
        <v>1</v>
      </c>
      <c r="T1035" s="8">
        <v>0</v>
      </c>
      <c r="U1035" s="8">
        <v>3</v>
      </c>
      <c r="V1035" s="8">
        <v>8</v>
      </c>
      <c r="W1035" t="s">
        <v>473</v>
      </c>
      <c r="X1035" t="s">
        <v>473</v>
      </c>
      <c r="Y1035" t="s">
        <v>473</v>
      </c>
      <c r="Z1035" t="s">
        <v>473</v>
      </c>
      <c r="AA1035" t="s">
        <v>473</v>
      </c>
      <c r="AB1035" t="s">
        <v>473</v>
      </c>
      <c r="AC1035" s="10">
        <v>3</v>
      </c>
      <c r="AD1035" s="10">
        <v>11</v>
      </c>
      <c r="AE1035" t="s">
        <v>473</v>
      </c>
    </row>
    <row r="1036" spans="1:31" x14ac:dyDescent="0.25">
      <c r="A1036">
        <v>1020</v>
      </c>
      <c r="B1036">
        <v>1973</v>
      </c>
      <c r="C1036" t="s">
        <v>466</v>
      </c>
      <c r="D1036" t="s">
        <v>34</v>
      </c>
      <c r="E1036" t="str">
        <f>IF(OR(Table1[[#This Row],[marital_status]]="Married", Table1[[#This Row],[marital_status]]="Together"), "Partnered", "Single")</f>
        <v>Partnered</v>
      </c>
      <c r="F1036" s="7">
        <v>79593</v>
      </c>
      <c r="G1036" s="8">
        <v>0</v>
      </c>
      <c r="H1036" s="8">
        <v>0</v>
      </c>
      <c r="I1036" s="8">
        <f>Table1[[#This Row],[kids]]+Table1[[#This Row],[teens]]</f>
        <v>0</v>
      </c>
      <c r="J1036" s="9">
        <v>41771</v>
      </c>
      <c r="K1036" s="8">
        <v>70</v>
      </c>
      <c r="L1036" s="6">
        <v>350</v>
      </c>
      <c r="M1036" s="5">
        <v>60</v>
      </c>
      <c r="N1036" s="5">
        <v>568</v>
      </c>
      <c r="O1036" s="5">
        <v>110</v>
      </c>
      <c r="P1036" s="5">
        <v>133</v>
      </c>
      <c r="Q1036" s="5">
        <v>145</v>
      </c>
      <c r="R1036" s="8">
        <v>1</v>
      </c>
      <c r="S1036" s="8">
        <v>5</v>
      </c>
      <c r="T1036" s="8">
        <v>6</v>
      </c>
      <c r="U1036" s="8">
        <v>7</v>
      </c>
      <c r="V1036" s="8">
        <v>2</v>
      </c>
      <c r="W1036" t="s">
        <v>473</v>
      </c>
      <c r="X1036" t="s">
        <v>473</v>
      </c>
      <c r="Y1036" t="s">
        <v>474</v>
      </c>
      <c r="Z1036" t="s">
        <v>473</v>
      </c>
      <c r="AA1036" t="s">
        <v>473</v>
      </c>
      <c r="AB1036" t="s">
        <v>473</v>
      </c>
      <c r="AC1036" s="10">
        <v>3</v>
      </c>
      <c r="AD1036" s="10">
        <v>11</v>
      </c>
      <c r="AE1036" t="s">
        <v>473</v>
      </c>
    </row>
    <row r="1037" spans="1:31" x14ac:dyDescent="0.25">
      <c r="A1037">
        <v>9503</v>
      </c>
      <c r="B1037">
        <v>1980</v>
      </c>
      <c r="C1037" t="s">
        <v>466</v>
      </c>
      <c r="D1037" t="s">
        <v>30</v>
      </c>
      <c r="E1037" t="str">
        <f>IF(OR(Table1[[#This Row],[marital_status]]="Married", Table1[[#This Row],[marital_status]]="Together"), "Partnered", "Single")</f>
        <v>Single</v>
      </c>
      <c r="F1037" s="7">
        <v>28071</v>
      </c>
      <c r="G1037" s="8">
        <v>0</v>
      </c>
      <c r="H1037" s="8">
        <v>0</v>
      </c>
      <c r="I1037" s="8">
        <f>Table1[[#This Row],[kids]]+Table1[[#This Row],[teens]]</f>
        <v>0</v>
      </c>
      <c r="J1037" s="9">
        <v>41150</v>
      </c>
      <c r="K1037" s="8">
        <v>65</v>
      </c>
      <c r="L1037" s="6">
        <v>39</v>
      </c>
      <c r="M1037" s="5">
        <v>33</v>
      </c>
      <c r="N1037" s="5">
        <v>130</v>
      </c>
      <c r="O1037" s="5">
        <v>41</v>
      </c>
      <c r="P1037" s="5">
        <v>26</v>
      </c>
      <c r="Q1037" s="5">
        <v>44</v>
      </c>
      <c r="R1037" s="8">
        <v>2</v>
      </c>
      <c r="S1037" s="8">
        <v>5</v>
      </c>
      <c r="T1037" s="8">
        <v>1</v>
      </c>
      <c r="U1037" s="8">
        <v>5</v>
      </c>
      <c r="V1037" s="8">
        <v>8</v>
      </c>
      <c r="W1037" t="s">
        <v>473</v>
      </c>
      <c r="X1037" t="s">
        <v>473</v>
      </c>
      <c r="Y1037" t="s">
        <v>473</v>
      </c>
      <c r="Z1037" t="s">
        <v>473</v>
      </c>
      <c r="AA1037" t="s">
        <v>473</v>
      </c>
      <c r="AB1037" t="s">
        <v>473</v>
      </c>
      <c r="AC1037" s="10">
        <v>3</v>
      </c>
      <c r="AD1037" s="10">
        <v>11</v>
      </c>
      <c r="AE1037" t="s">
        <v>473</v>
      </c>
    </row>
    <row r="1038" spans="1:31" x14ac:dyDescent="0.25">
      <c r="A1038">
        <v>10613</v>
      </c>
      <c r="B1038">
        <v>1958</v>
      </c>
      <c r="C1038" t="s">
        <v>33</v>
      </c>
      <c r="D1038" t="s">
        <v>31</v>
      </c>
      <c r="E1038" t="str">
        <f>IF(OR(Table1[[#This Row],[marital_status]]="Married", Table1[[#This Row],[marital_status]]="Together"), "Partnered", "Single")</f>
        <v>Partnered</v>
      </c>
      <c r="F1038" s="7">
        <v>37334</v>
      </c>
      <c r="G1038" s="8">
        <v>1</v>
      </c>
      <c r="H1038" s="8">
        <v>1</v>
      </c>
      <c r="I1038" s="8">
        <f>Table1[[#This Row],[kids]]+Table1[[#This Row],[teens]]</f>
        <v>2</v>
      </c>
      <c r="J1038" s="9">
        <v>41696</v>
      </c>
      <c r="K1038" s="8">
        <v>44</v>
      </c>
      <c r="L1038" s="6">
        <v>26</v>
      </c>
      <c r="M1038" s="5">
        <v>1</v>
      </c>
      <c r="N1038" s="5">
        <v>16</v>
      </c>
      <c r="O1038" s="5">
        <v>2</v>
      </c>
      <c r="P1038" s="5">
        <v>2</v>
      </c>
      <c r="Q1038" s="5">
        <v>15</v>
      </c>
      <c r="R1038" s="8">
        <v>4</v>
      </c>
      <c r="S1038" s="8">
        <v>3</v>
      </c>
      <c r="T1038" s="8">
        <v>0</v>
      </c>
      <c r="U1038" s="8">
        <v>4</v>
      </c>
      <c r="V1038" s="8">
        <v>4</v>
      </c>
      <c r="W1038" t="s">
        <v>473</v>
      </c>
      <c r="X1038" t="s">
        <v>473</v>
      </c>
      <c r="Y1038" t="s">
        <v>473</v>
      </c>
      <c r="Z1038" t="s">
        <v>473</v>
      </c>
      <c r="AA1038" t="s">
        <v>473</v>
      </c>
      <c r="AB1038" t="s">
        <v>473</v>
      </c>
      <c r="AC1038" s="10">
        <v>3</v>
      </c>
      <c r="AD1038" s="10">
        <v>11</v>
      </c>
      <c r="AE1038" t="s">
        <v>473</v>
      </c>
    </row>
    <row r="1039" spans="1:31" x14ac:dyDescent="0.25">
      <c r="A1039">
        <v>67</v>
      </c>
      <c r="B1039">
        <v>1972</v>
      </c>
      <c r="C1039" t="s">
        <v>36</v>
      </c>
      <c r="D1039" t="s">
        <v>30</v>
      </c>
      <c r="E1039" t="str">
        <f>IF(OR(Table1[[#This Row],[marital_status]]="Married", Table1[[#This Row],[marital_status]]="Together"), "Partnered", "Single")</f>
        <v>Single</v>
      </c>
      <c r="F1039" s="7">
        <v>46423</v>
      </c>
      <c r="G1039" s="8">
        <v>1</v>
      </c>
      <c r="H1039" s="8">
        <v>1</v>
      </c>
      <c r="I1039" s="8">
        <f>Table1[[#This Row],[kids]]+Table1[[#This Row],[teens]]</f>
        <v>2</v>
      </c>
      <c r="J1039" s="9">
        <v>41535</v>
      </c>
      <c r="K1039" s="8">
        <v>6</v>
      </c>
      <c r="L1039" s="6">
        <v>68</v>
      </c>
      <c r="M1039" s="5">
        <v>0</v>
      </c>
      <c r="N1039" s="5">
        <v>16</v>
      </c>
      <c r="O1039" s="5">
        <v>0</v>
      </c>
      <c r="P1039" s="5">
        <v>0</v>
      </c>
      <c r="Q1039" s="5">
        <v>8</v>
      </c>
      <c r="R1039" s="8">
        <v>3</v>
      </c>
      <c r="S1039" s="8">
        <v>2</v>
      </c>
      <c r="T1039" s="8">
        <v>0</v>
      </c>
      <c r="U1039" s="8">
        <v>4</v>
      </c>
      <c r="V1039" s="8">
        <v>7</v>
      </c>
      <c r="W1039" t="s">
        <v>473</v>
      </c>
      <c r="X1039" t="s">
        <v>473</v>
      </c>
      <c r="Y1039" t="s">
        <v>473</v>
      </c>
      <c r="Z1039" t="s">
        <v>473</v>
      </c>
      <c r="AA1039" t="s">
        <v>473</v>
      </c>
      <c r="AB1039" t="s">
        <v>473</v>
      </c>
      <c r="AC1039" s="10">
        <v>3</v>
      </c>
      <c r="AD1039" s="10">
        <v>11</v>
      </c>
      <c r="AE1039" t="s">
        <v>473</v>
      </c>
    </row>
    <row r="1040" spans="1:31" x14ac:dyDescent="0.25">
      <c r="A1040">
        <v>6019</v>
      </c>
      <c r="B1040">
        <v>1971</v>
      </c>
      <c r="C1040" t="s">
        <v>33</v>
      </c>
      <c r="D1040" t="s">
        <v>34</v>
      </c>
      <c r="E1040" t="str">
        <f>IF(OR(Table1[[#This Row],[marital_status]]="Married", Table1[[#This Row],[marital_status]]="Together"), "Partnered", "Single")</f>
        <v>Partnered</v>
      </c>
      <c r="F1040" s="7">
        <v>37126</v>
      </c>
      <c r="G1040" s="8">
        <v>1</v>
      </c>
      <c r="H1040" s="8">
        <v>0</v>
      </c>
      <c r="I1040" s="8">
        <f>Table1[[#This Row],[kids]]+Table1[[#This Row],[teens]]</f>
        <v>1</v>
      </c>
      <c r="J1040" s="9">
        <v>41728</v>
      </c>
      <c r="K1040" s="8">
        <v>9</v>
      </c>
      <c r="L1040" s="6">
        <v>45</v>
      </c>
      <c r="M1040" s="5">
        <v>3</v>
      </c>
      <c r="N1040" s="5">
        <v>9</v>
      </c>
      <c r="O1040" s="5">
        <v>4</v>
      </c>
      <c r="P1040" s="5">
        <v>4</v>
      </c>
      <c r="Q1040" s="5">
        <v>7</v>
      </c>
      <c r="R1040" s="8">
        <v>1</v>
      </c>
      <c r="S1040" s="8">
        <v>1</v>
      </c>
      <c r="T1040" s="8">
        <v>2</v>
      </c>
      <c r="U1040" s="8">
        <v>2</v>
      </c>
      <c r="V1040" s="8">
        <v>6</v>
      </c>
      <c r="W1040" t="s">
        <v>474</v>
      </c>
      <c r="X1040" t="s">
        <v>473</v>
      </c>
      <c r="Y1040" t="s">
        <v>473</v>
      </c>
      <c r="Z1040" t="s">
        <v>473</v>
      </c>
      <c r="AA1040" t="s">
        <v>473</v>
      </c>
      <c r="AB1040" t="s">
        <v>473</v>
      </c>
      <c r="AC1040" s="10">
        <v>3</v>
      </c>
      <c r="AD1040" s="10">
        <v>11</v>
      </c>
      <c r="AE1040" t="s">
        <v>474</v>
      </c>
    </row>
    <row r="1041" spans="1:31" x14ac:dyDescent="0.25">
      <c r="A1041">
        <v>5863</v>
      </c>
      <c r="B1041">
        <v>1953</v>
      </c>
      <c r="C1041" t="s">
        <v>466</v>
      </c>
      <c r="D1041" t="s">
        <v>34</v>
      </c>
      <c r="E1041" t="str">
        <f>IF(OR(Table1[[#This Row],[marital_status]]="Married", Table1[[#This Row],[marital_status]]="Together"), "Partnered", "Single")</f>
        <v>Partnered</v>
      </c>
      <c r="F1041" s="7">
        <v>47703</v>
      </c>
      <c r="G1041" s="8">
        <v>0</v>
      </c>
      <c r="H1041" s="8">
        <v>1</v>
      </c>
      <c r="I1041" s="8">
        <f>Table1[[#This Row],[kids]]+Table1[[#This Row],[teens]]</f>
        <v>1</v>
      </c>
      <c r="J1041" s="9">
        <v>41423</v>
      </c>
      <c r="K1041" s="8">
        <v>95</v>
      </c>
      <c r="L1041" s="6">
        <v>359</v>
      </c>
      <c r="M1041" s="5">
        <v>0</v>
      </c>
      <c r="N1041" s="5">
        <v>134</v>
      </c>
      <c r="O1041" s="5">
        <v>13</v>
      </c>
      <c r="P1041" s="5">
        <v>26</v>
      </c>
      <c r="Q1041" s="5">
        <v>123</v>
      </c>
      <c r="R1041" s="8">
        <v>4</v>
      </c>
      <c r="S1041" s="8">
        <v>6</v>
      </c>
      <c r="T1041" s="8">
        <v>3</v>
      </c>
      <c r="U1041" s="8">
        <v>8</v>
      </c>
      <c r="V1041" s="8">
        <v>5</v>
      </c>
      <c r="W1041" t="s">
        <v>473</v>
      </c>
      <c r="X1041" t="s">
        <v>473</v>
      </c>
      <c r="Y1041" t="s">
        <v>473</v>
      </c>
      <c r="Z1041" t="s">
        <v>473</v>
      </c>
      <c r="AA1041" t="s">
        <v>473</v>
      </c>
      <c r="AB1041" t="s">
        <v>473</v>
      </c>
      <c r="AC1041" s="10">
        <v>3</v>
      </c>
      <c r="AD1041" s="10">
        <v>11</v>
      </c>
      <c r="AE1041" t="s">
        <v>473</v>
      </c>
    </row>
    <row r="1042" spans="1:31" x14ac:dyDescent="0.25">
      <c r="A1042">
        <v>3717</v>
      </c>
      <c r="B1042">
        <v>1959</v>
      </c>
      <c r="C1042" t="s">
        <v>466</v>
      </c>
      <c r="D1042" t="s">
        <v>34</v>
      </c>
      <c r="E1042" t="str">
        <f>IF(OR(Table1[[#This Row],[marital_status]]="Married", Table1[[#This Row],[marital_status]]="Together"), "Partnered", "Single")</f>
        <v>Partnered</v>
      </c>
      <c r="F1042" s="7">
        <v>61180</v>
      </c>
      <c r="G1042" s="8">
        <v>0</v>
      </c>
      <c r="H1042" s="8">
        <v>1</v>
      </c>
      <c r="I1042" s="8">
        <f>Table1[[#This Row],[kids]]+Table1[[#This Row],[teens]]</f>
        <v>1</v>
      </c>
      <c r="J1042" s="9">
        <v>41752</v>
      </c>
      <c r="K1042" s="8">
        <v>70</v>
      </c>
      <c r="L1042" s="6">
        <v>403</v>
      </c>
      <c r="M1042" s="5">
        <v>24</v>
      </c>
      <c r="N1042" s="5">
        <v>29</v>
      </c>
      <c r="O1042" s="5">
        <v>6</v>
      </c>
      <c r="P1042" s="5">
        <v>24</v>
      </c>
      <c r="Q1042" s="5">
        <v>218</v>
      </c>
      <c r="R1042" s="8">
        <v>2</v>
      </c>
      <c r="S1042" s="8">
        <v>5</v>
      </c>
      <c r="T1042" s="8">
        <v>5</v>
      </c>
      <c r="U1042" s="8">
        <v>6</v>
      </c>
      <c r="V1042" s="8">
        <v>3</v>
      </c>
      <c r="W1042" t="s">
        <v>474</v>
      </c>
      <c r="X1042" t="s">
        <v>473</v>
      </c>
      <c r="Y1042" t="s">
        <v>473</v>
      </c>
      <c r="Z1042" t="s">
        <v>473</v>
      </c>
      <c r="AA1042" t="s">
        <v>473</v>
      </c>
      <c r="AB1042" t="s">
        <v>473</v>
      </c>
      <c r="AC1042" s="10">
        <v>3</v>
      </c>
      <c r="AD1042" s="10">
        <v>11</v>
      </c>
      <c r="AE1042" t="s">
        <v>473</v>
      </c>
    </row>
    <row r="1043" spans="1:31" x14ac:dyDescent="0.25">
      <c r="A1043">
        <v>6730</v>
      </c>
      <c r="B1043">
        <v>1954</v>
      </c>
      <c r="C1043" t="s">
        <v>466</v>
      </c>
      <c r="D1043" t="s">
        <v>34</v>
      </c>
      <c r="E1043" t="str">
        <f>IF(OR(Table1[[#This Row],[marital_status]]="Married", Table1[[#This Row],[marital_status]]="Together"), "Partnered", "Single")</f>
        <v>Partnered</v>
      </c>
      <c r="F1043" s="7">
        <v>38998</v>
      </c>
      <c r="G1043" s="8">
        <v>1</v>
      </c>
      <c r="H1043" s="8">
        <v>1</v>
      </c>
      <c r="I1043" s="8">
        <f>Table1[[#This Row],[kids]]+Table1[[#This Row],[teens]]</f>
        <v>2</v>
      </c>
      <c r="J1043" s="9">
        <v>41216</v>
      </c>
      <c r="K1043" s="8">
        <v>92</v>
      </c>
      <c r="L1043" s="6">
        <v>34</v>
      </c>
      <c r="M1043" s="5">
        <v>1</v>
      </c>
      <c r="N1043" s="5">
        <v>14</v>
      </c>
      <c r="O1043" s="5">
        <v>0</v>
      </c>
      <c r="P1043" s="5">
        <v>0</v>
      </c>
      <c r="Q1043" s="5">
        <v>5</v>
      </c>
      <c r="R1043" s="8">
        <v>3</v>
      </c>
      <c r="S1043" s="8">
        <v>2</v>
      </c>
      <c r="T1043" s="8">
        <v>0</v>
      </c>
      <c r="U1043" s="8">
        <v>3</v>
      </c>
      <c r="V1043" s="8">
        <v>8</v>
      </c>
      <c r="W1043" t="s">
        <v>473</v>
      </c>
      <c r="X1043" t="s">
        <v>473</v>
      </c>
      <c r="Y1043" t="s">
        <v>473</v>
      </c>
      <c r="Z1043" t="s">
        <v>473</v>
      </c>
      <c r="AA1043" t="s">
        <v>473</v>
      </c>
      <c r="AB1043" t="s">
        <v>474</v>
      </c>
      <c r="AC1043" s="10">
        <v>3</v>
      </c>
      <c r="AD1043" s="10">
        <v>11</v>
      </c>
      <c r="AE1043" t="s">
        <v>473</v>
      </c>
    </row>
    <row r="1044" spans="1:31" x14ac:dyDescent="0.25">
      <c r="A1044">
        <v>10749</v>
      </c>
      <c r="B1044">
        <v>1991</v>
      </c>
      <c r="C1044" t="s">
        <v>466</v>
      </c>
      <c r="D1044" t="s">
        <v>30</v>
      </c>
      <c r="E1044" t="str">
        <f>IF(OR(Table1[[#This Row],[marital_status]]="Married", Table1[[#This Row],[marital_status]]="Together"), "Partnered", "Single")</f>
        <v>Single</v>
      </c>
      <c r="F1044" s="7">
        <v>8028</v>
      </c>
      <c r="G1044" s="8">
        <v>0</v>
      </c>
      <c r="H1044" s="8">
        <v>0</v>
      </c>
      <c r="I1044" s="8">
        <f>Table1[[#This Row],[kids]]+Table1[[#This Row],[teens]]</f>
        <v>0</v>
      </c>
      <c r="J1044" s="9">
        <v>41170</v>
      </c>
      <c r="K1044" s="8">
        <v>62</v>
      </c>
      <c r="L1044" s="6">
        <v>73</v>
      </c>
      <c r="M1044" s="5">
        <v>18</v>
      </c>
      <c r="N1044" s="5">
        <v>66</v>
      </c>
      <c r="O1044" s="5">
        <v>7</v>
      </c>
      <c r="P1044" s="5">
        <v>12</v>
      </c>
      <c r="Q1044" s="5">
        <v>2</v>
      </c>
      <c r="R1044" s="8">
        <v>15</v>
      </c>
      <c r="S1044" s="8">
        <v>0</v>
      </c>
      <c r="T1044" s="8">
        <v>1</v>
      </c>
      <c r="U1044" s="8">
        <v>0</v>
      </c>
      <c r="V1044" s="8">
        <v>19</v>
      </c>
      <c r="W1044" t="s">
        <v>473</v>
      </c>
      <c r="X1044" t="s">
        <v>473</v>
      </c>
      <c r="Y1044" t="s">
        <v>473</v>
      </c>
      <c r="Z1044" t="s">
        <v>473</v>
      </c>
      <c r="AA1044" t="s">
        <v>473</v>
      </c>
      <c r="AB1044" t="s">
        <v>473</v>
      </c>
      <c r="AC1044" s="10">
        <v>3</v>
      </c>
      <c r="AD1044" s="10">
        <v>11</v>
      </c>
      <c r="AE1044" t="s">
        <v>473</v>
      </c>
    </row>
    <row r="1045" spans="1:31" x14ac:dyDescent="0.25">
      <c r="A1045">
        <v>4998</v>
      </c>
      <c r="B1045">
        <v>1962</v>
      </c>
      <c r="C1045" t="s">
        <v>466</v>
      </c>
      <c r="D1045" t="s">
        <v>31</v>
      </c>
      <c r="E1045" t="str">
        <f>IF(OR(Table1[[#This Row],[marital_status]]="Married", Table1[[#This Row],[marital_status]]="Together"), "Partnered", "Single")</f>
        <v>Partnered</v>
      </c>
      <c r="F1045" s="7">
        <v>76081</v>
      </c>
      <c r="G1045" s="8">
        <v>0</v>
      </c>
      <c r="H1045" s="8">
        <v>0</v>
      </c>
      <c r="I1045" s="8">
        <f>Table1[[#This Row],[kids]]+Table1[[#This Row],[teens]]</f>
        <v>0</v>
      </c>
      <c r="J1045" s="9">
        <v>41782</v>
      </c>
      <c r="K1045" s="8">
        <v>85</v>
      </c>
      <c r="L1045" s="6">
        <v>292</v>
      </c>
      <c r="M1045" s="5">
        <v>30</v>
      </c>
      <c r="N1045" s="5">
        <v>415</v>
      </c>
      <c r="O1045" s="5">
        <v>63</v>
      </c>
      <c r="P1045" s="5">
        <v>33</v>
      </c>
      <c r="Q1045" s="5">
        <v>200</v>
      </c>
      <c r="R1045" s="8">
        <v>1</v>
      </c>
      <c r="S1045" s="8">
        <v>4</v>
      </c>
      <c r="T1045" s="8">
        <v>5</v>
      </c>
      <c r="U1045" s="8">
        <v>4</v>
      </c>
      <c r="V1045" s="8">
        <v>2</v>
      </c>
      <c r="W1045" t="s">
        <v>473</v>
      </c>
      <c r="X1045" t="s">
        <v>473</v>
      </c>
      <c r="Y1045" t="s">
        <v>473</v>
      </c>
      <c r="Z1045" t="s">
        <v>474</v>
      </c>
      <c r="AA1045" t="s">
        <v>473</v>
      </c>
      <c r="AB1045" t="s">
        <v>473</v>
      </c>
      <c r="AC1045" s="10">
        <v>3</v>
      </c>
      <c r="AD1045" s="10">
        <v>11</v>
      </c>
      <c r="AE1045" t="s">
        <v>473</v>
      </c>
    </row>
    <row r="1046" spans="1:31" x14ac:dyDescent="0.25">
      <c r="A1046">
        <v>6287</v>
      </c>
      <c r="B1046">
        <v>1986</v>
      </c>
      <c r="C1046" t="s">
        <v>466</v>
      </c>
      <c r="D1046" t="s">
        <v>31</v>
      </c>
      <c r="E1046" t="str">
        <f>IF(OR(Table1[[#This Row],[marital_status]]="Married", Table1[[#This Row],[marital_status]]="Together"), "Partnered", "Single")</f>
        <v>Partnered</v>
      </c>
      <c r="F1046" s="7">
        <v>34728</v>
      </c>
      <c r="G1046" s="8">
        <v>1</v>
      </c>
      <c r="H1046" s="8">
        <v>0</v>
      </c>
      <c r="I1046" s="8">
        <f>Table1[[#This Row],[kids]]+Table1[[#This Row],[teens]]</f>
        <v>1</v>
      </c>
      <c r="J1046" s="9">
        <v>41485</v>
      </c>
      <c r="K1046" s="8">
        <v>2</v>
      </c>
      <c r="L1046" s="6">
        <v>14</v>
      </c>
      <c r="M1046" s="5">
        <v>0</v>
      </c>
      <c r="N1046" s="5">
        <v>16</v>
      </c>
      <c r="O1046" s="5">
        <v>0</v>
      </c>
      <c r="P1046" s="5">
        <v>0</v>
      </c>
      <c r="Q1046" s="5">
        <v>6</v>
      </c>
      <c r="R1046" s="8">
        <v>1</v>
      </c>
      <c r="S1046" s="8">
        <v>1</v>
      </c>
      <c r="T1046" s="8">
        <v>1</v>
      </c>
      <c r="U1046" s="8">
        <v>2</v>
      </c>
      <c r="V1046" s="8">
        <v>6</v>
      </c>
      <c r="W1046" t="s">
        <v>473</v>
      </c>
      <c r="X1046" t="s">
        <v>473</v>
      </c>
      <c r="Y1046" t="s">
        <v>473</v>
      </c>
      <c r="Z1046" t="s">
        <v>473</v>
      </c>
      <c r="AA1046" t="s">
        <v>473</v>
      </c>
      <c r="AB1046" t="s">
        <v>473</v>
      </c>
      <c r="AC1046" s="10">
        <v>3</v>
      </c>
      <c r="AD1046" s="10">
        <v>11</v>
      </c>
      <c r="AE1046" t="s">
        <v>474</v>
      </c>
    </row>
    <row r="1047" spans="1:31" x14ac:dyDescent="0.25">
      <c r="A1047">
        <v>5985</v>
      </c>
      <c r="B1047">
        <v>1965</v>
      </c>
      <c r="C1047" t="s">
        <v>36</v>
      </c>
      <c r="D1047" t="s">
        <v>30</v>
      </c>
      <c r="E1047" t="str">
        <f>IF(OR(Table1[[#This Row],[marital_status]]="Married", Table1[[#This Row],[marital_status]]="Together"), "Partnered", "Single")</f>
        <v>Single</v>
      </c>
      <c r="F1047" s="7">
        <v>33168</v>
      </c>
      <c r="G1047" s="8">
        <v>0</v>
      </c>
      <c r="H1047" s="8">
        <v>1</v>
      </c>
      <c r="I1047" s="8">
        <f>Table1[[#This Row],[kids]]+Table1[[#This Row],[teens]]</f>
        <v>1</v>
      </c>
      <c r="J1047" s="9">
        <v>41195</v>
      </c>
      <c r="K1047" s="8">
        <v>0</v>
      </c>
      <c r="L1047" s="6">
        <v>80</v>
      </c>
      <c r="M1047" s="5">
        <v>1</v>
      </c>
      <c r="N1047" s="5">
        <v>37</v>
      </c>
      <c r="O1047" s="5">
        <v>0</v>
      </c>
      <c r="P1047" s="5">
        <v>1</v>
      </c>
      <c r="Q1047" s="5">
        <v>3</v>
      </c>
      <c r="R1047" s="8">
        <v>3</v>
      </c>
      <c r="S1047" s="8">
        <v>2</v>
      </c>
      <c r="T1047" s="8">
        <v>1</v>
      </c>
      <c r="U1047" s="8">
        <v>4</v>
      </c>
      <c r="V1047" s="8">
        <v>7</v>
      </c>
      <c r="W1047" t="s">
        <v>473</v>
      </c>
      <c r="X1047" t="s">
        <v>473</v>
      </c>
      <c r="Y1047" t="s">
        <v>473</v>
      </c>
      <c r="Z1047" t="s">
        <v>473</v>
      </c>
      <c r="AA1047" t="s">
        <v>473</v>
      </c>
      <c r="AB1047" t="s">
        <v>473</v>
      </c>
      <c r="AC1047" s="10">
        <v>3</v>
      </c>
      <c r="AD1047" s="10">
        <v>11</v>
      </c>
      <c r="AE1047" t="s">
        <v>473</v>
      </c>
    </row>
    <row r="1048" spans="1:31" x14ac:dyDescent="0.25">
      <c r="A1048">
        <v>4754</v>
      </c>
      <c r="B1048">
        <v>1966</v>
      </c>
      <c r="C1048" t="s">
        <v>36</v>
      </c>
      <c r="D1048" t="s">
        <v>34</v>
      </c>
      <c r="E1048" t="str">
        <f>IF(OR(Table1[[#This Row],[marital_status]]="Married", Table1[[#This Row],[marital_status]]="Together"), "Partnered", "Single")</f>
        <v>Partnered</v>
      </c>
      <c r="F1048" s="7">
        <v>33585</v>
      </c>
      <c r="G1048" s="8">
        <v>0</v>
      </c>
      <c r="H1048" s="8">
        <v>1</v>
      </c>
      <c r="I1048" s="8">
        <f>Table1[[#This Row],[kids]]+Table1[[#This Row],[teens]]</f>
        <v>1</v>
      </c>
      <c r="J1048" s="9">
        <v>41542</v>
      </c>
      <c r="K1048" s="8">
        <v>91</v>
      </c>
      <c r="L1048" s="6">
        <v>30</v>
      </c>
      <c r="M1048" s="5">
        <v>11</v>
      </c>
      <c r="N1048" s="5">
        <v>33</v>
      </c>
      <c r="O1048" s="5">
        <v>13</v>
      </c>
      <c r="P1048" s="5">
        <v>6</v>
      </c>
      <c r="Q1048" s="5">
        <v>29</v>
      </c>
      <c r="R1048" s="8">
        <v>1</v>
      </c>
      <c r="S1048" s="8">
        <v>2</v>
      </c>
      <c r="T1048" s="8">
        <v>0</v>
      </c>
      <c r="U1048" s="8">
        <v>4</v>
      </c>
      <c r="V1048" s="8">
        <v>4</v>
      </c>
      <c r="W1048" t="s">
        <v>473</v>
      </c>
      <c r="X1048" t="s">
        <v>473</v>
      </c>
      <c r="Y1048" t="s">
        <v>473</v>
      </c>
      <c r="Z1048" t="s">
        <v>473</v>
      </c>
      <c r="AA1048" t="s">
        <v>473</v>
      </c>
      <c r="AB1048" t="s">
        <v>473</v>
      </c>
      <c r="AC1048" s="10">
        <v>3</v>
      </c>
      <c r="AD1048" s="10">
        <v>11</v>
      </c>
      <c r="AE1048" t="s">
        <v>473</v>
      </c>
    </row>
    <row r="1049" spans="1:31" x14ac:dyDescent="0.25">
      <c r="A1049">
        <v>4002</v>
      </c>
      <c r="B1049">
        <v>1960</v>
      </c>
      <c r="C1049" t="s">
        <v>33</v>
      </c>
      <c r="D1049" t="s">
        <v>34</v>
      </c>
      <c r="E1049" t="str">
        <f>IF(OR(Table1[[#This Row],[marital_status]]="Married", Table1[[#This Row],[marital_status]]="Together"), "Partnered", "Single")</f>
        <v>Partnered</v>
      </c>
      <c r="F1049" s="7">
        <v>77037</v>
      </c>
      <c r="G1049" s="8">
        <v>0</v>
      </c>
      <c r="H1049" s="8">
        <v>1</v>
      </c>
      <c r="I1049" s="8">
        <f>Table1[[#This Row],[kids]]+Table1[[#This Row],[teens]]</f>
        <v>1</v>
      </c>
      <c r="J1049" s="9">
        <v>41560</v>
      </c>
      <c r="K1049" s="8">
        <v>3</v>
      </c>
      <c r="L1049" s="6">
        <v>463</v>
      </c>
      <c r="M1049" s="5">
        <v>96</v>
      </c>
      <c r="N1049" s="5">
        <v>333</v>
      </c>
      <c r="O1049" s="5">
        <v>168</v>
      </c>
      <c r="P1049" s="5">
        <v>53</v>
      </c>
      <c r="Q1049" s="5">
        <v>10</v>
      </c>
      <c r="R1049" s="8">
        <v>1</v>
      </c>
      <c r="S1049" s="8">
        <v>7</v>
      </c>
      <c r="T1049" s="8">
        <v>7</v>
      </c>
      <c r="U1049" s="8">
        <v>12</v>
      </c>
      <c r="V1049" s="8">
        <v>3</v>
      </c>
      <c r="W1049" t="s">
        <v>473</v>
      </c>
      <c r="X1049" t="s">
        <v>473</v>
      </c>
      <c r="Y1049" t="s">
        <v>473</v>
      </c>
      <c r="Z1049" t="s">
        <v>473</v>
      </c>
      <c r="AA1049" t="s">
        <v>473</v>
      </c>
      <c r="AB1049" t="s">
        <v>473</v>
      </c>
      <c r="AC1049" s="10">
        <v>3</v>
      </c>
      <c r="AD1049" s="10">
        <v>11</v>
      </c>
      <c r="AE1049" t="s">
        <v>473</v>
      </c>
    </row>
    <row r="1050" spans="1:31" x14ac:dyDescent="0.25">
      <c r="A1050">
        <v>8870</v>
      </c>
      <c r="B1050">
        <v>1984</v>
      </c>
      <c r="C1050" t="s">
        <v>466</v>
      </c>
      <c r="D1050" t="s">
        <v>31</v>
      </c>
      <c r="E1050" t="str">
        <f>IF(OR(Table1[[#This Row],[marital_status]]="Married", Table1[[#This Row],[marital_status]]="Together"), "Partnered", "Single")</f>
        <v>Partnered</v>
      </c>
      <c r="F1050" s="7">
        <v>35196</v>
      </c>
      <c r="G1050" s="8">
        <v>1</v>
      </c>
      <c r="H1050" s="8">
        <v>0</v>
      </c>
      <c r="I1050" s="8">
        <f>Table1[[#This Row],[kids]]+Table1[[#This Row],[teens]]</f>
        <v>1</v>
      </c>
      <c r="J1050" s="9">
        <v>41226</v>
      </c>
      <c r="K1050" s="8">
        <v>68</v>
      </c>
      <c r="L1050" s="6">
        <v>75</v>
      </c>
      <c r="M1050" s="5">
        <v>12</v>
      </c>
      <c r="N1050" s="5">
        <v>141</v>
      </c>
      <c r="O1050" s="5">
        <v>43</v>
      </c>
      <c r="P1050" s="5">
        <v>39</v>
      </c>
      <c r="Q1050" s="5">
        <v>187</v>
      </c>
      <c r="R1050" s="8">
        <v>6</v>
      </c>
      <c r="S1050" s="8">
        <v>6</v>
      </c>
      <c r="T1050" s="8">
        <v>1</v>
      </c>
      <c r="U1050" s="8">
        <v>5</v>
      </c>
      <c r="V1050" s="8">
        <v>8</v>
      </c>
      <c r="W1050" t="s">
        <v>473</v>
      </c>
      <c r="X1050" t="s">
        <v>473</v>
      </c>
      <c r="Y1050" t="s">
        <v>473</v>
      </c>
      <c r="Z1050" t="s">
        <v>473</v>
      </c>
      <c r="AA1050" t="s">
        <v>473</v>
      </c>
      <c r="AB1050" t="s">
        <v>473</v>
      </c>
      <c r="AC1050" s="10">
        <v>3</v>
      </c>
      <c r="AD1050" s="10">
        <v>11</v>
      </c>
      <c r="AE1050" t="s">
        <v>474</v>
      </c>
    </row>
    <row r="1051" spans="1:31" x14ac:dyDescent="0.25">
      <c r="A1051">
        <v>966</v>
      </c>
      <c r="B1051">
        <v>1966</v>
      </c>
      <c r="C1051" t="s">
        <v>466</v>
      </c>
      <c r="D1051" t="s">
        <v>34</v>
      </c>
      <c r="E1051" t="str">
        <f>IF(OR(Table1[[#This Row],[marital_status]]="Married", Table1[[#This Row],[marital_status]]="Together"), "Partnered", "Single")</f>
        <v>Partnered</v>
      </c>
      <c r="F1051" s="7">
        <v>44529</v>
      </c>
      <c r="G1051" s="8">
        <v>0</v>
      </c>
      <c r="H1051" s="8">
        <v>1</v>
      </c>
      <c r="I1051" s="8">
        <f>Table1[[#This Row],[kids]]+Table1[[#This Row],[teens]]</f>
        <v>1</v>
      </c>
      <c r="J1051" s="9">
        <v>41460</v>
      </c>
      <c r="K1051" s="8">
        <v>98</v>
      </c>
      <c r="L1051" s="6">
        <v>538</v>
      </c>
      <c r="M1051" s="5">
        <v>13</v>
      </c>
      <c r="N1051" s="5">
        <v>91</v>
      </c>
      <c r="O1051" s="5">
        <v>17</v>
      </c>
      <c r="P1051" s="5">
        <v>6</v>
      </c>
      <c r="Q1051" s="5">
        <v>26</v>
      </c>
      <c r="R1051" s="8">
        <v>6</v>
      </c>
      <c r="S1051" s="8">
        <v>6</v>
      </c>
      <c r="T1051" s="8">
        <v>2</v>
      </c>
      <c r="U1051" s="8">
        <v>11</v>
      </c>
      <c r="V1051" s="8">
        <v>5</v>
      </c>
      <c r="W1051" t="s">
        <v>473</v>
      </c>
      <c r="X1051" t="s">
        <v>474</v>
      </c>
      <c r="Y1051" t="s">
        <v>473</v>
      </c>
      <c r="Z1051" t="s">
        <v>473</v>
      </c>
      <c r="AA1051" t="s">
        <v>473</v>
      </c>
      <c r="AB1051" t="s">
        <v>473</v>
      </c>
      <c r="AC1051" s="10">
        <v>3</v>
      </c>
      <c r="AD1051" s="10">
        <v>11</v>
      </c>
      <c r="AE1051" t="s">
        <v>473</v>
      </c>
    </row>
    <row r="1052" spans="1:31" x14ac:dyDescent="0.25">
      <c r="A1052">
        <v>4767</v>
      </c>
      <c r="B1052">
        <v>1965</v>
      </c>
      <c r="C1052" t="s">
        <v>46</v>
      </c>
      <c r="D1052" t="s">
        <v>34</v>
      </c>
      <c r="E1052" t="str">
        <f>IF(OR(Table1[[#This Row],[marital_status]]="Married", Table1[[#This Row],[marital_status]]="Together"), "Partnered", "Single")</f>
        <v>Partnered</v>
      </c>
      <c r="F1052" s="7">
        <v>70924</v>
      </c>
      <c r="G1052" s="8">
        <v>0</v>
      </c>
      <c r="H1052" s="8">
        <v>0</v>
      </c>
      <c r="I1052" s="8">
        <f>Table1[[#This Row],[kids]]+Table1[[#This Row],[teens]]</f>
        <v>0</v>
      </c>
      <c r="J1052" s="9">
        <v>41736</v>
      </c>
      <c r="K1052" s="8">
        <v>41</v>
      </c>
      <c r="L1052" s="6">
        <v>635</v>
      </c>
      <c r="M1052" s="5">
        <v>114</v>
      </c>
      <c r="N1052" s="5">
        <v>254</v>
      </c>
      <c r="O1052" s="5">
        <v>132</v>
      </c>
      <c r="P1052" s="5">
        <v>152</v>
      </c>
      <c r="Q1052" s="5">
        <v>76</v>
      </c>
      <c r="R1052" s="8">
        <v>1</v>
      </c>
      <c r="S1052" s="8">
        <v>6</v>
      </c>
      <c r="T1052" s="8">
        <v>6</v>
      </c>
      <c r="U1052" s="8">
        <v>7</v>
      </c>
      <c r="V1052" s="8">
        <v>3</v>
      </c>
      <c r="W1052" t="s">
        <v>473</v>
      </c>
      <c r="X1052" t="s">
        <v>473</v>
      </c>
      <c r="Y1052" t="s">
        <v>474</v>
      </c>
      <c r="Z1052" t="s">
        <v>473</v>
      </c>
      <c r="AA1052" t="s">
        <v>473</v>
      </c>
      <c r="AB1052" t="s">
        <v>473</v>
      </c>
      <c r="AC1052" s="10">
        <v>3</v>
      </c>
      <c r="AD1052" s="10">
        <v>11</v>
      </c>
      <c r="AE1052" t="s">
        <v>473</v>
      </c>
    </row>
    <row r="1053" spans="1:31" x14ac:dyDescent="0.25">
      <c r="A1053">
        <v>9725</v>
      </c>
      <c r="B1053">
        <v>1966</v>
      </c>
      <c r="C1053" t="s">
        <v>33</v>
      </c>
      <c r="D1053" t="s">
        <v>31</v>
      </c>
      <c r="E1053" t="str">
        <f>IF(OR(Table1[[#This Row],[marital_status]]="Married", Table1[[#This Row],[marital_status]]="Together"), "Partnered", "Single")</f>
        <v>Partnered</v>
      </c>
      <c r="F1053" s="7">
        <v>28764</v>
      </c>
      <c r="G1053" s="8">
        <v>1</v>
      </c>
      <c r="H1053" s="8">
        <v>1</v>
      </c>
      <c r="I1053" s="8">
        <f>Table1[[#This Row],[kids]]+Table1[[#This Row],[teens]]</f>
        <v>2</v>
      </c>
      <c r="J1053" s="9">
        <v>41795</v>
      </c>
      <c r="K1053" s="8">
        <v>16</v>
      </c>
      <c r="L1053" s="6">
        <v>8</v>
      </c>
      <c r="M1053" s="5">
        <v>0</v>
      </c>
      <c r="N1053" s="5">
        <v>3</v>
      </c>
      <c r="O1053" s="5">
        <v>0</v>
      </c>
      <c r="P1053" s="5">
        <v>0</v>
      </c>
      <c r="Q1053" s="5">
        <v>1</v>
      </c>
      <c r="R1053" s="8">
        <v>1</v>
      </c>
      <c r="S1053" s="8">
        <v>1</v>
      </c>
      <c r="T1053" s="8">
        <v>0</v>
      </c>
      <c r="U1053" s="8">
        <v>2</v>
      </c>
      <c r="V1053" s="8">
        <v>8</v>
      </c>
      <c r="W1053" t="s">
        <v>474</v>
      </c>
      <c r="X1053" t="s">
        <v>473</v>
      </c>
      <c r="Y1053" t="s">
        <v>473</v>
      </c>
      <c r="Z1053" t="s">
        <v>473</v>
      </c>
      <c r="AA1053" t="s">
        <v>473</v>
      </c>
      <c r="AB1053" t="s">
        <v>473</v>
      </c>
      <c r="AC1053" s="10">
        <v>3</v>
      </c>
      <c r="AD1053" s="10">
        <v>11</v>
      </c>
      <c r="AE1053" t="s">
        <v>473</v>
      </c>
    </row>
    <row r="1054" spans="1:31" x14ac:dyDescent="0.25">
      <c r="A1054">
        <v>4475</v>
      </c>
      <c r="B1054">
        <v>1949</v>
      </c>
      <c r="C1054" t="s">
        <v>33</v>
      </c>
      <c r="D1054" t="s">
        <v>34</v>
      </c>
      <c r="E1054" t="str">
        <f>IF(OR(Table1[[#This Row],[marital_status]]="Married", Table1[[#This Row],[marital_status]]="Together"), "Partnered", "Single")</f>
        <v>Partnered</v>
      </c>
      <c r="F1054" s="7">
        <v>69098</v>
      </c>
      <c r="G1054" s="8">
        <v>0</v>
      </c>
      <c r="H1054" s="8">
        <v>0</v>
      </c>
      <c r="I1054" s="8">
        <f>Table1[[#This Row],[kids]]+Table1[[#This Row],[teens]]</f>
        <v>0</v>
      </c>
      <c r="J1054" s="9">
        <v>41321</v>
      </c>
      <c r="K1054" s="8">
        <v>82</v>
      </c>
      <c r="L1054" s="6">
        <v>1315</v>
      </c>
      <c r="M1054" s="5">
        <v>22</v>
      </c>
      <c r="N1054" s="5">
        <v>780</v>
      </c>
      <c r="O1054" s="5">
        <v>145</v>
      </c>
      <c r="P1054" s="5">
        <v>0</v>
      </c>
      <c r="Q1054" s="5">
        <v>178</v>
      </c>
      <c r="R1054" s="8">
        <v>1</v>
      </c>
      <c r="S1054" s="8">
        <v>7</v>
      </c>
      <c r="T1054" s="8">
        <v>8</v>
      </c>
      <c r="U1054" s="8">
        <v>9</v>
      </c>
      <c r="V1054" s="8">
        <v>5</v>
      </c>
      <c r="W1054" t="s">
        <v>473</v>
      </c>
      <c r="X1054" t="s">
        <v>473</v>
      </c>
      <c r="Y1054" t="s">
        <v>473</v>
      </c>
      <c r="Z1054" t="s">
        <v>473</v>
      </c>
      <c r="AA1054" t="s">
        <v>473</v>
      </c>
      <c r="AB1054" t="s">
        <v>473</v>
      </c>
      <c r="AC1054" s="10">
        <v>3</v>
      </c>
      <c r="AD1054" s="10">
        <v>11</v>
      </c>
      <c r="AE1054" t="s">
        <v>473</v>
      </c>
    </row>
    <row r="1055" spans="1:31" x14ac:dyDescent="0.25">
      <c r="A1055">
        <v>5740</v>
      </c>
      <c r="B1055">
        <v>1970</v>
      </c>
      <c r="C1055" t="s">
        <v>46</v>
      </c>
      <c r="D1055" t="s">
        <v>37</v>
      </c>
      <c r="E1055" t="str">
        <f>IF(OR(Table1[[#This Row],[marital_status]]="Married", Table1[[#This Row],[marital_status]]="Together"), "Partnered", "Single")</f>
        <v>Single</v>
      </c>
      <c r="F1055" s="7">
        <v>25959</v>
      </c>
      <c r="G1055" s="8">
        <v>1</v>
      </c>
      <c r="H1055" s="8">
        <v>1</v>
      </c>
      <c r="I1055" s="8">
        <f>Table1[[#This Row],[kids]]+Table1[[#This Row],[teens]]</f>
        <v>2</v>
      </c>
      <c r="J1055" s="9">
        <v>41319</v>
      </c>
      <c r="K1055" s="8">
        <v>1</v>
      </c>
      <c r="L1055" s="6">
        <v>4</v>
      </c>
      <c r="M1055" s="5">
        <v>2</v>
      </c>
      <c r="N1055" s="5">
        <v>12</v>
      </c>
      <c r="O1055" s="5">
        <v>7</v>
      </c>
      <c r="P1055" s="5">
        <v>5</v>
      </c>
      <c r="Q1055" s="5">
        <v>26</v>
      </c>
      <c r="R1055" s="8">
        <v>2</v>
      </c>
      <c r="S1055" s="8">
        <v>1</v>
      </c>
      <c r="T1055" s="8">
        <v>2</v>
      </c>
      <c r="U1055" s="8">
        <v>2</v>
      </c>
      <c r="V1055" s="8">
        <v>6</v>
      </c>
      <c r="W1055" t="s">
        <v>473</v>
      </c>
      <c r="X1055" t="s">
        <v>473</v>
      </c>
      <c r="Y1055" t="s">
        <v>473</v>
      </c>
      <c r="Z1055" t="s">
        <v>473</v>
      </c>
      <c r="AA1055" t="s">
        <v>473</v>
      </c>
      <c r="AB1055" t="s">
        <v>473</v>
      </c>
      <c r="AC1055" s="10">
        <v>3</v>
      </c>
      <c r="AD1055" s="10">
        <v>11</v>
      </c>
      <c r="AE1055" t="s">
        <v>474</v>
      </c>
    </row>
    <row r="1056" spans="1:31" x14ac:dyDescent="0.25">
      <c r="A1056">
        <v>5731</v>
      </c>
      <c r="B1056">
        <v>1983</v>
      </c>
      <c r="C1056" t="s">
        <v>36</v>
      </c>
      <c r="D1056" t="s">
        <v>34</v>
      </c>
      <c r="E1056" t="str">
        <f>IF(OR(Table1[[#This Row],[marital_status]]="Married", Table1[[#This Row],[marital_status]]="Together"), "Partnered", "Single")</f>
        <v>Partnered</v>
      </c>
      <c r="F1056" s="7">
        <v>27100</v>
      </c>
      <c r="G1056" s="8">
        <v>1</v>
      </c>
      <c r="H1056" s="8">
        <v>0</v>
      </c>
      <c r="I1056" s="8">
        <f>Table1[[#This Row],[kids]]+Table1[[#This Row],[teens]]</f>
        <v>1</v>
      </c>
      <c r="J1056" s="9">
        <v>41369</v>
      </c>
      <c r="K1056" s="8">
        <v>64</v>
      </c>
      <c r="L1056" s="6">
        <v>12</v>
      </c>
      <c r="M1056" s="5">
        <v>0</v>
      </c>
      <c r="N1056" s="5">
        <v>13</v>
      </c>
      <c r="O1056" s="5">
        <v>2</v>
      </c>
      <c r="P1056" s="5">
        <v>0</v>
      </c>
      <c r="Q1056" s="5">
        <v>10</v>
      </c>
      <c r="R1056" s="8">
        <v>1</v>
      </c>
      <c r="S1056" s="8">
        <v>1</v>
      </c>
      <c r="T1056" s="8">
        <v>0</v>
      </c>
      <c r="U1056" s="8">
        <v>3</v>
      </c>
      <c r="V1056" s="8">
        <v>7</v>
      </c>
      <c r="W1056" t="s">
        <v>473</v>
      </c>
      <c r="X1056" t="s">
        <v>473</v>
      </c>
      <c r="Y1056" t="s">
        <v>473</v>
      </c>
      <c r="Z1056" t="s">
        <v>473</v>
      </c>
      <c r="AA1056" t="s">
        <v>473</v>
      </c>
      <c r="AB1056" t="s">
        <v>473</v>
      </c>
      <c r="AC1056" s="10">
        <v>3</v>
      </c>
      <c r="AD1056" s="10">
        <v>11</v>
      </c>
      <c r="AE1056" t="s">
        <v>473</v>
      </c>
    </row>
    <row r="1057" spans="1:31" x14ac:dyDescent="0.25">
      <c r="A1057">
        <v>7290</v>
      </c>
      <c r="B1057">
        <v>1985</v>
      </c>
      <c r="C1057" t="s">
        <v>466</v>
      </c>
      <c r="D1057" t="s">
        <v>30</v>
      </c>
      <c r="E1057" t="str">
        <f>IF(OR(Table1[[#This Row],[marital_status]]="Married", Table1[[#This Row],[marital_status]]="Together"), "Partnered", "Single")</f>
        <v>Single</v>
      </c>
      <c r="F1057" s="7">
        <v>70596</v>
      </c>
      <c r="G1057" s="8">
        <v>0</v>
      </c>
      <c r="H1057" s="8">
        <v>0</v>
      </c>
      <c r="I1057" s="8">
        <f>Table1[[#This Row],[kids]]+Table1[[#This Row],[teens]]</f>
        <v>0</v>
      </c>
      <c r="J1057" s="9">
        <v>41187</v>
      </c>
      <c r="K1057" s="8">
        <v>68</v>
      </c>
      <c r="L1057" s="6">
        <v>347</v>
      </c>
      <c r="M1057" s="5">
        <v>44</v>
      </c>
      <c r="N1057" s="5">
        <v>534</v>
      </c>
      <c r="O1057" s="5">
        <v>17</v>
      </c>
      <c r="P1057" s="5">
        <v>0</v>
      </c>
      <c r="Q1057" s="5">
        <v>26</v>
      </c>
      <c r="R1057" s="8">
        <v>1</v>
      </c>
      <c r="S1057" s="8">
        <v>3</v>
      </c>
      <c r="T1057" s="8">
        <v>5</v>
      </c>
      <c r="U1057" s="8">
        <v>12</v>
      </c>
      <c r="V1057" s="8">
        <v>2</v>
      </c>
      <c r="W1057" t="s">
        <v>473</v>
      </c>
      <c r="X1057" t="s">
        <v>473</v>
      </c>
      <c r="Y1057" t="s">
        <v>473</v>
      </c>
      <c r="Z1057" t="s">
        <v>473</v>
      </c>
      <c r="AA1057" t="s">
        <v>473</v>
      </c>
      <c r="AB1057" t="s">
        <v>473</v>
      </c>
      <c r="AC1057" s="10">
        <v>3</v>
      </c>
      <c r="AD1057" s="10">
        <v>11</v>
      </c>
      <c r="AE1057" t="s">
        <v>473</v>
      </c>
    </row>
    <row r="1058" spans="1:31" x14ac:dyDescent="0.25">
      <c r="A1058">
        <v>3846</v>
      </c>
      <c r="B1058">
        <v>1974</v>
      </c>
      <c r="C1058" t="s">
        <v>466</v>
      </c>
      <c r="D1058" t="s">
        <v>34</v>
      </c>
      <c r="E1058" t="str">
        <f>IF(OR(Table1[[#This Row],[marital_status]]="Married", Table1[[#This Row],[marital_status]]="Together"), "Partnered", "Single")</f>
        <v>Partnered</v>
      </c>
      <c r="F1058" s="7">
        <v>42557</v>
      </c>
      <c r="G1058" s="8">
        <v>0</v>
      </c>
      <c r="H1058" s="8">
        <v>1</v>
      </c>
      <c r="I1058" s="8">
        <f>Table1[[#This Row],[kids]]+Table1[[#This Row],[teens]]</f>
        <v>1</v>
      </c>
      <c r="J1058" s="9">
        <v>41150</v>
      </c>
      <c r="K1058" s="8">
        <v>98</v>
      </c>
      <c r="L1058" s="6">
        <v>192</v>
      </c>
      <c r="M1058" s="5">
        <v>5</v>
      </c>
      <c r="N1058" s="5">
        <v>53</v>
      </c>
      <c r="O1058" s="5">
        <v>0</v>
      </c>
      <c r="P1058" s="5">
        <v>5</v>
      </c>
      <c r="Q1058" s="5">
        <v>15</v>
      </c>
      <c r="R1058" s="8">
        <v>4</v>
      </c>
      <c r="S1058" s="8">
        <v>6</v>
      </c>
      <c r="T1058" s="8">
        <v>1</v>
      </c>
      <c r="U1058" s="8">
        <v>4</v>
      </c>
      <c r="V1058" s="8">
        <v>8</v>
      </c>
      <c r="W1058" t="s">
        <v>473</v>
      </c>
      <c r="X1058" t="s">
        <v>473</v>
      </c>
      <c r="Y1058" t="s">
        <v>473</v>
      </c>
      <c r="Z1058" t="s">
        <v>473</v>
      </c>
      <c r="AA1058" t="s">
        <v>473</v>
      </c>
      <c r="AB1058" t="s">
        <v>473</v>
      </c>
      <c r="AC1058" s="10">
        <v>3</v>
      </c>
      <c r="AD1058" s="10">
        <v>11</v>
      </c>
      <c r="AE1058" t="s">
        <v>473</v>
      </c>
    </row>
    <row r="1059" spans="1:31" x14ac:dyDescent="0.25">
      <c r="A1059">
        <v>8104</v>
      </c>
      <c r="B1059">
        <v>1951</v>
      </c>
      <c r="C1059" t="s">
        <v>33</v>
      </c>
      <c r="D1059" t="s">
        <v>34</v>
      </c>
      <c r="E1059" t="str">
        <f>IF(OR(Table1[[#This Row],[marital_status]]="Married", Table1[[#This Row],[marital_status]]="Together"), "Partnered", "Single")</f>
        <v>Partnered</v>
      </c>
      <c r="F1059" s="7">
        <v>53312</v>
      </c>
      <c r="G1059" s="8">
        <v>0</v>
      </c>
      <c r="H1059" s="8">
        <v>0</v>
      </c>
      <c r="I1059" s="8">
        <f>Table1[[#This Row],[kids]]+Table1[[#This Row],[teens]]</f>
        <v>0</v>
      </c>
      <c r="J1059" s="9">
        <v>41495</v>
      </c>
      <c r="K1059" s="8">
        <v>32</v>
      </c>
      <c r="L1059" s="6">
        <v>241</v>
      </c>
      <c r="M1059" s="5">
        <v>0</v>
      </c>
      <c r="N1059" s="5">
        <v>12</v>
      </c>
      <c r="O1059" s="5">
        <v>0</v>
      </c>
      <c r="P1059" s="5">
        <v>0</v>
      </c>
      <c r="Q1059" s="5">
        <v>25</v>
      </c>
      <c r="R1059" s="8">
        <v>1</v>
      </c>
      <c r="S1059" s="8">
        <v>5</v>
      </c>
      <c r="T1059" s="8">
        <v>1</v>
      </c>
      <c r="U1059" s="8">
        <v>5</v>
      </c>
      <c r="V1059" s="8">
        <v>7</v>
      </c>
      <c r="W1059" t="s">
        <v>473</v>
      </c>
      <c r="X1059" t="s">
        <v>473</v>
      </c>
      <c r="Y1059" t="s">
        <v>473</v>
      </c>
      <c r="Z1059" t="s">
        <v>473</v>
      </c>
      <c r="AA1059" t="s">
        <v>473</v>
      </c>
      <c r="AB1059" t="s">
        <v>473</v>
      </c>
      <c r="AC1059" s="10">
        <v>3</v>
      </c>
      <c r="AD1059" s="10">
        <v>11</v>
      </c>
      <c r="AE1059" t="s">
        <v>473</v>
      </c>
    </row>
    <row r="1060" spans="1:31" x14ac:dyDescent="0.25">
      <c r="A1060">
        <v>4507</v>
      </c>
      <c r="B1060">
        <v>1952</v>
      </c>
      <c r="C1060" t="s">
        <v>466</v>
      </c>
      <c r="D1060" t="s">
        <v>30</v>
      </c>
      <c r="E1060" t="str">
        <f>IF(OR(Table1[[#This Row],[marital_status]]="Married", Table1[[#This Row],[marital_status]]="Together"), "Partnered", "Single")</f>
        <v>Single</v>
      </c>
      <c r="F1060" s="7">
        <v>72228</v>
      </c>
      <c r="G1060" s="8">
        <v>0</v>
      </c>
      <c r="H1060" s="8">
        <v>0</v>
      </c>
      <c r="I1060" s="8">
        <f>Table1[[#This Row],[kids]]+Table1[[#This Row],[teens]]</f>
        <v>0</v>
      </c>
      <c r="J1060" s="9">
        <v>41240</v>
      </c>
      <c r="K1060" s="8">
        <v>87</v>
      </c>
      <c r="L1060" s="6">
        <v>631</v>
      </c>
      <c r="M1060" s="5">
        <v>28</v>
      </c>
      <c r="N1060" s="5">
        <v>491</v>
      </c>
      <c r="O1060" s="5">
        <v>30</v>
      </c>
      <c r="P1060" s="5">
        <v>14</v>
      </c>
      <c r="Q1060" s="5">
        <v>56</v>
      </c>
      <c r="R1060" s="8">
        <v>1</v>
      </c>
      <c r="S1060" s="8">
        <v>6</v>
      </c>
      <c r="T1060" s="8">
        <v>7</v>
      </c>
      <c r="U1060" s="8">
        <v>8</v>
      </c>
      <c r="V1060" s="8">
        <v>3</v>
      </c>
      <c r="W1060" t="s">
        <v>473</v>
      </c>
      <c r="X1060" t="s">
        <v>473</v>
      </c>
      <c r="Y1060" t="s">
        <v>473</v>
      </c>
      <c r="Z1060" t="s">
        <v>473</v>
      </c>
      <c r="AA1060" t="s">
        <v>473</v>
      </c>
      <c r="AB1060" t="s">
        <v>473</v>
      </c>
      <c r="AC1060" s="10">
        <v>3</v>
      </c>
      <c r="AD1060" s="10">
        <v>11</v>
      </c>
      <c r="AE1060" t="s">
        <v>473</v>
      </c>
    </row>
    <row r="1061" spans="1:31" x14ac:dyDescent="0.25">
      <c r="A1061">
        <v>11013</v>
      </c>
      <c r="B1061">
        <v>1987</v>
      </c>
      <c r="C1061" t="s">
        <v>466</v>
      </c>
      <c r="D1061" t="s">
        <v>31</v>
      </c>
      <c r="E1061" t="str">
        <f>IF(OR(Table1[[#This Row],[marital_status]]="Married", Table1[[#This Row],[marital_status]]="Together"), "Partnered", "Single")</f>
        <v>Partnered</v>
      </c>
      <c r="F1061" s="7">
        <v>67605</v>
      </c>
      <c r="G1061" s="8">
        <v>0</v>
      </c>
      <c r="H1061" s="8">
        <v>0</v>
      </c>
      <c r="I1061" s="8">
        <f>Table1[[#This Row],[kids]]+Table1[[#This Row],[teens]]</f>
        <v>0</v>
      </c>
      <c r="J1061" s="9">
        <v>41364</v>
      </c>
      <c r="K1061" s="8">
        <v>84</v>
      </c>
      <c r="L1061" s="6">
        <v>336</v>
      </c>
      <c r="M1061" s="5">
        <v>28</v>
      </c>
      <c r="N1061" s="5">
        <v>282</v>
      </c>
      <c r="O1061" s="5">
        <v>184</v>
      </c>
      <c r="P1061" s="5">
        <v>54</v>
      </c>
      <c r="Q1061" s="5">
        <v>54</v>
      </c>
      <c r="R1061" s="8">
        <v>1</v>
      </c>
      <c r="S1061" s="8">
        <v>2</v>
      </c>
      <c r="T1061" s="8">
        <v>8</v>
      </c>
      <c r="U1061" s="8">
        <v>6</v>
      </c>
      <c r="V1061" s="8">
        <v>1</v>
      </c>
      <c r="W1061" t="s">
        <v>473</v>
      </c>
      <c r="X1061" t="s">
        <v>473</v>
      </c>
      <c r="Y1061" t="s">
        <v>473</v>
      </c>
      <c r="Z1061" t="s">
        <v>473</v>
      </c>
      <c r="AA1061" t="s">
        <v>473</v>
      </c>
      <c r="AB1061" t="s">
        <v>473</v>
      </c>
      <c r="AC1061" s="10">
        <v>3</v>
      </c>
      <c r="AD1061" s="10">
        <v>11</v>
      </c>
      <c r="AE1061" t="s">
        <v>473</v>
      </c>
    </row>
    <row r="1062" spans="1:31" x14ac:dyDescent="0.25">
      <c r="A1062">
        <v>4491</v>
      </c>
      <c r="B1062">
        <v>1949</v>
      </c>
      <c r="C1062" t="s">
        <v>36</v>
      </c>
      <c r="D1062" t="s">
        <v>34</v>
      </c>
      <c r="E1062" t="str">
        <f>IF(OR(Table1[[#This Row],[marital_status]]="Married", Table1[[#This Row],[marital_status]]="Together"), "Partnered", "Single")</f>
        <v>Partnered</v>
      </c>
      <c r="F1062" s="7">
        <v>62845</v>
      </c>
      <c r="G1062" s="8">
        <v>1</v>
      </c>
      <c r="H1062" s="8">
        <v>1</v>
      </c>
      <c r="I1062" s="8">
        <f>Table1[[#This Row],[kids]]+Table1[[#This Row],[teens]]</f>
        <v>2</v>
      </c>
      <c r="J1062" s="9">
        <v>41183</v>
      </c>
      <c r="K1062" s="8">
        <v>3</v>
      </c>
      <c r="L1062" s="6">
        <v>1099</v>
      </c>
      <c r="M1062" s="5">
        <v>0</v>
      </c>
      <c r="N1062" s="5">
        <v>45</v>
      </c>
      <c r="O1062" s="5">
        <v>0</v>
      </c>
      <c r="P1062" s="5">
        <v>0</v>
      </c>
      <c r="Q1062" s="5">
        <v>34</v>
      </c>
      <c r="R1062" s="8">
        <v>11</v>
      </c>
      <c r="S1062" s="8">
        <v>3</v>
      </c>
      <c r="T1062" s="8">
        <v>4</v>
      </c>
      <c r="U1062" s="8">
        <v>10</v>
      </c>
      <c r="V1062" s="8">
        <v>8</v>
      </c>
      <c r="W1062" t="s">
        <v>473</v>
      </c>
      <c r="X1062" t="s">
        <v>474</v>
      </c>
      <c r="Y1062" t="s">
        <v>473</v>
      </c>
      <c r="Z1062" t="s">
        <v>473</v>
      </c>
      <c r="AA1062" t="s">
        <v>473</v>
      </c>
      <c r="AB1062" t="s">
        <v>473</v>
      </c>
      <c r="AC1062" s="10">
        <v>3</v>
      </c>
      <c r="AD1062" s="10">
        <v>11</v>
      </c>
      <c r="AE1062" t="s">
        <v>473</v>
      </c>
    </row>
    <row r="1063" spans="1:31" x14ac:dyDescent="0.25">
      <c r="A1063">
        <v>3759</v>
      </c>
      <c r="B1063">
        <v>1958</v>
      </c>
      <c r="C1063" t="s">
        <v>466</v>
      </c>
      <c r="D1063" t="s">
        <v>31</v>
      </c>
      <c r="E1063" t="str">
        <f>IF(OR(Table1[[#This Row],[marital_status]]="Married", Table1[[#This Row],[marital_status]]="Together"), "Partnered", "Single")</f>
        <v>Partnered</v>
      </c>
      <c r="F1063" s="7">
        <v>65196</v>
      </c>
      <c r="G1063" s="8">
        <v>0</v>
      </c>
      <c r="H1063" s="8">
        <v>2</v>
      </c>
      <c r="I1063" s="8">
        <f>Table1[[#This Row],[kids]]+Table1[[#This Row],[teens]]</f>
        <v>2</v>
      </c>
      <c r="J1063" s="9">
        <v>41480</v>
      </c>
      <c r="K1063" s="8">
        <v>34</v>
      </c>
      <c r="L1063" s="6">
        <v>743</v>
      </c>
      <c r="M1063" s="5">
        <v>19</v>
      </c>
      <c r="N1063" s="5">
        <v>181</v>
      </c>
      <c r="O1063" s="5">
        <v>12</v>
      </c>
      <c r="P1063" s="5">
        <v>0</v>
      </c>
      <c r="Q1063" s="5">
        <v>200</v>
      </c>
      <c r="R1063" s="8">
        <v>2</v>
      </c>
      <c r="S1063" s="8">
        <v>7</v>
      </c>
      <c r="T1063" s="8">
        <v>6</v>
      </c>
      <c r="U1063" s="8">
        <v>11</v>
      </c>
      <c r="V1063" s="8">
        <v>5</v>
      </c>
      <c r="W1063" t="s">
        <v>474</v>
      </c>
      <c r="X1063" t="s">
        <v>473</v>
      </c>
      <c r="Y1063" t="s">
        <v>473</v>
      </c>
      <c r="Z1063" t="s">
        <v>473</v>
      </c>
      <c r="AA1063" t="s">
        <v>473</v>
      </c>
      <c r="AB1063" t="s">
        <v>473</v>
      </c>
      <c r="AC1063" s="10">
        <v>3</v>
      </c>
      <c r="AD1063" s="10">
        <v>11</v>
      </c>
      <c r="AE1063" t="s">
        <v>473</v>
      </c>
    </row>
    <row r="1064" spans="1:31" x14ac:dyDescent="0.25">
      <c r="A1064">
        <v>1162</v>
      </c>
      <c r="B1064">
        <v>1987</v>
      </c>
      <c r="C1064" t="s">
        <v>33</v>
      </c>
      <c r="D1064" t="s">
        <v>30</v>
      </c>
      <c r="E1064" t="str">
        <f>IF(OR(Table1[[#This Row],[marital_status]]="Married", Table1[[#This Row],[marital_status]]="Together"), "Partnered", "Single")</f>
        <v>Single</v>
      </c>
      <c r="F1064" s="7">
        <v>42000</v>
      </c>
      <c r="G1064" s="8">
        <v>0</v>
      </c>
      <c r="H1064" s="8">
        <v>0</v>
      </c>
      <c r="I1064" s="8">
        <f>Table1[[#This Row],[kids]]+Table1[[#This Row],[teens]]</f>
        <v>0</v>
      </c>
      <c r="J1064" s="9">
        <v>41284</v>
      </c>
      <c r="K1064" s="8">
        <v>23</v>
      </c>
      <c r="L1064" s="6">
        <v>124</v>
      </c>
      <c r="M1064" s="5">
        <v>83</v>
      </c>
      <c r="N1064" s="5">
        <v>267</v>
      </c>
      <c r="O1064" s="5">
        <v>85</v>
      </c>
      <c r="P1064" s="5">
        <v>59</v>
      </c>
      <c r="Q1064" s="5">
        <v>35</v>
      </c>
      <c r="R1064" s="8">
        <v>2</v>
      </c>
      <c r="S1064" s="8">
        <v>5</v>
      </c>
      <c r="T1064" s="8">
        <v>2</v>
      </c>
      <c r="U1064" s="8">
        <v>11</v>
      </c>
      <c r="V1064" s="8">
        <v>5</v>
      </c>
      <c r="W1064" t="s">
        <v>473</v>
      </c>
      <c r="X1064" t="s">
        <v>473</v>
      </c>
      <c r="Y1064" t="s">
        <v>473</v>
      </c>
      <c r="Z1064" t="s">
        <v>473</v>
      </c>
      <c r="AA1064" t="s">
        <v>473</v>
      </c>
      <c r="AB1064" t="s">
        <v>473</v>
      </c>
      <c r="AC1064" s="10">
        <v>3</v>
      </c>
      <c r="AD1064" s="10">
        <v>11</v>
      </c>
      <c r="AE1064" t="s">
        <v>474</v>
      </c>
    </row>
    <row r="1065" spans="1:31" x14ac:dyDescent="0.25">
      <c r="A1065">
        <v>2055</v>
      </c>
      <c r="B1065">
        <v>1973</v>
      </c>
      <c r="C1065" t="s">
        <v>33</v>
      </c>
      <c r="D1065" t="s">
        <v>37</v>
      </c>
      <c r="E1065" t="str">
        <f>IF(OR(Table1[[#This Row],[marital_status]]="Married", Table1[[#This Row],[marital_status]]="Together"), "Partnered", "Single")</f>
        <v>Single</v>
      </c>
      <c r="F1065" s="7">
        <v>35860</v>
      </c>
      <c r="G1065" s="8">
        <v>1</v>
      </c>
      <c r="H1065" s="8">
        <v>1</v>
      </c>
      <c r="I1065" s="8">
        <f>Table1[[#This Row],[kids]]+Table1[[#This Row],[teens]]</f>
        <v>2</v>
      </c>
      <c r="J1065" s="9">
        <v>41778</v>
      </c>
      <c r="K1065" s="8">
        <v>37</v>
      </c>
      <c r="L1065" s="6">
        <v>15</v>
      </c>
      <c r="M1065" s="5">
        <v>0</v>
      </c>
      <c r="N1065" s="5">
        <v>8</v>
      </c>
      <c r="O1065" s="5">
        <v>4</v>
      </c>
      <c r="P1065" s="5">
        <v>2</v>
      </c>
      <c r="Q1065" s="5">
        <v>20</v>
      </c>
      <c r="R1065" s="8">
        <v>2</v>
      </c>
      <c r="S1065" s="8">
        <v>1</v>
      </c>
      <c r="T1065" s="8">
        <v>1</v>
      </c>
      <c r="U1065" s="8">
        <v>2</v>
      </c>
      <c r="V1065" s="8">
        <v>5</v>
      </c>
      <c r="W1065" t="s">
        <v>474</v>
      </c>
      <c r="X1065" t="s">
        <v>473</v>
      </c>
      <c r="Y1065" t="s">
        <v>473</v>
      </c>
      <c r="Z1065" t="s">
        <v>473</v>
      </c>
      <c r="AA1065" t="s">
        <v>473</v>
      </c>
      <c r="AB1065" t="s">
        <v>473</v>
      </c>
      <c r="AC1065" s="10">
        <v>3</v>
      </c>
      <c r="AD1065" s="10">
        <v>11</v>
      </c>
      <c r="AE1065" t="s">
        <v>473</v>
      </c>
    </row>
    <row r="1066" spans="1:31" x14ac:dyDescent="0.25">
      <c r="A1066">
        <v>10766</v>
      </c>
      <c r="B1066">
        <v>1964</v>
      </c>
      <c r="C1066" t="s">
        <v>33</v>
      </c>
      <c r="D1066" t="s">
        <v>34</v>
      </c>
      <c r="E1066" t="str">
        <f>IF(OR(Table1[[#This Row],[marital_status]]="Married", Table1[[#This Row],[marital_status]]="Together"), "Partnered", "Single")</f>
        <v>Partnered</v>
      </c>
      <c r="F1066" s="7">
        <v>65526</v>
      </c>
      <c r="G1066" s="8">
        <v>0</v>
      </c>
      <c r="H1066" s="8">
        <v>1</v>
      </c>
      <c r="I1066" s="8">
        <f>Table1[[#This Row],[kids]]+Table1[[#This Row],[teens]]</f>
        <v>1</v>
      </c>
      <c r="J1066" s="9">
        <v>41740</v>
      </c>
      <c r="K1066" s="8">
        <v>22</v>
      </c>
      <c r="L1066" s="6">
        <v>397</v>
      </c>
      <c r="M1066" s="5">
        <v>19</v>
      </c>
      <c r="N1066" s="5">
        <v>69</v>
      </c>
      <c r="O1066" s="5">
        <v>12</v>
      </c>
      <c r="P1066" s="5">
        <v>0</v>
      </c>
      <c r="Q1066" s="5">
        <v>9</v>
      </c>
      <c r="R1066" s="8">
        <v>1</v>
      </c>
      <c r="S1066" s="8">
        <v>4</v>
      </c>
      <c r="T1066" s="8">
        <v>4</v>
      </c>
      <c r="U1066" s="8">
        <v>8</v>
      </c>
      <c r="V1066" s="8">
        <v>2</v>
      </c>
      <c r="W1066" t="s">
        <v>473</v>
      </c>
      <c r="X1066" t="s">
        <v>473</v>
      </c>
      <c r="Y1066" t="s">
        <v>473</v>
      </c>
      <c r="Z1066" t="s">
        <v>473</v>
      </c>
      <c r="AA1066" t="s">
        <v>473</v>
      </c>
      <c r="AB1066" t="s">
        <v>473</v>
      </c>
      <c r="AC1066" s="10">
        <v>3</v>
      </c>
      <c r="AD1066" s="10">
        <v>11</v>
      </c>
      <c r="AE1066" t="s">
        <v>473</v>
      </c>
    </row>
    <row r="1067" spans="1:31" x14ac:dyDescent="0.25">
      <c r="A1067">
        <v>4415</v>
      </c>
      <c r="B1067">
        <v>1961</v>
      </c>
      <c r="C1067" t="s">
        <v>466</v>
      </c>
      <c r="D1067" t="s">
        <v>34</v>
      </c>
      <c r="E1067" t="str">
        <f>IF(OR(Table1[[#This Row],[marital_status]]="Married", Table1[[#This Row],[marital_status]]="Together"), "Partnered", "Single")</f>
        <v>Partnered</v>
      </c>
      <c r="F1067" s="7">
        <v>16860</v>
      </c>
      <c r="G1067" s="8">
        <v>1</v>
      </c>
      <c r="H1067" s="8">
        <v>1</v>
      </c>
      <c r="I1067" s="8">
        <f>Table1[[#This Row],[kids]]+Table1[[#This Row],[teens]]</f>
        <v>2</v>
      </c>
      <c r="J1067" s="9">
        <v>41164</v>
      </c>
      <c r="K1067" s="8">
        <v>19</v>
      </c>
      <c r="L1067" s="6">
        <v>10</v>
      </c>
      <c r="M1067" s="5">
        <v>4</v>
      </c>
      <c r="N1067" s="5">
        <v>4</v>
      </c>
      <c r="O1067" s="5">
        <v>3</v>
      </c>
      <c r="P1067" s="5">
        <v>3</v>
      </c>
      <c r="Q1067" s="5">
        <v>14</v>
      </c>
      <c r="R1067" s="8">
        <v>3</v>
      </c>
      <c r="S1067" s="8">
        <v>1</v>
      </c>
      <c r="T1067" s="8">
        <v>1</v>
      </c>
      <c r="U1067" s="8">
        <v>3</v>
      </c>
      <c r="V1067" s="8">
        <v>7</v>
      </c>
      <c r="W1067" t="s">
        <v>473</v>
      </c>
      <c r="X1067" t="s">
        <v>473</v>
      </c>
      <c r="Y1067" t="s">
        <v>473</v>
      </c>
      <c r="Z1067" t="s">
        <v>473</v>
      </c>
      <c r="AA1067" t="s">
        <v>473</v>
      </c>
      <c r="AB1067" t="s">
        <v>473</v>
      </c>
      <c r="AC1067" s="10">
        <v>3</v>
      </c>
      <c r="AD1067" s="10">
        <v>11</v>
      </c>
      <c r="AE1067" t="s">
        <v>473</v>
      </c>
    </row>
    <row r="1068" spans="1:31" x14ac:dyDescent="0.25">
      <c r="A1068">
        <v>3005</v>
      </c>
      <c r="B1068">
        <v>1992</v>
      </c>
      <c r="C1068" t="s">
        <v>466</v>
      </c>
      <c r="D1068" t="s">
        <v>30</v>
      </c>
      <c r="E1068" t="str">
        <f>IF(OR(Table1[[#This Row],[marital_status]]="Married", Table1[[#This Row],[marital_status]]="Together"), "Partnered", "Single")</f>
        <v>Single</v>
      </c>
      <c r="F1068" s="7">
        <v>83528</v>
      </c>
      <c r="G1068" s="8">
        <v>0</v>
      </c>
      <c r="H1068" s="8">
        <v>0</v>
      </c>
      <c r="I1068" s="8">
        <f>Table1[[#This Row],[kids]]+Table1[[#This Row],[teens]]</f>
        <v>0</v>
      </c>
      <c r="J1068" s="9">
        <v>41760</v>
      </c>
      <c r="K1068" s="8">
        <v>7</v>
      </c>
      <c r="L1068" s="6">
        <v>530</v>
      </c>
      <c r="M1068" s="5">
        <v>117</v>
      </c>
      <c r="N1068" s="5">
        <v>678</v>
      </c>
      <c r="O1068" s="5">
        <v>134</v>
      </c>
      <c r="P1068" s="5">
        <v>44</v>
      </c>
      <c r="Q1068" s="5">
        <v>147</v>
      </c>
      <c r="R1068" s="8">
        <v>1</v>
      </c>
      <c r="S1068" s="8">
        <v>4</v>
      </c>
      <c r="T1068" s="8">
        <v>10</v>
      </c>
      <c r="U1068" s="8">
        <v>8</v>
      </c>
      <c r="V1068" s="8">
        <v>1</v>
      </c>
      <c r="W1068" t="s">
        <v>474</v>
      </c>
      <c r="X1068" t="s">
        <v>473</v>
      </c>
      <c r="Y1068" t="s">
        <v>473</v>
      </c>
      <c r="Z1068" t="s">
        <v>474</v>
      </c>
      <c r="AA1068" t="s">
        <v>473</v>
      </c>
      <c r="AB1068" t="s">
        <v>473</v>
      </c>
      <c r="AC1068" s="10">
        <v>3</v>
      </c>
      <c r="AD1068" s="10">
        <v>11</v>
      </c>
      <c r="AE1068" t="s">
        <v>474</v>
      </c>
    </row>
    <row r="1069" spans="1:31" x14ac:dyDescent="0.25">
      <c r="A1069">
        <v>2223</v>
      </c>
      <c r="B1069">
        <v>1965</v>
      </c>
      <c r="C1069" t="s">
        <v>46</v>
      </c>
      <c r="D1069" t="s">
        <v>37</v>
      </c>
      <c r="E1069" t="str">
        <f>IF(OR(Table1[[#This Row],[marital_status]]="Married", Table1[[#This Row],[marital_status]]="Together"), "Partnered", "Single")</f>
        <v>Single</v>
      </c>
      <c r="F1069" s="7">
        <v>64176</v>
      </c>
      <c r="G1069" s="8">
        <v>0</v>
      </c>
      <c r="H1069" s="8">
        <v>1</v>
      </c>
      <c r="I1069" s="8">
        <f>Table1[[#This Row],[kids]]+Table1[[#This Row],[teens]]</f>
        <v>1</v>
      </c>
      <c r="J1069" s="9">
        <v>41124</v>
      </c>
      <c r="K1069" s="8">
        <v>52</v>
      </c>
      <c r="L1069" s="6">
        <v>1215</v>
      </c>
      <c r="M1069" s="5">
        <v>33</v>
      </c>
      <c r="N1069" s="5">
        <v>249</v>
      </c>
      <c r="O1069" s="5">
        <v>64</v>
      </c>
      <c r="P1069" s="5">
        <v>116</v>
      </c>
      <c r="Q1069" s="5">
        <v>149</v>
      </c>
      <c r="R1069" s="8">
        <v>8</v>
      </c>
      <c r="S1069" s="8">
        <v>8</v>
      </c>
      <c r="T1069" s="8">
        <v>9</v>
      </c>
      <c r="U1069" s="8">
        <v>8</v>
      </c>
      <c r="V1069" s="8">
        <v>6</v>
      </c>
      <c r="W1069" t="s">
        <v>473</v>
      </c>
      <c r="X1069" t="s">
        <v>473</v>
      </c>
      <c r="Y1069" t="s">
        <v>473</v>
      </c>
      <c r="Z1069" t="s">
        <v>473</v>
      </c>
      <c r="AA1069" t="s">
        <v>473</v>
      </c>
      <c r="AB1069" t="s">
        <v>473</v>
      </c>
      <c r="AC1069" s="10">
        <v>3</v>
      </c>
      <c r="AD1069" s="10">
        <v>11</v>
      </c>
      <c r="AE1069" t="s">
        <v>473</v>
      </c>
    </row>
    <row r="1070" spans="1:31" x14ac:dyDescent="0.25">
      <c r="A1070">
        <v>4817</v>
      </c>
      <c r="B1070">
        <v>1956</v>
      </c>
      <c r="C1070" t="s">
        <v>466</v>
      </c>
      <c r="D1070" t="s">
        <v>37</v>
      </c>
      <c r="E1070" t="str">
        <f>IF(OR(Table1[[#This Row],[marital_status]]="Married", Table1[[#This Row],[marital_status]]="Together"), "Partnered", "Single")</f>
        <v>Single</v>
      </c>
      <c r="F1070" s="7">
        <v>22304</v>
      </c>
      <c r="G1070" s="8">
        <v>0</v>
      </c>
      <c r="H1070" s="8">
        <v>0</v>
      </c>
      <c r="I1070" s="8">
        <f>Table1[[#This Row],[kids]]+Table1[[#This Row],[teens]]</f>
        <v>0</v>
      </c>
      <c r="J1070" s="9">
        <v>41125</v>
      </c>
      <c r="K1070" s="8">
        <v>91</v>
      </c>
      <c r="L1070" s="6">
        <v>3</v>
      </c>
      <c r="M1070" s="5">
        <v>2</v>
      </c>
      <c r="N1070" s="5">
        <v>7</v>
      </c>
      <c r="O1070" s="5">
        <v>0</v>
      </c>
      <c r="P1070" s="5">
        <v>4</v>
      </c>
      <c r="Q1070" s="5">
        <v>2</v>
      </c>
      <c r="R1070" s="8">
        <v>1</v>
      </c>
      <c r="S1070" s="8">
        <v>1</v>
      </c>
      <c r="T1070" s="8">
        <v>0</v>
      </c>
      <c r="U1070" s="8">
        <v>2</v>
      </c>
      <c r="V1070" s="8">
        <v>8</v>
      </c>
      <c r="W1070" t="s">
        <v>473</v>
      </c>
      <c r="X1070" t="s">
        <v>473</v>
      </c>
      <c r="Y1070" t="s">
        <v>473</v>
      </c>
      <c r="Z1070" t="s">
        <v>473</v>
      </c>
      <c r="AA1070" t="s">
        <v>473</v>
      </c>
      <c r="AB1070" t="s">
        <v>473</v>
      </c>
      <c r="AC1070" s="10">
        <v>3</v>
      </c>
      <c r="AD1070" s="10">
        <v>11</v>
      </c>
      <c r="AE1070" t="s">
        <v>473</v>
      </c>
    </row>
    <row r="1071" spans="1:31" x14ac:dyDescent="0.25">
      <c r="A1071">
        <v>2875</v>
      </c>
      <c r="B1071">
        <v>1978</v>
      </c>
      <c r="C1071" t="s">
        <v>466</v>
      </c>
      <c r="D1071" t="s">
        <v>34</v>
      </c>
      <c r="E1071" t="str">
        <f>IF(OR(Table1[[#This Row],[marital_status]]="Married", Table1[[#This Row],[marital_status]]="Together"), "Partnered", "Single")</f>
        <v>Partnered</v>
      </c>
      <c r="F1071" s="7">
        <v>67023</v>
      </c>
      <c r="G1071" s="8">
        <v>0</v>
      </c>
      <c r="H1071" s="8">
        <v>0</v>
      </c>
      <c r="I1071" s="8">
        <f>Table1[[#This Row],[kids]]+Table1[[#This Row],[teens]]</f>
        <v>0</v>
      </c>
      <c r="J1071" s="9">
        <v>41702</v>
      </c>
      <c r="K1071" s="8">
        <v>93</v>
      </c>
      <c r="L1071" s="6">
        <v>444</v>
      </c>
      <c r="M1071" s="5">
        <v>44</v>
      </c>
      <c r="N1071" s="5">
        <v>382</v>
      </c>
      <c r="O1071" s="5">
        <v>11</v>
      </c>
      <c r="P1071" s="5">
        <v>8</v>
      </c>
      <c r="Q1071" s="5">
        <v>17</v>
      </c>
      <c r="R1071" s="8">
        <v>1</v>
      </c>
      <c r="S1071" s="8">
        <v>3</v>
      </c>
      <c r="T1071" s="8">
        <v>7</v>
      </c>
      <c r="U1071" s="8">
        <v>13</v>
      </c>
      <c r="V1071" s="8">
        <v>2</v>
      </c>
      <c r="W1071" t="s">
        <v>473</v>
      </c>
      <c r="X1071" t="s">
        <v>473</v>
      </c>
      <c r="Y1071" t="s">
        <v>473</v>
      </c>
      <c r="Z1071" t="s">
        <v>473</v>
      </c>
      <c r="AA1071" t="s">
        <v>473</v>
      </c>
      <c r="AB1071" t="s">
        <v>474</v>
      </c>
      <c r="AC1071" s="10">
        <v>3</v>
      </c>
      <c r="AD1071" s="10">
        <v>11</v>
      </c>
      <c r="AE1071" t="s">
        <v>473</v>
      </c>
    </row>
    <row r="1072" spans="1:31" x14ac:dyDescent="0.25">
      <c r="A1072">
        <v>10536</v>
      </c>
      <c r="B1072">
        <v>1971</v>
      </c>
      <c r="C1072" t="s">
        <v>33</v>
      </c>
      <c r="D1072" t="s">
        <v>31</v>
      </c>
      <c r="E1072" t="str">
        <f>IF(OR(Table1[[#This Row],[marital_status]]="Married", Table1[[#This Row],[marital_status]]="Together"), "Partnered", "Single")</f>
        <v>Partnered</v>
      </c>
      <c r="F1072" s="7">
        <v>32892</v>
      </c>
      <c r="G1072" s="8">
        <v>1</v>
      </c>
      <c r="H1072" s="8">
        <v>0</v>
      </c>
      <c r="I1072" s="8">
        <f>Table1[[#This Row],[kids]]+Table1[[#This Row],[teens]]</f>
        <v>1</v>
      </c>
      <c r="J1072" s="9">
        <v>41784</v>
      </c>
      <c r="K1072" s="8">
        <v>78</v>
      </c>
      <c r="L1072" s="6">
        <v>26</v>
      </c>
      <c r="M1072" s="5">
        <v>0</v>
      </c>
      <c r="N1072" s="5">
        <v>15</v>
      </c>
      <c r="O1072" s="5">
        <v>2</v>
      </c>
      <c r="P1072" s="5">
        <v>1</v>
      </c>
      <c r="Q1072" s="5">
        <v>2</v>
      </c>
      <c r="R1072" s="8">
        <v>2</v>
      </c>
      <c r="S1072" s="8">
        <v>3</v>
      </c>
      <c r="T1072" s="8">
        <v>0</v>
      </c>
      <c r="U1072" s="8">
        <v>3</v>
      </c>
      <c r="V1072" s="8">
        <v>8</v>
      </c>
      <c r="W1072" t="s">
        <v>473</v>
      </c>
      <c r="X1072" t="s">
        <v>473</v>
      </c>
      <c r="Y1072" t="s">
        <v>473</v>
      </c>
      <c r="Z1072" t="s">
        <v>473</v>
      </c>
      <c r="AA1072" t="s">
        <v>473</v>
      </c>
      <c r="AB1072" t="s">
        <v>473</v>
      </c>
      <c r="AC1072" s="10">
        <v>3</v>
      </c>
      <c r="AD1072" s="10">
        <v>11</v>
      </c>
      <c r="AE1072" t="s">
        <v>473</v>
      </c>
    </row>
    <row r="1073" spans="1:31" x14ac:dyDescent="0.25">
      <c r="A1073">
        <v>11112</v>
      </c>
      <c r="B1073">
        <v>1966</v>
      </c>
      <c r="C1073" t="s">
        <v>466</v>
      </c>
      <c r="D1073" t="s">
        <v>31</v>
      </c>
      <c r="E1073" t="str">
        <f>IF(OR(Table1[[#This Row],[marital_status]]="Married", Table1[[#This Row],[marital_status]]="Together"), "Partnered", "Single")</f>
        <v>Partnered</v>
      </c>
      <c r="F1073" s="7">
        <v>70713</v>
      </c>
      <c r="G1073" s="8">
        <v>0</v>
      </c>
      <c r="H1073" s="8">
        <v>1</v>
      </c>
      <c r="I1073" s="8">
        <f>Table1[[#This Row],[kids]]+Table1[[#This Row],[teens]]</f>
        <v>1</v>
      </c>
      <c r="J1073" s="9">
        <v>41246</v>
      </c>
      <c r="K1073" s="8">
        <v>23</v>
      </c>
      <c r="L1073" s="6">
        <v>736</v>
      </c>
      <c r="M1073" s="5">
        <v>114</v>
      </c>
      <c r="N1073" s="5">
        <v>279</v>
      </c>
      <c r="O1073" s="5">
        <v>82</v>
      </c>
      <c r="P1073" s="5">
        <v>76</v>
      </c>
      <c r="Q1073" s="5">
        <v>190</v>
      </c>
      <c r="R1073" s="8">
        <v>6</v>
      </c>
      <c r="S1073" s="8">
        <v>5</v>
      </c>
      <c r="T1073" s="8">
        <v>6</v>
      </c>
      <c r="U1073" s="8">
        <v>8</v>
      </c>
      <c r="V1073" s="8">
        <v>3</v>
      </c>
      <c r="W1073" t="s">
        <v>473</v>
      </c>
      <c r="X1073" t="s">
        <v>473</v>
      </c>
      <c r="Y1073" t="s">
        <v>473</v>
      </c>
      <c r="Z1073" t="s">
        <v>473</v>
      </c>
      <c r="AA1073" t="s">
        <v>473</v>
      </c>
      <c r="AB1073" t="s">
        <v>473</v>
      </c>
      <c r="AC1073" s="10">
        <v>3</v>
      </c>
      <c r="AD1073" s="10">
        <v>11</v>
      </c>
      <c r="AE1073" t="s">
        <v>473</v>
      </c>
    </row>
    <row r="1074" spans="1:31" x14ac:dyDescent="0.25">
      <c r="A1074">
        <v>3807</v>
      </c>
      <c r="B1074">
        <v>1955</v>
      </c>
      <c r="C1074" t="s">
        <v>466</v>
      </c>
      <c r="D1074" t="s">
        <v>31</v>
      </c>
      <c r="E1074" t="str">
        <f>IF(OR(Table1[[#This Row],[marital_status]]="Married", Table1[[#This Row],[marital_status]]="Together"), "Partnered", "Single")</f>
        <v>Partnered</v>
      </c>
      <c r="F1074" s="7">
        <v>59925</v>
      </c>
      <c r="G1074" s="8">
        <v>0</v>
      </c>
      <c r="H1074" s="8">
        <v>1</v>
      </c>
      <c r="I1074" s="8">
        <f>Table1[[#This Row],[kids]]+Table1[[#This Row],[teens]]</f>
        <v>1</v>
      </c>
      <c r="J1074" s="9">
        <v>41243</v>
      </c>
      <c r="K1074" s="8">
        <v>83</v>
      </c>
      <c r="L1074" s="6">
        <v>473</v>
      </c>
      <c r="M1074" s="5">
        <v>21</v>
      </c>
      <c r="N1074" s="5">
        <v>176</v>
      </c>
      <c r="O1074" s="5">
        <v>19</v>
      </c>
      <c r="P1074" s="5">
        <v>21</v>
      </c>
      <c r="Q1074" s="5">
        <v>56</v>
      </c>
      <c r="R1074" s="8">
        <v>3</v>
      </c>
      <c r="S1074" s="8">
        <v>9</v>
      </c>
      <c r="T1074" s="8">
        <v>2</v>
      </c>
      <c r="U1074" s="8">
        <v>9</v>
      </c>
      <c r="V1074" s="8">
        <v>6</v>
      </c>
      <c r="W1074" t="s">
        <v>473</v>
      </c>
      <c r="X1074" t="s">
        <v>473</v>
      </c>
      <c r="Y1074" t="s">
        <v>473</v>
      </c>
      <c r="Z1074" t="s">
        <v>473</v>
      </c>
      <c r="AA1074" t="s">
        <v>473</v>
      </c>
      <c r="AB1074" t="s">
        <v>473</v>
      </c>
      <c r="AC1074" s="10">
        <v>3</v>
      </c>
      <c r="AD1074" s="10">
        <v>11</v>
      </c>
      <c r="AE1074" t="s">
        <v>473</v>
      </c>
    </row>
    <row r="1075" spans="1:31" x14ac:dyDescent="0.25">
      <c r="A1075">
        <v>9197</v>
      </c>
      <c r="B1075">
        <v>1953</v>
      </c>
      <c r="C1075" t="s">
        <v>466</v>
      </c>
      <c r="D1075" t="s">
        <v>34</v>
      </c>
      <c r="E1075" t="str">
        <f>IF(OR(Table1[[#This Row],[marital_status]]="Married", Table1[[#This Row],[marital_status]]="Together"), "Partnered", "Single")</f>
        <v>Partnered</v>
      </c>
      <c r="F1075" s="7">
        <v>39722</v>
      </c>
      <c r="G1075" s="8">
        <v>0</v>
      </c>
      <c r="H1075" s="8">
        <v>1</v>
      </c>
      <c r="I1075" s="8">
        <f>Table1[[#This Row],[kids]]+Table1[[#This Row],[teens]]</f>
        <v>1</v>
      </c>
      <c r="J1075" s="9">
        <v>41694</v>
      </c>
      <c r="K1075" s="8">
        <v>92</v>
      </c>
      <c r="L1075" s="6">
        <v>32</v>
      </c>
      <c r="M1075" s="5">
        <v>0</v>
      </c>
      <c r="N1075" s="5">
        <v>5</v>
      </c>
      <c r="O1075" s="5">
        <v>2</v>
      </c>
      <c r="P1075" s="5">
        <v>0</v>
      </c>
      <c r="Q1075" s="5">
        <v>8</v>
      </c>
      <c r="R1075" s="8">
        <v>2</v>
      </c>
      <c r="S1075" s="8">
        <v>2</v>
      </c>
      <c r="T1075" s="8">
        <v>0</v>
      </c>
      <c r="U1075" s="8">
        <v>3</v>
      </c>
      <c r="V1075" s="8">
        <v>5</v>
      </c>
      <c r="W1075" t="s">
        <v>473</v>
      </c>
      <c r="X1075" t="s">
        <v>473</v>
      </c>
      <c r="Y1075" t="s">
        <v>473</v>
      </c>
      <c r="Z1075" t="s">
        <v>473</v>
      </c>
      <c r="AA1075" t="s">
        <v>473</v>
      </c>
      <c r="AB1075" t="s">
        <v>473</v>
      </c>
      <c r="AC1075" s="10">
        <v>3</v>
      </c>
      <c r="AD1075" s="10">
        <v>11</v>
      </c>
      <c r="AE1075" t="s">
        <v>473</v>
      </c>
    </row>
    <row r="1076" spans="1:31" x14ac:dyDescent="0.25">
      <c r="A1076">
        <v>10832</v>
      </c>
      <c r="B1076">
        <v>1958</v>
      </c>
      <c r="C1076" t="s">
        <v>466</v>
      </c>
      <c r="D1076" t="s">
        <v>31</v>
      </c>
      <c r="E1076" t="str">
        <f>IF(OR(Table1[[#This Row],[marital_status]]="Married", Table1[[#This Row],[marital_status]]="Together"), "Partnered", "Single")</f>
        <v>Partnered</v>
      </c>
      <c r="F1076" s="7">
        <v>46610</v>
      </c>
      <c r="G1076" s="8">
        <v>0</v>
      </c>
      <c r="H1076" s="8">
        <v>0</v>
      </c>
      <c r="I1076" s="8">
        <f>Table1[[#This Row],[kids]]+Table1[[#This Row],[teens]]</f>
        <v>0</v>
      </c>
      <c r="J1076" s="9">
        <v>41473</v>
      </c>
      <c r="K1076" s="8">
        <v>4</v>
      </c>
      <c r="L1076" s="6">
        <v>288</v>
      </c>
      <c r="M1076" s="5">
        <v>10</v>
      </c>
      <c r="N1076" s="5">
        <v>30</v>
      </c>
      <c r="O1076" s="5">
        <v>4</v>
      </c>
      <c r="P1076" s="5">
        <v>10</v>
      </c>
      <c r="Q1076" s="5">
        <v>125</v>
      </c>
      <c r="R1076" s="8">
        <v>1</v>
      </c>
      <c r="S1076" s="8">
        <v>6</v>
      </c>
      <c r="T1076" s="8">
        <v>1</v>
      </c>
      <c r="U1076" s="8">
        <v>6</v>
      </c>
      <c r="V1076" s="8">
        <v>6</v>
      </c>
      <c r="W1076" t="s">
        <v>473</v>
      </c>
      <c r="X1076" t="s">
        <v>473</v>
      </c>
      <c r="Y1076" t="s">
        <v>473</v>
      </c>
      <c r="Z1076" t="s">
        <v>473</v>
      </c>
      <c r="AA1076" t="s">
        <v>473</v>
      </c>
      <c r="AB1076" t="s">
        <v>473</v>
      </c>
      <c r="AC1076" s="10">
        <v>3</v>
      </c>
      <c r="AD1076" s="10">
        <v>11</v>
      </c>
      <c r="AE1076" t="s">
        <v>473</v>
      </c>
    </row>
    <row r="1077" spans="1:31" x14ac:dyDescent="0.25">
      <c r="A1077">
        <v>6421</v>
      </c>
      <c r="B1077">
        <v>1961</v>
      </c>
      <c r="C1077" t="s">
        <v>466</v>
      </c>
      <c r="D1077" t="s">
        <v>31</v>
      </c>
      <c r="E1077" t="str">
        <f>IF(OR(Table1[[#This Row],[marital_status]]="Married", Table1[[#This Row],[marital_status]]="Together"), "Partnered", "Single")</f>
        <v>Partnered</v>
      </c>
      <c r="F1077" s="7">
        <v>88347</v>
      </c>
      <c r="G1077" s="8">
        <v>0</v>
      </c>
      <c r="H1077" s="8">
        <v>0</v>
      </c>
      <c r="I1077" s="8">
        <f>Table1[[#This Row],[kids]]+Table1[[#This Row],[teens]]</f>
        <v>0</v>
      </c>
      <c r="J1077" s="9">
        <v>41458</v>
      </c>
      <c r="K1077" s="8">
        <v>32</v>
      </c>
      <c r="L1077" s="6">
        <v>1050</v>
      </c>
      <c r="M1077" s="5">
        <v>178</v>
      </c>
      <c r="N1077" s="5">
        <v>555</v>
      </c>
      <c r="O1077" s="5">
        <v>77</v>
      </c>
      <c r="P1077" s="5">
        <v>138</v>
      </c>
      <c r="Q1077" s="5">
        <v>118</v>
      </c>
      <c r="R1077" s="8">
        <v>1</v>
      </c>
      <c r="S1077" s="8">
        <v>4</v>
      </c>
      <c r="T1077" s="8">
        <v>7</v>
      </c>
      <c r="U1077" s="8">
        <v>9</v>
      </c>
      <c r="V1077" s="8">
        <v>1</v>
      </c>
      <c r="W1077" t="s">
        <v>473</v>
      </c>
      <c r="X1077" t="s">
        <v>473</v>
      </c>
      <c r="Y1077" t="s">
        <v>473</v>
      </c>
      <c r="Z1077" t="s">
        <v>474</v>
      </c>
      <c r="AA1077" t="s">
        <v>473</v>
      </c>
      <c r="AB1077" t="s">
        <v>473</v>
      </c>
      <c r="AC1077" s="10">
        <v>3</v>
      </c>
      <c r="AD1077" s="10">
        <v>11</v>
      </c>
      <c r="AE1077" t="s">
        <v>473</v>
      </c>
    </row>
    <row r="1078" spans="1:31" x14ac:dyDescent="0.25">
      <c r="A1078">
        <v>4207</v>
      </c>
      <c r="B1078">
        <v>1981</v>
      </c>
      <c r="C1078" t="s">
        <v>33</v>
      </c>
      <c r="D1078" t="s">
        <v>34</v>
      </c>
      <c r="E1078" t="str">
        <f>IF(OR(Table1[[#This Row],[marital_status]]="Married", Table1[[#This Row],[marital_status]]="Together"), "Partnered", "Single")</f>
        <v>Partnered</v>
      </c>
      <c r="F1078" s="7">
        <v>87171</v>
      </c>
      <c r="G1078" s="8">
        <v>0</v>
      </c>
      <c r="H1078" s="8">
        <v>0</v>
      </c>
      <c r="I1078" s="8">
        <f>Table1[[#This Row],[kids]]+Table1[[#This Row],[teens]]</f>
        <v>0</v>
      </c>
      <c r="J1078" s="9">
        <v>41395</v>
      </c>
      <c r="K1078" s="8">
        <v>27</v>
      </c>
      <c r="L1078" s="6">
        <v>1001</v>
      </c>
      <c r="M1078" s="5">
        <v>44</v>
      </c>
      <c r="N1078" s="5">
        <v>107</v>
      </c>
      <c r="O1078" s="5">
        <v>58</v>
      </c>
      <c r="P1078" s="5">
        <v>44</v>
      </c>
      <c r="Q1078" s="5">
        <v>44</v>
      </c>
      <c r="R1078" s="8">
        <v>1</v>
      </c>
      <c r="S1078" s="8">
        <v>6</v>
      </c>
      <c r="T1078" s="8">
        <v>7</v>
      </c>
      <c r="U1078" s="8">
        <v>11</v>
      </c>
      <c r="V1078" s="8">
        <v>2</v>
      </c>
      <c r="W1078" t="s">
        <v>474</v>
      </c>
      <c r="X1078" t="s">
        <v>473</v>
      </c>
      <c r="Y1078" t="s">
        <v>474</v>
      </c>
      <c r="Z1078" t="s">
        <v>473</v>
      </c>
      <c r="AA1078" t="s">
        <v>473</v>
      </c>
      <c r="AB1078" t="s">
        <v>473</v>
      </c>
      <c r="AC1078" s="10">
        <v>3</v>
      </c>
      <c r="AD1078" s="10">
        <v>11</v>
      </c>
      <c r="AE1078" t="s">
        <v>473</v>
      </c>
    </row>
    <row r="1079" spans="1:31" x14ac:dyDescent="0.25">
      <c r="A1079">
        <v>577</v>
      </c>
      <c r="B1079">
        <v>1976</v>
      </c>
      <c r="C1079" t="s">
        <v>46</v>
      </c>
      <c r="D1079" t="s">
        <v>31</v>
      </c>
      <c r="E1079" t="str">
        <f>IF(OR(Table1[[#This Row],[marital_status]]="Married", Table1[[#This Row],[marital_status]]="Together"), "Partnered", "Single")</f>
        <v>Partnered</v>
      </c>
      <c r="F1079" s="7">
        <v>26907</v>
      </c>
      <c r="G1079" s="8">
        <v>1</v>
      </c>
      <c r="H1079" s="8">
        <v>1</v>
      </c>
      <c r="I1079" s="8">
        <f>Table1[[#This Row],[kids]]+Table1[[#This Row],[teens]]</f>
        <v>2</v>
      </c>
      <c r="J1079" s="9">
        <v>41506</v>
      </c>
      <c r="K1079" s="8">
        <v>10</v>
      </c>
      <c r="L1079" s="6">
        <v>9</v>
      </c>
      <c r="M1079" s="5">
        <v>1</v>
      </c>
      <c r="N1079" s="5">
        <v>7</v>
      </c>
      <c r="O1079" s="5">
        <v>0</v>
      </c>
      <c r="P1079" s="5">
        <v>3</v>
      </c>
      <c r="Q1079" s="5">
        <v>2</v>
      </c>
      <c r="R1079" s="8">
        <v>2</v>
      </c>
      <c r="S1079" s="8">
        <v>1</v>
      </c>
      <c r="T1079" s="8">
        <v>0</v>
      </c>
      <c r="U1079" s="8">
        <v>3</v>
      </c>
      <c r="V1079" s="8">
        <v>7</v>
      </c>
      <c r="W1079" t="s">
        <v>473</v>
      </c>
      <c r="X1079" t="s">
        <v>473</v>
      </c>
      <c r="Y1079" t="s">
        <v>473</v>
      </c>
      <c r="Z1079" t="s">
        <v>473</v>
      </c>
      <c r="AA1079" t="s">
        <v>473</v>
      </c>
      <c r="AB1079" t="s">
        <v>473</v>
      </c>
      <c r="AC1079" s="10">
        <v>3</v>
      </c>
      <c r="AD1079" s="10">
        <v>11</v>
      </c>
      <c r="AE1079" t="s">
        <v>473</v>
      </c>
    </row>
    <row r="1080" spans="1:31" x14ac:dyDescent="0.25">
      <c r="A1080">
        <v>10855</v>
      </c>
      <c r="B1080">
        <v>1968</v>
      </c>
      <c r="C1080" t="s">
        <v>36</v>
      </c>
      <c r="D1080" t="s">
        <v>30</v>
      </c>
      <c r="E1080" t="str">
        <f>IF(OR(Table1[[#This Row],[marital_status]]="Married", Table1[[#This Row],[marital_status]]="Together"), "Partnered", "Single")</f>
        <v>Single</v>
      </c>
      <c r="F1080" s="7">
        <v>50014</v>
      </c>
      <c r="G1080" s="8">
        <v>1</v>
      </c>
      <c r="H1080" s="8">
        <v>0</v>
      </c>
      <c r="I1080" s="8">
        <f>Table1[[#This Row],[kids]]+Table1[[#This Row],[teens]]</f>
        <v>1</v>
      </c>
      <c r="J1080" s="9">
        <v>41661</v>
      </c>
      <c r="K1080" s="8">
        <v>9</v>
      </c>
      <c r="L1080" s="6">
        <v>234</v>
      </c>
      <c r="M1080" s="5">
        <v>14</v>
      </c>
      <c r="N1080" s="5">
        <v>77</v>
      </c>
      <c r="O1080" s="5">
        <v>19</v>
      </c>
      <c r="P1080" s="5">
        <v>10</v>
      </c>
      <c r="Q1080" s="5">
        <v>42</v>
      </c>
      <c r="R1080" s="8">
        <v>2</v>
      </c>
      <c r="S1080" s="8">
        <v>4</v>
      </c>
      <c r="T1080" s="8">
        <v>1</v>
      </c>
      <c r="U1080" s="8">
        <v>8</v>
      </c>
      <c r="V1080" s="8">
        <v>5</v>
      </c>
      <c r="W1080" t="s">
        <v>473</v>
      </c>
      <c r="X1080" t="s">
        <v>473</v>
      </c>
      <c r="Y1080" t="s">
        <v>473</v>
      </c>
      <c r="Z1080" t="s">
        <v>473</v>
      </c>
      <c r="AA1080" t="s">
        <v>473</v>
      </c>
      <c r="AB1080" t="s">
        <v>473</v>
      </c>
      <c r="AC1080" s="10">
        <v>3</v>
      </c>
      <c r="AD1080" s="10">
        <v>11</v>
      </c>
      <c r="AE1080" t="s">
        <v>473</v>
      </c>
    </row>
    <row r="1081" spans="1:31" x14ac:dyDescent="0.25">
      <c r="A1081">
        <v>3081</v>
      </c>
      <c r="B1081">
        <v>1978</v>
      </c>
      <c r="C1081" t="s">
        <v>33</v>
      </c>
      <c r="D1081" t="s">
        <v>34</v>
      </c>
      <c r="E1081" t="str">
        <f>IF(OR(Table1[[#This Row],[marital_status]]="Married", Table1[[#This Row],[marital_status]]="Together"), "Partnered", "Single")</f>
        <v>Partnered</v>
      </c>
      <c r="F1081" s="7">
        <v>41014</v>
      </c>
      <c r="G1081" s="8">
        <v>1</v>
      </c>
      <c r="H1081" s="8">
        <v>0</v>
      </c>
      <c r="I1081" s="8">
        <f>Table1[[#This Row],[kids]]+Table1[[#This Row],[teens]]</f>
        <v>1</v>
      </c>
      <c r="J1081" s="9">
        <v>41386</v>
      </c>
      <c r="K1081" s="8">
        <v>65</v>
      </c>
      <c r="L1081" s="6">
        <v>7</v>
      </c>
      <c r="M1081" s="5">
        <v>2</v>
      </c>
      <c r="N1081" s="5">
        <v>6</v>
      </c>
      <c r="O1081" s="5">
        <v>2</v>
      </c>
      <c r="P1081" s="5">
        <v>0</v>
      </c>
      <c r="Q1081" s="5">
        <v>3</v>
      </c>
      <c r="R1081" s="8">
        <v>1</v>
      </c>
      <c r="S1081" s="8">
        <v>1</v>
      </c>
      <c r="T1081" s="8">
        <v>0</v>
      </c>
      <c r="U1081" s="8">
        <v>2</v>
      </c>
      <c r="V1081" s="8">
        <v>7</v>
      </c>
      <c r="W1081" t="s">
        <v>473</v>
      </c>
      <c r="X1081" t="s">
        <v>473</v>
      </c>
      <c r="Y1081" t="s">
        <v>473</v>
      </c>
      <c r="Z1081" t="s">
        <v>473</v>
      </c>
      <c r="AA1081" t="s">
        <v>473</v>
      </c>
      <c r="AB1081" t="s">
        <v>473</v>
      </c>
      <c r="AC1081" s="10">
        <v>3</v>
      </c>
      <c r="AD1081" s="10">
        <v>11</v>
      </c>
      <c r="AE1081" t="s">
        <v>473</v>
      </c>
    </row>
    <row r="1082" spans="1:31" x14ac:dyDescent="0.25">
      <c r="A1082">
        <v>3535</v>
      </c>
      <c r="B1082">
        <v>1965</v>
      </c>
      <c r="C1082" t="s">
        <v>466</v>
      </c>
      <c r="D1082" t="s">
        <v>30</v>
      </c>
      <c r="E1082" t="str">
        <f>IF(OR(Table1[[#This Row],[marital_status]]="Married", Table1[[#This Row],[marital_status]]="Together"), "Partnered", "Single")</f>
        <v>Single</v>
      </c>
      <c r="F1082" s="7">
        <v>66294</v>
      </c>
      <c r="G1082" s="8">
        <v>0</v>
      </c>
      <c r="H1082" s="8">
        <v>0</v>
      </c>
      <c r="I1082" s="8">
        <f>Table1[[#This Row],[kids]]+Table1[[#This Row],[teens]]</f>
        <v>0</v>
      </c>
      <c r="J1082" s="9">
        <v>41715</v>
      </c>
      <c r="K1082" s="8">
        <v>68</v>
      </c>
      <c r="L1082" s="6">
        <v>251</v>
      </c>
      <c r="M1082" s="5">
        <v>108</v>
      </c>
      <c r="N1082" s="5">
        <v>334</v>
      </c>
      <c r="O1082" s="5">
        <v>65</v>
      </c>
      <c r="P1082" s="5">
        <v>92</v>
      </c>
      <c r="Q1082" s="5">
        <v>117</v>
      </c>
      <c r="R1082" s="8">
        <v>1</v>
      </c>
      <c r="S1082" s="8">
        <v>4</v>
      </c>
      <c r="T1082" s="8">
        <v>3</v>
      </c>
      <c r="U1082" s="8">
        <v>5</v>
      </c>
      <c r="V1082" s="8">
        <v>2</v>
      </c>
      <c r="W1082" t="s">
        <v>473</v>
      </c>
      <c r="X1082" t="s">
        <v>473</v>
      </c>
      <c r="Y1082" t="s">
        <v>473</v>
      </c>
      <c r="Z1082" t="s">
        <v>473</v>
      </c>
      <c r="AA1082" t="s">
        <v>473</v>
      </c>
      <c r="AB1082" t="s">
        <v>473</v>
      </c>
      <c r="AC1082" s="10">
        <v>3</v>
      </c>
      <c r="AD1082" s="10">
        <v>11</v>
      </c>
      <c r="AE1082" t="s">
        <v>473</v>
      </c>
    </row>
    <row r="1083" spans="1:31" x14ac:dyDescent="0.25">
      <c r="A1083">
        <v>247</v>
      </c>
      <c r="B1083">
        <v>1971</v>
      </c>
      <c r="C1083" t="s">
        <v>466</v>
      </c>
      <c r="D1083" t="s">
        <v>34</v>
      </c>
      <c r="E1083" t="str">
        <f>IF(OR(Table1[[#This Row],[marital_status]]="Married", Table1[[#This Row],[marital_status]]="Together"), "Partnered", "Single")</f>
        <v>Partnered</v>
      </c>
      <c r="F1083" s="7">
        <v>36715</v>
      </c>
      <c r="G1083" s="8">
        <v>1</v>
      </c>
      <c r="H1083" s="8">
        <v>0</v>
      </c>
      <c r="I1083" s="8">
        <f>Table1[[#This Row],[kids]]+Table1[[#This Row],[teens]]</f>
        <v>1</v>
      </c>
      <c r="J1083" s="9">
        <v>41230</v>
      </c>
      <c r="K1083" s="8">
        <v>16</v>
      </c>
      <c r="L1083" s="6">
        <v>172</v>
      </c>
      <c r="M1083" s="5">
        <v>10</v>
      </c>
      <c r="N1083" s="5">
        <v>125</v>
      </c>
      <c r="O1083" s="5">
        <v>21</v>
      </c>
      <c r="P1083" s="5">
        <v>13</v>
      </c>
      <c r="Q1083" s="5">
        <v>16</v>
      </c>
      <c r="R1083" s="8">
        <v>6</v>
      </c>
      <c r="S1083" s="8">
        <v>7</v>
      </c>
      <c r="T1083" s="8">
        <v>2</v>
      </c>
      <c r="U1083" s="8">
        <v>4</v>
      </c>
      <c r="V1083" s="8">
        <v>9</v>
      </c>
      <c r="W1083" t="s">
        <v>473</v>
      </c>
      <c r="X1083" t="s">
        <v>473</v>
      </c>
      <c r="Y1083" t="s">
        <v>473</v>
      </c>
      <c r="Z1083" t="s">
        <v>473</v>
      </c>
      <c r="AA1083" t="s">
        <v>473</v>
      </c>
      <c r="AB1083" t="s">
        <v>473</v>
      </c>
      <c r="AC1083" s="10">
        <v>3</v>
      </c>
      <c r="AD1083" s="10">
        <v>11</v>
      </c>
      <c r="AE1083" t="s">
        <v>474</v>
      </c>
    </row>
    <row r="1084" spans="1:31" x14ac:dyDescent="0.25">
      <c r="A1084">
        <v>8707</v>
      </c>
      <c r="B1084">
        <v>1956</v>
      </c>
      <c r="C1084" t="s">
        <v>466</v>
      </c>
      <c r="D1084" t="s">
        <v>34</v>
      </c>
      <c r="E1084" t="str">
        <f>IF(OR(Table1[[#This Row],[marital_status]]="Married", Table1[[#This Row],[marital_status]]="Together"), "Partnered", "Single")</f>
        <v>Partnered</v>
      </c>
      <c r="F1084" s="7">
        <v>79456</v>
      </c>
      <c r="G1084" s="8">
        <v>0</v>
      </c>
      <c r="H1084" s="8">
        <v>0</v>
      </c>
      <c r="I1084" s="8">
        <f>Table1[[#This Row],[kids]]+Table1[[#This Row],[teens]]</f>
        <v>0</v>
      </c>
      <c r="J1084" s="9">
        <v>41143</v>
      </c>
      <c r="K1084" s="8">
        <v>12</v>
      </c>
      <c r="L1084" s="6">
        <v>565</v>
      </c>
      <c r="M1084" s="5">
        <v>42</v>
      </c>
      <c r="N1084" s="5">
        <v>548</v>
      </c>
      <c r="O1084" s="5">
        <v>64</v>
      </c>
      <c r="P1084" s="5">
        <v>83</v>
      </c>
      <c r="Q1084" s="5">
        <v>99</v>
      </c>
      <c r="R1084" s="8">
        <v>1</v>
      </c>
      <c r="S1084" s="8">
        <v>5</v>
      </c>
      <c r="T1084" s="8">
        <v>6</v>
      </c>
      <c r="U1084" s="8">
        <v>4</v>
      </c>
      <c r="V1084" s="8">
        <v>3</v>
      </c>
      <c r="W1084" t="s">
        <v>473</v>
      </c>
      <c r="X1084" t="s">
        <v>473</v>
      </c>
      <c r="Y1084" t="s">
        <v>473</v>
      </c>
      <c r="Z1084" t="s">
        <v>473</v>
      </c>
      <c r="AA1084" t="s">
        <v>473</v>
      </c>
      <c r="AB1084" t="s">
        <v>473</v>
      </c>
      <c r="AC1084" s="10">
        <v>3</v>
      </c>
      <c r="AD1084" s="10">
        <v>11</v>
      </c>
      <c r="AE1084" t="s">
        <v>474</v>
      </c>
    </row>
    <row r="1085" spans="1:31" x14ac:dyDescent="0.25">
      <c r="A1085">
        <v>9523</v>
      </c>
      <c r="B1085">
        <v>1982</v>
      </c>
      <c r="C1085" t="s">
        <v>466</v>
      </c>
      <c r="D1085" t="s">
        <v>31</v>
      </c>
      <c r="E1085" t="str">
        <f>IF(OR(Table1[[#This Row],[marital_status]]="Married", Table1[[#This Row],[marital_status]]="Together"), "Partnered", "Single")</f>
        <v>Partnered</v>
      </c>
      <c r="F1085" s="7">
        <v>40479</v>
      </c>
      <c r="G1085" s="8">
        <v>1</v>
      </c>
      <c r="H1085" s="8">
        <v>0</v>
      </c>
      <c r="I1085" s="8">
        <f>Table1[[#This Row],[kids]]+Table1[[#This Row],[teens]]</f>
        <v>1</v>
      </c>
      <c r="J1085" s="9">
        <v>41503</v>
      </c>
      <c r="K1085" s="8">
        <v>95</v>
      </c>
      <c r="L1085" s="6">
        <v>5</v>
      </c>
      <c r="M1085" s="5">
        <v>0</v>
      </c>
      <c r="N1085" s="5">
        <v>8</v>
      </c>
      <c r="O1085" s="5">
        <v>2</v>
      </c>
      <c r="P1085" s="5">
        <v>0</v>
      </c>
      <c r="Q1085" s="5">
        <v>0</v>
      </c>
      <c r="R1085" s="8">
        <v>1</v>
      </c>
      <c r="S1085" s="8">
        <v>0</v>
      </c>
      <c r="T1085" s="8">
        <v>0</v>
      </c>
      <c r="U1085" s="8">
        <v>3</v>
      </c>
      <c r="V1085" s="8">
        <v>4</v>
      </c>
      <c r="W1085" t="s">
        <v>473</v>
      </c>
      <c r="X1085" t="s">
        <v>473</v>
      </c>
      <c r="Y1085" t="s">
        <v>473</v>
      </c>
      <c r="Z1085" t="s">
        <v>473</v>
      </c>
      <c r="AA1085" t="s">
        <v>473</v>
      </c>
      <c r="AB1085" t="s">
        <v>473</v>
      </c>
      <c r="AC1085" s="10">
        <v>3</v>
      </c>
      <c r="AD1085" s="10">
        <v>11</v>
      </c>
      <c r="AE1085" t="s">
        <v>473</v>
      </c>
    </row>
    <row r="1086" spans="1:31" x14ac:dyDescent="0.25">
      <c r="A1086">
        <v>6072</v>
      </c>
      <c r="B1086">
        <v>1970</v>
      </c>
      <c r="C1086" t="s">
        <v>36</v>
      </c>
      <c r="D1086" t="s">
        <v>30</v>
      </c>
      <c r="E1086" t="str">
        <f>IF(OR(Table1[[#This Row],[marital_status]]="Married", Table1[[#This Row],[marital_status]]="Together"), "Partnered", "Single")</f>
        <v>Single</v>
      </c>
      <c r="F1086" s="7">
        <v>75345</v>
      </c>
      <c r="G1086" s="8">
        <v>0</v>
      </c>
      <c r="H1086" s="8">
        <v>0</v>
      </c>
      <c r="I1086" s="8">
        <f>Table1[[#This Row],[kids]]+Table1[[#This Row],[teens]]</f>
        <v>0</v>
      </c>
      <c r="J1086" s="9">
        <v>41307</v>
      </c>
      <c r="K1086" s="8">
        <v>16</v>
      </c>
      <c r="L1086" s="6">
        <v>918</v>
      </c>
      <c r="M1086" s="5">
        <v>57</v>
      </c>
      <c r="N1086" s="5">
        <v>842</v>
      </c>
      <c r="O1086" s="5">
        <v>99</v>
      </c>
      <c r="P1086" s="5">
        <v>38</v>
      </c>
      <c r="Q1086" s="5">
        <v>133</v>
      </c>
      <c r="R1086" s="8">
        <v>1</v>
      </c>
      <c r="S1086" s="8">
        <v>5</v>
      </c>
      <c r="T1086" s="8">
        <v>8</v>
      </c>
      <c r="U1086" s="8">
        <v>6</v>
      </c>
      <c r="V1086" s="8">
        <v>3</v>
      </c>
      <c r="W1086" t="s">
        <v>473</v>
      </c>
      <c r="X1086" t="s">
        <v>473</v>
      </c>
      <c r="Y1086" t="s">
        <v>473</v>
      </c>
      <c r="Z1086" t="s">
        <v>474</v>
      </c>
      <c r="AA1086" t="s">
        <v>473</v>
      </c>
      <c r="AB1086" t="s">
        <v>473</v>
      </c>
      <c r="AC1086" s="10">
        <v>3</v>
      </c>
      <c r="AD1086" s="10">
        <v>11</v>
      </c>
      <c r="AE1086" t="s">
        <v>474</v>
      </c>
    </row>
    <row r="1087" spans="1:31" x14ac:dyDescent="0.25">
      <c r="A1087">
        <v>6295</v>
      </c>
      <c r="B1087">
        <v>1977</v>
      </c>
      <c r="C1087" t="s">
        <v>466</v>
      </c>
      <c r="D1087" t="s">
        <v>34</v>
      </c>
      <c r="E1087" t="str">
        <f>IF(OR(Table1[[#This Row],[marital_status]]="Married", Table1[[#This Row],[marital_status]]="Together"), "Partnered", "Single")</f>
        <v>Partnered</v>
      </c>
      <c r="F1087" s="7">
        <v>54233</v>
      </c>
      <c r="G1087" s="8">
        <v>0</v>
      </c>
      <c r="H1087" s="8">
        <v>1</v>
      </c>
      <c r="I1087" s="8">
        <f>Table1[[#This Row],[kids]]+Table1[[#This Row],[teens]]</f>
        <v>1</v>
      </c>
      <c r="J1087" s="9">
        <v>41309</v>
      </c>
      <c r="K1087" s="8">
        <v>46</v>
      </c>
      <c r="L1087" s="6">
        <v>652</v>
      </c>
      <c r="M1087" s="5">
        <v>8</v>
      </c>
      <c r="N1087" s="5">
        <v>158</v>
      </c>
      <c r="O1087" s="5">
        <v>21</v>
      </c>
      <c r="P1087" s="5">
        <v>0</v>
      </c>
      <c r="Q1087" s="5">
        <v>142</v>
      </c>
      <c r="R1087" s="8">
        <v>4</v>
      </c>
      <c r="S1087" s="8">
        <v>11</v>
      </c>
      <c r="T1087" s="8">
        <v>6</v>
      </c>
      <c r="U1087" s="8">
        <v>5</v>
      </c>
      <c r="V1087" s="8">
        <v>8</v>
      </c>
      <c r="W1087" t="s">
        <v>473</v>
      </c>
      <c r="X1087" t="s">
        <v>473</v>
      </c>
      <c r="Y1087" t="s">
        <v>473</v>
      </c>
      <c r="Z1087" t="s">
        <v>473</v>
      </c>
      <c r="AA1087" t="s">
        <v>473</v>
      </c>
      <c r="AB1087" t="s">
        <v>473</v>
      </c>
      <c r="AC1087" s="10">
        <v>3</v>
      </c>
      <c r="AD1087" s="10">
        <v>11</v>
      </c>
      <c r="AE1087" t="s">
        <v>473</v>
      </c>
    </row>
    <row r="1088" spans="1:31" x14ac:dyDescent="0.25">
      <c r="A1088">
        <v>10914</v>
      </c>
      <c r="B1088">
        <v>1970</v>
      </c>
      <c r="C1088" t="s">
        <v>466</v>
      </c>
      <c r="D1088" t="s">
        <v>30</v>
      </c>
      <c r="E1088" t="str">
        <f>IF(OR(Table1[[#This Row],[marital_status]]="Married", Table1[[#This Row],[marital_status]]="Together"), "Partnered", "Single")</f>
        <v>Single</v>
      </c>
      <c r="F1088" s="7">
        <v>24163</v>
      </c>
      <c r="G1088" s="8">
        <v>1</v>
      </c>
      <c r="H1088" s="8">
        <v>1</v>
      </c>
      <c r="I1088" s="8">
        <f>Table1[[#This Row],[kids]]+Table1[[#This Row],[teens]]</f>
        <v>2</v>
      </c>
      <c r="J1088" s="9">
        <v>41559</v>
      </c>
      <c r="K1088" s="8">
        <v>3</v>
      </c>
      <c r="L1088" s="6">
        <v>4</v>
      </c>
      <c r="M1088" s="5">
        <v>1</v>
      </c>
      <c r="N1088" s="5">
        <v>7</v>
      </c>
      <c r="O1088" s="5">
        <v>2</v>
      </c>
      <c r="P1088" s="5">
        <v>1</v>
      </c>
      <c r="Q1088" s="5">
        <v>2</v>
      </c>
      <c r="R1088" s="8">
        <v>2</v>
      </c>
      <c r="S1088" s="8">
        <v>1</v>
      </c>
      <c r="T1088" s="8">
        <v>0</v>
      </c>
      <c r="U1088" s="8">
        <v>3</v>
      </c>
      <c r="V1088" s="8">
        <v>4</v>
      </c>
      <c r="W1088" t="s">
        <v>473</v>
      </c>
      <c r="X1088" t="s">
        <v>473</v>
      </c>
      <c r="Y1088" t="s">
        <v>473</v>
      </c>
      <c r="Z1088" t="s">
        <v>473</v>
      </c>
      <c r="AA1088" t="s">
        <v>473</v>
      </c>
      <c r="AB1088" t="s">
        <v>473</v>
      </c>
      <c r="AC1088" s="10">
        <v>3</v>
      </c>
      <c r="AD1088" s="10">
        <v>11</v>
      </c>
      <c r="AE1088" t="s">
        <v>473</v>
      </c>
    </row>
    <row r="1089" spans="1:31" x14ac:dyDescent="0.25">
      <c r="A1089">
        <v>1509</v>
      </c>
      <c r="B1089">
        <v>1958</v>
      </c>
      <c r="C1089" t="s">
        <v>33</v>
      </c>
      <c r="D1089" t="s">
        <v>31</v>
      </c>
      <c r="E1089" t="str">
        <f>IF(OR(Table1[[#This Row],[marital_status]]="Married", Table1[[#This Row],[marital_status]]="Together"), "Partnered", "Single")</f>
        <v>Partnered</v>
      </c>
      <c r="F1089" s="7">
        <v>84460</v>
      </c>
      <c r="G1089" s="8">
        <v>0</v>
      </c>
      <c r="H1089" s="8">
        <v>0</v>
      </c>
      <c r="I1089" s="8">
        <f>Table1[[#This Row],[kids]]+Table1[[#This Row],[teens]]</f>
        <v>0</v>
      </c>
      <c r="J1089" s="9">
        <v>41278</v>
      </c>
      <c r="K1089" s="8">
        <v>80</v>
      </c>
      <c r="L1089" s="6">
        <v>152</v>
      </c>
      <c r="M1089" s="5">
        <v>27</v>
      </c>
      <c r="N1089" s="5">
        <v>103</v>
      </c>
      <c r="O1089" s="5">
        <v>106</v>
      </c>
      <c r="P1089" s="5">
        <v>54</v>
      </c>
      <c r="Q1089" s="5">
        <v>81</v>
      </c>
      <c r="R1089" s="8">
        <v>0</v>
      </c>
      <c r="S1089" s="8">
        <v>9</v>
      </c>
      <c r="T1089" s="8">
        <v>9</v>
      </c>
      <c r="U1089" s="8">
        <v>4</v>
      </c>
      <c r="V1089" s="8">
        <v>5</v>
      </c>
      <c r="W1089" t="s">
        <v>473</v>
      </c>
      <c r="X1089" t="s">
        <v>474</v>
      </c>
      <c r="Y1089" t="s">
        <v>474</v>
      </c>
      <c r="Z1089" t="s">
        <v>474</v>
      </c>
      <c r="AA1089" t="s">
        <v>474</v>
      </c>
      <c r="AB1089" t="s">
        <v>473</v>
      </c>
      <c r="AC1089" s="10">
        <v>3</v>
      </c>
      <c r="AD1089" s="10">
        <v>11</v>
      </c>
      <c r="AE1089" t="s">
        <v>474</v>
      </c>
    </row>
    <row r="1090" spans="1:31" x14ac:dyDescent="0.25">
      <c r="A1090">
        <v>5577</v>
      </c>
      <c r="B1090">
        <v>1983</v>
      </c>
      <c r="C1090" t="s">
        <v>466</v>
      </c>
      <c r="D1090" t="s">
        <v>31</v>
      </c>
      <c r="E1090" t="str">
        <f>IF(OR(Table1[[#This Row],[marital_status]]="Married", Table1[[#This Row],[marital_status]]="Together"), "Partnered", "Single")</f>
        <v>Partnered</v>
      </c>
      <c r="F1090" s="7">
        <v>43776</v>
      </c>
      <c r="G1090" s="8">
        <v>1</v>
      </c>
      <c r="H1090" s="8">
        <v>0</v>
      </c>
      <c r="I1090" s="8">
        <f>Table1[[#This Row],[kids]]+Table1[[#This Row],[teens]]</f>
        <v>1</v>
      </c>
      <c r="J1090" s="9">
        <v>41762</v>
      </c>
      <c r="K1090" s="8">
        <v>77</v>
      </c>
      <c r="L1090" s="6">
        <v>8</v>
      </c>
      <c r="M1090" s="5">
        <v>0</v>
      </c>
      <c r="N1090" s="5">
        <v>9</v>
      </c>
      <c r="O1090" s="5">
        <v>2</v>
      </c>
      <c r="P1090" s="5">
        <v>1</v>
      </c>
      <c r="Q1090" s="5">
        <v>3</v>
      </c>
      <c r="R1090" s="8">
        <v>1</v>
      </c>
      <c r="S1090" s="8">
        <v>1</v>
      </c>
      <c r="T1090" s="8">
        <v>0</v>
      </c>
      <c r="U1090" s="8">
        <v>2</v>
      </c>
      <c r="V1090" s="8">
        <v>6</v>
      </c>
      <c r="W1090" t="s">
        <v>473</v>
      </c>
      <c r="X1090" t="s">
        <v>473</v>
      </c>
      <c r="Y1090" t="s">
        <v>473</v>
      </c>
      <c r="Z1090" t="s">
        <v>473</v>
      </c>
      <c r="AA1090" t="s">
        <v>473</v>
      </c>
      <c r="AB1090" t="s">
        <v>473</v>
      </c>
      <c r="AC1090" s="10">
        <v>3</v>
      </c>
      <c r="AD1090" s="10">
        <v>11</v>
      </c>
      <c r="AE1090" t="s">
        <v>473</v>
      </c>
    </row>
    <row r="1091" spans="1:31" x14ac:dyDescent="0.25">
      <c r="A1091">
        <v>7348</v>
      </c>
      <c r="B1091">
        <v>1958</v>
      </c>
      <c r="C1091" t="s">
        <v>33</v>
      </c>
      <c r="D1091" t="s">
        <v>30</v>
      </c>
      <c r="E1091" t="str">
        <f>IF(OR(Table1[[#This Row],[marital_status]]="Married", Table1[[#This Row],[marital_status]]="Together"), "Partnered", "Single")</f>
        <v>Single</v>
      </c>
      <c r="F1091" s="7">
        <v>71691</v>
      </c>
      <c r="G1091" s="8">
        <v>0</v>
      </c>
      <c r="H1091" s="8">
        <v>0</v>
      </c>
      <c r="I1091" s="8">
        <f>Table1[[#This Row],[kids]]+Table1[[#This Row],[teens]]</f>
        <v>0</v>
      </c>
      <c r="J1091" s="9">
        <v>41715</v>
      </c>
      <c r="K1091" s="8">
        <v>0</v>
      </c>
      <c r="L1091" s="6">
        <v>336</v>
      </c>
      <c r="M1091" s="5">
        <v>130</v>
      </c>
      <c r="N1091" s="5">
        <v>411</v>
      </c>
      <c r="O1091" s="5">
        <v>240</v>
      </c>
      <c r="P1091" s="5">
        <v>32</v>
      </c>
      <c r="Q1091" s="5">
        <v>43</v>
      </c>
      <c r="R1091" s="8">
        <v>1</v>
      </c>
      <c r="S1091" s="8">
        <v>4</v>
      </c>
      <c r="T1091" s="8">
        <v>7</v>
      </c>
      <c r="U1091" s="8">
        <v>5</v>
      </c>
      <c r="V1091" s="8">
        <v>2</v>
      </c>
      <c r="W1091" t="s">
        <v>473</v>
      </c>
      <c r="X1091" t="s">
        <v>473</v>
      </c>
      <c r="Y1091" t="s">
        <v>473</v>
      </c>
      <c r="Z1091" t="s">
        <v>473</v>
      </c>
      <c r="AA1091" t="s">
        <v>473</v>
      </c>
      <c r="AB1091" t="s">
        <v>473</v>
      </c>
      <c r="AC1091" s="10">
        <v>3</v>
      </c>
      <c r="AD1091" s="10">
        <v>11</v>
      </c>
      <c r="AE1091" t="s">
        <v>474</v>
      </c>
    </row>
    <row r="1092" spans="1:31" x14ac:dyDescent="0.25">
      <c r="A1092">
        <v>1127</v>
      </c>
      <c r="B1092">
        <v>1973</v>
      </c>
      <c r="C1092" t="s">
        <v>33</v>
      </c>
      <c r="D1092" t="s">
        <v>34</v>
      </c>
      <c r="E1092" t="str">
        <f>IF(OR(Table1[[#This Row],[marital_status]]="Married", Table1[[#This Row],[marital_status]]="Together"), "Partnered", "Single")</f>
        <v>Partnered</v>
      </c>
      <c r="F1092" s="7">
        <v>85844</v>
      </c>
      <c r="G1092" s="8">
        <v>0</v>
      </c>
      <c r="H1092" s="8">
        <v>0</v>
      </c>
      <c r="I1092" s="8">
        <f>Table1[[#This Row],[kids]]+Table1[[#This Row],[teens]]</f>
        <v>0</v>
      </c>
      <c r="J1092" s="9">
        <v>41788</v>
      </c>
      <c r="K1092" s="8">
        <v>62</v>
      </c>
      <c r="L1092" s="6">
        <v>938</v>
      </c>
      <c r="M1092" s="5">
        <v>19</v>
      </c>
      <c r="N1092" s="5">
        <v>843</v>
      </c>
      <c r="O1092" s="5">
        <v>25</v>
      </c>
      <c r="P1092" s="5">
        <v>95</v>
      </c>
      <c r="Q1092" s="5">
        <v>38</v>
      </c>
      <c r="R1092" s="8">
        <v>1</v>
      </c>
      <c r="S1092" s="8">
        <v>6</v>
      </c>
      <c r="T1092" s="8">
        <v>6</v>
      </c>
      <c r="U1092" s="8">
        <v>7</v>
      </c>
      <c r="V1092" s="8">
        <v>2</v>
      </c>
      <c r="W1092" t="s">
        <v>473</v>
      </c>
      <c r="X1092" t="s">
        <v>473</v>
      </c>
      <c r="Y1092" t="s">
        <v>474</v>
      </c>
      <c r="Z1092" t="s">
        <v>473</v>
      </c>
      <c r="AA1092" t="s">
        <v>473</v>
      </c>
      <c r="AB1092" t="s">
        <v>473</v>
      </c>
      <c r="AC1092" s="10">
        <v>3</v>
      </c>
      <c r="AD1092" s="10">
        <v>11</v>
      </c>
      <c r="AE1092" t="s">
        <v>473</v>
      </c>
    </row>
    <row r="1093" spans="1:31" x14ac:dyDescent="0.25">
      <c r="A1093">
        <v>1833</v>
      </c>
      <c r="B1093">
        <v>1974</v>
      </c>
      <c r="C1093" t="s">
        <v>33</v>
      </c>
      <c r="D1093" t="s">
        <v>30</v>
      </c>
      <c r="E1093" t="str">
        <f>IF(OR(Table1[[#This Row],[marital_status]]="Married", Table1[[#This Row],[marital_status]]="Together"), "Partnered", "Single")</f>
        <v>Single</v>
      </c>
      <c r="F1093" s="7">
        <v>39190</v>
      </c>
      <c r="G1093" s="8">
        <v>1</v>
      </c>
      <c r="H1093" s="8">
        <v>0</v>
      </c>
      <c r="I1093" s="8">
        <f>Table1[[#This Row],[kids]]+Table1[[#This Row],[teens]]</f>
        <v>1</v>
      </c>
      <c r="J1093" s="9">
        <v>41755</v>
      </c>
      <c r="K1093" s="8">
        <v>91</v>
      </c>
      <c r="L1093" s="6">
        <v>68</v>
      </c>
      <c r="M1093" s="5">
        <v>8</v>
      </c>
      <c r="N1093" s="5">
        <v>18</v>
      </c>
      <c r="O1093" s="5">
        <v>19</v>
      </c>
      <c r="P1093" s="5">
        <v>8</v>
      </c>
      <c r="Q1093" s="5">
        <v>12</v>
      </c>
      <c r="R1093" s="8">
        <v>2</v>
      </c>
      <c r="S1093" s="8">
        <v>2</v>
      </c>
      <c r="T1093" s="8">
        <v>1</v>
      </c>
      <c r="U1093" s="8">
        <v>4</v>
      </c>
      <c r="V1093" s="8">
        <v>5</v>
      </c>
      <c r="W1093" t="s">
        <v>473</v>
      </c>
      <c r="X1093" t="s">
        <v>473</v>
      </c>
      <c r="Y1093" t="s">
        <v>473</v>
      </c>
      <c r="Z1093" t="s">
        <v>473</v>
      </c>
      <c r="AA1093" t="s">
        <v>473</v>
      </c>
      <c r="AB1093" t="s">
        <v>473</v>
      </c>
      <c r="AC1093" s="10">
        <v>3</v>
      </c>
      <c r="AD1093" s="10">
        <v>11</v>
      </c>
      <c r="AE1093" t="s">
        <v>473</v>
      </c>
    </row>
    <row r="1094" spans="1:31" x14ac:dyDescent="0.25">
      <c r="A1094">
        <v>4944</v>
      </c>
      <c r="B1094">
        <v>1959</v>
      </c>
      <c r="C1094" t="s">
        <v>466</v>
      </c>
      <c r="D1094" t="s">
        <v>31</v>
      </c>
      <c r="E1094" t="str">
        <f>IF(OR(Table1[[#This Row],[marital_status]]="Married", Table1[[#This Row],[marital_status]]="Together"), "Partnered", "Single")</f>
        <v>Partnered</v>
      </c>
      <c r="F1094" s="7">
        <v>71367</v>
      </c>
      <c r="G1094" s="8">
        <v>0</v>
      </c>
      <c r="H1094" s="8">
        <v>0</v>
      </c>
      <c r="I1094" s="8">
        <f>Table1[[#This Row],[kids]]+Table1[[#This Row],[teens]]</f>
        <v>0</v>
      </c>
      <c r="J1094" s="9">
        <v>41509</v>
      </c>
      <c r="K1094" s="8">
        <v>24</v>
      </c>
      <c r="L1094" s="6">
        <v>227</v>
      </c>
      <c r="M1094" s="5">
        <v>23</v>
      </c>
      <c r="N1094" s="5">
        <v>389</v>
      </c>
      <c r="O1094" s="5">
        <v>42</v>
      </c>
      <c r="P1094" s="5">
        <v>21</v>
      </c>
      <c r="Q1094" s="5">
        <v>75</v>
      </c>
      <c r="R1094" s="8">
        <v>1</v>
      </c>
      <c r="S1094" s="8">
        <v>4</v>
      </c>
      <c r="T1094" s="8">
        <v>5</v>
      </c>
      <c r="U1094" s="8">
        <v>7</v>
      </c>
      <c r="V1094" s="8">
        <v>2</v>
      </c>
      <c r="W1094" t="s">
        <v>473</v>
      </c>
      <c r="X1094" t="s">
        <v>473</v>
      </c>
      <c r="Y1094" t="s">
        <v>473</v>
      </c>
      <c r="Z1094" t="s">
        <v>473</v>
      </c>
      <c r="AA1094" t="s">
        <v>473</v>
      </c>
      <c r="AB1094" t="s">
        <v>473</v>
      </c>
      <c r="AC1094" s="10">
        <v>3</v>
      </c>
      <c r="AD1094" s="10">
        <v>11</v>
      </c>
      <c r="AE1094" t="s">
        <v>473</v>
      </c>
    </row>
    <row r="1095" spans="1:31" x14ac:dyDescent="0.25">
      <c r="A1095">
        <v>9080</v>
      </c>
      <c r="B1095">
        <v>1972</v>
      </c>
      <c r="C1095" t="s">
        <v>33</v>
      </c>
      <c r="D1095" t="s">
        <v>30</v>
      </c>
      <c r="E1095" t="str">
        <f>IF(OR(Table1[[#This Row],[marital_status]]="Married", Table1[[#This Row],[marital_status]]="Together"), "Partnered", "Single")</f>
        <v>Single</v>
      </c>
      <c r="F1095" s="7">
        <v>38578</v>
      </c>
      <c r="G1095" s="8">
        <v>1</v>
      </c>
      <c r="H1095" s="8">
        <v>1</v>
      </c>
      <c r="I1095" s="8">
        <f>Table1[[#This Row],[kids]]+Table1[[#This Row],[teens]]</f>
        <v>2</v>
      </c>
      <c r="J1095" s="9">
        <v>41447</v>
      </c>
      <c r="K1095" s="8">
        <v>2</v>
      </c>
      <c r="L1095" s="6">
        <v>38</v>
      </c>
      <c r="M1095" s="5">
        <v>4</v>
      </c>
      <c r="N1095" s="5">
        <v>22</v>
      </c>
      <c r="O1095" s="5">
        <v>3</v>
      </c>
      <c r="P1095" s="5">
        <v>3</v>
      </c>
      <c r="Q1095" s="5">
        <v>3</v>
      </c>
      <c r="R1095" s="8">
        <v>3</v>
      </c>
      <c r="S1095" s="8">
        <v>3</v>
      </c>
      <c r="T1095" s="8">
        <v>0</v>
      </c>
      <c r="U1095" s="8">
        <v>3</v>
      </c>
      <c r="V1095" s="8">
        <v>8</v>
      </c>
      <c r="W1095" t="s">
        <v>473</v>
      </c>
      <c r="X1095" t="s">
        <v>473</v>
      </c>
      <c r="Y1095" t="s">
        <v>473</v>
      </c>
      <c r="Z1095" t="s">
        <v>473</v>
      </c>
      <c r="AA1095" t="s">
        <v>473</v>
      </c>
      <c r="AB1095" t="s">
        <v>473</v>
      </c>
      <c r="AC1095" s="10">
        <v>3</v>
      </c>
      <c r="AD1095" s="10">
        <v>11</v>
      </c>
      <c r="AE1095" t="s">
        <v>473</v>
      </c>
    </row>
    <row r="1096" spans="1:31" x14ac:dyDescent="0.25">
      <c r="A1096">
        <v>6466</v>
      </c>
      <c r="B1096">
        <v>1965</v>
      </c>
      <c r="C1096" t="s">
        <v>33</v>
      </c>
      <c r="D1096" t="s">
        <v>34</v>
      </c>
      <c r="E1096" t="str">
        <f>IF(OR(Table1[[#This Row],[marital_status]]="Married", Table1[[#This Row],[marital_status]]="Together"), "Partnered", "Single")</f>
        <v>Partnered</v>
      </c>
      <c r="F1096" s="7">
        <v>57236</v>
      </c>
      <c r="G1096" s="8">
        <v>1</v>
      </c>
      <c r="H1096" s="8">
        <v>1</v>
      </c>
      <c r="I1096" s="8">
        <f>Table1[[#This Row],[kids]]+Table1[[#This Row],[teens]]</f>
        <v>2</v>
      </c>
      <c r="J1096" s="9">
        <v>41710</v>
      </c>
      <c r="K1096" s="8">
        <v>22</v>
      </c>
      <c r="L1096" s="6">
        <v>105</v>
      </c>
      <c r="M1096" s="5">
        <v>0</v>
      </c>
      <c r="N1096" s="5">
        <v>9</v>
      </c>
      <c r="O1096" s="5">
        <v>2</v>
      </c>
      <c r="P1096" s="5">
        <v>1</v>
      </c>
      <c r="Q1096" s="5">
        <v>4</v>
      </c>
      <c r="R1096" s="8">
        <v>3</v>
      </c>
      <c r="S1096" s="8">
        <v>2</v>
      </c>
      <c r="T1096" s="8">
        <v>1</v>
      </c>
      <c r="U1096" s="8">
        <v>4</v>
      </c>
      <c r="V1096" s="8">
        <v>3</v>
      </c>
      <c r="W1096" t="s">
        <v>473</v>
      </c>
      <c r="X1096" t="s">
        <v>473</v>
      </c>
      <c r="Y1096" t="s">
        <v>473</v>
      </c>
      <c r="Z1096" t="s">
        <v>473</v>
      </c>
      <c r="AA1096" t="s">
        <v>473</v>
      </c>
      <c r="AB1096" t="s">
        <v>473</v>
      </c>
      <c r="AC1096" s="10">
        <v>3</v>
      </c>
      <c r="AD1096" s="10">
        <v>11</v>
      </c>
      <c r="AE1096" t="s">
        <v>473</v>
      </c>
    </row>
    <row r="1097" spans="1:31" x14ac:dyDescent="0.25">
      <c r="A1097">
        <v>9964</v>
      </c>
      <c r="B1097">
        <v>1979</v>
      </c>
      <c r="C1097" t="s">
        <v>466</v>
      </c>
      <c r="D1097" t="s">
        <v>30</v>
      </c>
      <c r="E1097" t="str">
        <f>IF(OR(Table1[[#This Row],[marital_status]]="Married", Table1[[#This Row],[marital_status]]="Together"), "Partnered", "Single")</f>
        <v>Single</v>
      </c>
      <c r="F1097" s="7">
        <v>61825</v>
      </c>
      <c r="G1097" s="8">
        <v>0</v>
      </c>
      <c r="H1097" s="8">
        <v>1</v>
      </c>
      <c r="I1097" s="8">
        <f>Table1[[#This Row],[kids]]+Table1[[#This Row],[teens]]</f>
        <v>1</v>
      </c>
      <c r="J1097" s="9">
        <v>41493</v>
      </c>
      <c r="K1097" s="8">
        <v>56</v>
      </c>
      <c r="L1097" s="6">
        <v>162</v>
      </c>
      <c r="M1097" s="5">
        <v>50</v>
      </c>
      <c r="N1097" s="5">
        <v>100</v>
      </c>
      <c r="O1097" s="5">
        <v>55</v>
      </c>
      <c r="P1097" s="5">
        <v>30</v>
      </c>
      <c r="Q1097" s="5">
        <v>27</v>
      </c>
      <c r="R1097" s="8">
        <v>1</v>
      </c>
      <c r="S1097" s="8">
        <v>4</v>
      </c>
      <c r="T1097" s="8">
        <v>2</v>
      </c>
      <c r="U1097" s="8">
        <v>8</v>
      </c>
      <c r="V1097" s="8">
        <v>4</v>
      </c>
      <c r="W1097" t="s">
        <v>473</v>
      </c>
      <c r="X1097" t="s">
        <v>473</v>
      </c>
      <c r="Y1097" t="s">
        <v>473</v>
      </c>
      <c r="Z1097" t="s">
        <v>473</v>
      </c>
      <c r="AA1097" t="s">
        <v>473</v>
      </c>
      <c r="AB1097" t="s">
        <v>473</v>
      </c>
      <c r="AC1097" s="10">
        <v>3</v>
      </c>
      <c r="AD1097" s="10">
        <v>11</v>
      </c>
      <c r="AE1097" t="s">
        <v>473</v>
      </c>
    </row>
    <row r="1098" spans="1:31" x14ac:dyDescent="0.25">
      <c r="A1098">
        <v>4790</v>
      </c>
      <c r="B1098">
        <v>1958</v>
      </c>
      <c r="C1098" t="s">
        <v>466</v>
      </c>
      <c r="D1098" t="s">
        <v>37</v>
      </c>
      <c r="E1098" t="str">
        <f>IF(OR(Table1[[#This Row],[marital_status]]="Married", Table1[[#This Row],[marital_status]]="Together"), "Partnered", "Single")</f>
        <v>Single</v>
      </c>
      <c r="F1098" s="7">
        <v>79803</v>
      </c>
      <c r="G1098" s="8">
        <v>0</v>
      </c>
      <c r="H1098" s="8">
        <v>1</v>
      </c>
      <c r="I1098" s="8">
        <f>Table1[[#This Row],[kids]]+Table1[[#This Row],[teens]]</f>
        <v>1</v>
      </c>
      <c r="J1098" s="9">
        <v>41792</v>
      </c>
      <c r="K1098" s="8">
        <v>54</v>
      </c>
      <c r="L1098" s="6">
        <v>574</v>
      </c>
      <c r="M1098" s="5">
        <v>8</v>
      </c>
      <c r="N1098" s="5">
        <v>216</v>
      </c>
      <c r="O1098" s="5">
        <v>21</v>
      </c>
      <c r="P1098" s="5">
        <v>16</v>
      </c>
      <c r="Q1098" s="5">
        <v>33</v>
      </c>
      <c r="R1098" s="8">
        <v>1</v>
      </c>
      <c r="S1098" s="8">
        <v>4</v>
      </c>
      <c r="T1098" s="8">
        <v>3</v>
      </c>
      <c r="U1098" s="8">
        <v>5</v>
      </c>
      <c r="V1098" s="8">
        <v>1</v>
      </c>
      <c r="W1098" t="s">
        <v>473</v>
      </c>
      <c r="X1098" t="s">
        <v>473</v>
      </c>
      <c r="Y1098" t="s">
        <v>473</v>
      </c>
      <c r="Z1098" t="s">
        <v>473</v>
      </c>
      <c r="AA1098" t="s">
        <v>473</v>
      </c>
      <c r="AB1098" t="s">
        <v>473</v>
      </c>
      <c r="AC1098" s="10">
        <v>3</v>
      </c>
      <c r="AD1098" s="10">
        <v>11</v>
      </c>
      <c r="AE1098" t="s">
        <v>473</v>
      </c>
    </row>
    <row r="1099" spans="1:31" x14ac:dyDescent="0.25">
      <c r="A1099">
        <v>10245</v>
      </c>
      <c r="B1099">
        <v>1986</v>
      </c>
      <c r="C1099" t="s">
        <v>46</v>
      </c>
      <c r="D1099" t="s">
        <v>30</v>
      </c>
      <c r="E1099" t="str">
        <f>IF(OR(Table1[[#This Row],[marital_status]]="Married", Table1[[#This Row],[marital_status]]="Together"), "Partnered", "Single")</f>
        <v>Single</v>
      </c>
      <c r="F1099" s="7">
        <v>80910</v>
      </c>
      <c r="G1099" s="8">
        <v>0</v>
      </c>
      <c r="H1099" s="8">
        <v>0</v>
      </c>
      <c r="I1099" s="8">
        <f>Table1[[#This Row],[kids]]+Table1[[#This Row],[teens]]</f>
        <v>0</v>
      </c>
      <c r="J1099" s="9">
        <v>41213</v>
      </c>
      <c r="K1099" s="8">
        <v>71</v>
      </c>
      <c r="L1099" s="6">
        <v>160</v>
      </c>
      <c r="M1099" s="5">
        <v>80</v>
      </c>
      <c r="N1099" s="5">
        <v>369</v>
      </c>
      <c r="O1099" s="5">
        <v>67</v>
      </c>
      <c r="P1099" s="5">
        <v>39</v>
      </c>
      <c r="Q1099" s="5">
        <v>41</v>
      </c>
      <c r="R1099" s="8">
        <v>1</v>
      </c>
      <c r="S1099" s="8">
        <v>3</v>
      </c>
      <c r="T1099" s="8">
        <v>3</v>
      </c>
      <c r="U1099" s="8">
        <v>8</v>
      </c>
      <c r="V1099" s="8">
        <v>1</v>
      </c>
      <c r="W1099" t="s">
        <v>473</v>
      </c>
      <c r="X1099" t="s">
        <v>473</v>
      </c>
      <c r="Y1099" t="s">
        <v>473</v>
      </c>
      <c r="Z1099" t="s">
        <v>473</v>
      </c>
      <c r="AA1099" t="s">
        <v>473</v>
      </c>
      <c r="AB1099" t="s">
        <v>473</v>
      </c>
      <c r="AC1099" s="10">
        <v>3</v>
      </c>
      <c r="AD1099" s="10">
        <v>11</v>
      </c>
      <c r="AE1099" t="s">
        <v>473</v>
      </c>
    </row>
    <row r="1100" spans="1:31" x14ac:dyDescent="0.25">
      <c r="A1100">
        <v>1109</v>
      </c>
      <c r="B1100">
        <v>1982</v>
      </c>
      <c r="C1100" t="s">
        <v>36</v>
      </c>
      <c r="D1100" t="s">
        <v>31</v>
      </c>
      <c r="E1100" t="str">
        <f>IF(OR(Table1[[#This Row],[marital_status]]="Married", Table1[[#This Row],[marital_status]]="Together"), "Partnered", "Single")</f>
        <v>Partnered</v>
      </c>
      <c r="F1100" s="7">
        <v>27590</v>
      </c>
      <c r="G1100" s="8">
        <v>1</v>
      </c>
      <c r="H1100" s="8">
        <v>0</v>
      </c>
      <c r="I1100" s="8">
        <f>Table1[[#This Row],[kids]]+Table1[[#This Row],[teens]]</f>
        <v>1</v>
      </c>
      <c r="J1100" s="9">
        <v>41387</v>
      </c>
      <c r="K1100" s="8">
        <v>38</v>
      </c>
      <c r="L1100" s="6">
        <v>6</v>
      </c>
      <c r="M1100" s="5">
        <v>0</v>
      </c>
      <c r="N1100" s="5">
        <v>5</v>
      </c>
      <c r="O1100" s="5">
        <v>0</v>
      </c>
      <c r="P1100" s="5">
        <v>0</v>
      </c>
      <c r="Q1100" s="5">
        <v>1</v>
      </c>
      <c r="R1100" s="8">
        <v>1</v>
      </c>
      <c r="S1100" s="8">
        <v>1</v>
      </c>
      <c r="T1100" s="8">
        <v>0</v>
      </c>
      <c r="U1100" s="8">
        <v>2</v>
      </c>
      <c r="V1100" s="8">
        <v>7</v>
      </c>
      <c r="W1100" t="s">
        <v>473</v>
      </c>
      <c r="X1100" t="s">
        <v>473</v>
      </c>
      <c r="Y1100" t="s">
        <v>473</v>
      </c>
      <c r="Z1100" t="s">
        <v>473</v>
      </c>
      <c r="AA1100" t="s">
        <v>473</v>
      </c>
      <c r="AB1100" t="s">
        <v>473</v>
      </c>
      <c r="AC1100" s="10">
        <v>3</v>
      </c>
      <c r="AD1100" s="10">
        <v>11</v>
      </c>
      <c r="AE1100" t="s">
        <v>473</v>
      </c>
    </row>
    <row r="1101" spans="1:31" x14ac:dyDescent="0.25">
      <c r="A1101">
        <v>6001</v>
      </c>
      <c r="B1101">
        <v>1979</v>
      </c>
      <c r="C1101" t="s">
        <v>466</v>
      </c>
      <c r="D1101" t="s">
        <v>34</v>
      </c>
      <c r="E1101" t="str">
        <f>IF(OR(Table1[[#This Row],[marital_status]]="Married", Table1[[#This Row],[marital_status]]="Together"), "Partnered", "Single")</f>
        <v>Partnered</v>
      </c>
      <c r="F1101" s="7">
        <v>56775</v>
      </c>
      <c r="G1101" s="8">
        <v>0</v>
      </c>
      <c r="H1101" s="8">
        <v>1</v>
      </c>
      <c r="I1101" s="8">
        <f>Table1[[#This Row],[kids]]+Table1[[#This Row],[teens]]</f>
        <v>1</v>
      </c>
      <c r="J1101" s="9">
        <v>41276</v>
      </c>
      <c r="K1101" s="8">
        <v>62</v>
      </c>
      <c r="L1101" s="6">
        <v>614</v>
      </c>
      <c r="M1101" s="5">
        <v>35</v>
      </c>
      <c r="N1101" s="5">
        <v>160</v>
      </c>
      <c r="O1101" s="5">
        <v>58</v>
      </c>
      <c r="P1101" s="5">
        <v>35</v>
      </c>
      <c r="Q1101" s="5">
        <v>35</v>
      </c>
      <c r="R1101" s="8">
        <v>2</v>
      </c>
      <c r="S1101" s="8">
        <v>5</v>
      </c>
      <c r="T1101" s="8">
        <v>8</v>
      </c>
      <c r="U1101" s="8">
        <v>10</v>
      </c>
      <c r="V1101" s="8">
        <v>5</v>
      </c>
      <c r="W1101" t="s">
        <v>473</v>
      </c>
      <c r="X1101" t="s">
        <v>473</v>
      </c>
      <c r="Y1101" t="s">
        <v>473</v>
      </c>
      <c r="Z1101" t="s">
        <v>473</v>
      </c>
      <c r="AA1101" t="s">
        <v>473</v>
      </c>
      <c r="AB1101" t="s">
        <v>473</v>
      </c>
      <c r="AC1101" s="10">
        <v>3</v>
      </c>
      <c r="AD1101" s="10">
        <v>11</v>
      </c>
      <c r="AE1101" t="s">
        <v>473</v>
      </c>
    </row>
    <row r="1102" spans="1:31" x14ac:dyDescent="0.25">
      <c r="A1102">
        <v>5538</v>
      </c>
      <c r="B1102">
        <v>1975</v>
      </c>
      <c r="C1102" t="s">
        <v>466</v>
      </c>
      <c r="D1102" t="s">
        <v>37</v>
      </c>
      <c r="E1102" t="str">
        <f>IF(OR(Table1[[#This Row],[marital_status]]="Married", Table1[[#This Row],[marital_status]]="Together"), "Partnered", "Single")</f>
        <v>Single</v>
      </c>
      <c r="F1102" s="7">
        <v>83829</v>
      </c>
      <c r="G1102" s="8">
        <v>0</v>
      </c>
      <c r="H1102" s="8">
        <v>0</v>
      </c>
      <c r="I1102" s="8">
        <f>Table1[[#This Row],[kids]]+Table1[[#This Row],[teens]]</f>
        <v>0</v>
      </c>
      <c r="J1102" s="9">
        <v>41555</v>
      </c>
      <c r="K1102" s="8">
        <v>78</v>
      </c>
      <c r="L1102" s="6">
        <v>897</v>
      </c>
      <c r="M1102" s="5">
        <v>161</v>
      </c>
      <c r="N1102" s="5">
        <v>430</v>
      </c>
      <c r="O1102" s="5">
        <v>186</v>
      </c>
      <c r="P1102" s="5">
        <v>161</v>
      </c>
      <c r="Q1102" s="5">
        <v>27</v>
      </c>
      <c r="R1102" s="8">
        <v>0</v>
      </c>
      <c r="S1102" s="8">
        <v>4</v>
      </c>
      <c r="T1102" s="8">
        <v>7</v>
      </c>
      <c r="U1102" s="8">
        <v>6</v>
      </c>
      <c r="V1102" s="8">
        <v>1</v>
      </c>
      <c r="W1102" t="s">
        <v>474</v>
      </c>
      <c r="X1102" t="s">
        <v>473</v>
      </c>
      <c r="Y1102" t="s">
        <v>474</v>
      </c>
      <c r="Z1102" t="s">
        <v>474</v>
      </c>
      <c r="AA1102" t="s">
        <v>473</v>
      </c>
      <c r="AB1102" t="s">
        <v>473</v>
      </c>
      <c r="AC1102" s="10">
        <v>3</v>
      </c>
      <c r="AD1102" s="10">
        <v>11</v>
      </c>
      <c r="AE1102" t="s">
        <v>474</v>
      </c>
    </row>
    <row r="1103" spans="1:31" x14ac:dyDescent="0.25">
      <c r="A1103">
        <v>10552</v>
      </c>
      <c r="B1103">
        <v>1979</v>
      </c>
      <c r="C1103" t="s">
        <v>46</v>
      </c>
      <c r="D1103" t="s">
        <v>34</v>
      </c>
      <c r="E1103" t="str">
        <f>IF(OR(Table1[[#This Row],[marital_status]]="Married", Table1[[#This Row],[marital_status]]="Together"), "Partnered", "Single")</f>
        <v>Partnered</v>
      </c>
      <c r="F1103" s="7">
        <v>54210</v>
      </c>
      <c r="G1103" s="8">
        <v>0</v>
      </c>
      <c r="H1103" s="8">
        <v>1</v>
      </c>
      <c r="I1103" s="8">
        <f>Table1[[#This Row],[kids]]+Table1[[#This Row],[teens]]</f>
        <v>1</v>
      </c>
      <c r="J1103" s="9">
        <v>41414</v>
      </c>
      <c r="K1103" s="8">
        <v>18</v>
      </c>
      <c r="L1103" s="6">
        <v>70</v>
      </c>
      <c r="M1103" s="5">
        <v>54</v>
      </c>
      <c r="N1103" s="5">
        <v>109</v>
      </c>
      <c r="O1103" s="5">
        <v>80</v>
      </c>
      <c r="P1103" s="5">
        <v>9</v>
      </c>
      <c r="Q1103" s="5">
        <v>45</v>
      </c>
      <c r="R1103" s="8">
        <v>2</v>
      </c>
      <c r="S1103" s="8">
        <v>4</v>
      </c>
      <c r="T1103" s="8">
        <v>1</v>
      </c>
      <c r="U1103" s="8">
        <v>7</v>
      </c>
      <c r="V1103" s="8">
        <v>5</v>
      </c>
      <c r="W1103" t="s">
        <v>473</v>
      </c>
      <c r="X1103" t="s">
        <v>473</v>
      </c>
      <c r="Y1103" t="s">
        <v>473</v>
      </c>
      <c r="Z1103" t="s">
        <v>473</v>
      </c>
      <c r="AA1103" t="s">
        <v>473</v>
      </c>
      <c r="AB1103" t="s">
        <v>473</v>
      </c>
      <c r="AC1103" s="10">
        <v>3</v>
      </c>
      <c r="AD1103" s="10">
        <v>11</v>
      </c>
      <c r="AE1103" t="s">
        <v>473</v>
      </c>
    </row>
    <row r="1104" spans="1:31" x14ac:dyDescent="0.25">
      <c r="A1104">
        <v>1545</v>
      </c>
      <c r="B1104">
        <v>1986</v>
      </c>
      <c r="C1104" t="s">
        <v>466</v>
      </c>
      <c r="D1104" t="s">
        <v>34</v>
      </c>
      <c r="E1104" t="str">
        <f>IF(OR(Table1[[#This Row],[marital_status]]="Married", Table1[[#This Row],[marital_status]]="Together"), "Partnered", "Single")</f>
        <v>Partnered</v>
      </c>
      <c r="F1104" s="7">
        <v>38508</v>
      </c>
      <c r="G1104" s="8">
        <v>1</v>
      </c>
      <c r="H1104" s="8">
        <v>0</v>
      </c>
      <c r="I1104" s="8">
        <f>Table1[[#This Row],[kids]]+Table1[[#This Row],[teens]]</f>
        <v>1</v>
      </c>
      <c r="J1104" s="9">
        <v>41488</v>
      </c>
      <c r="K1104" s="8">
        <v>95</v>
      </c>
      <c r="L1104" s="6">
        <v>120</v>
      </c>
      <c r="M1104" s="5">
        <v>19</v>
      </c>
      <c r="N1104" s="5">
        <v>206</v>
      </c>
      <c r="O1104" s="5">
        <v>25</v>
      </c>
      <c r="P1104" s="5">
        <v>19</v>
      </c>
      <c r="Q1104" s="5">
        <v>54</v>
      </c>
      <c r="R1104" s="8">
        <v>6</v>
      </c>
      <c r="S1104" s="8">
        <v>7</v>
      </c>
      <c r="T1104" s="8">
        <v>2</v>
      </c>
      <c r="U1104" s="8">
        <v>5</v>
      </c>
      <c r="V1104" s="8">
        <v>8</v>
      </c>
      <c r="W1104" t="s">
        <v>473</v>
      </c>
      <c r="X1104" t="s">
        <v>473</v>
      </c>
      <c r="Y1104" t="s">
        <v>473</v>
      </c>
      <c r="Z1104" t="s">
        <v>473</v>
      </c>
      <c r="AA1104" t="s">
        <v>473</v>
      </c>
      <c r="AB1104" t="s">
        <v>473</v>
      </c>
      <c r="AC1104" s="10">
        <v>3</v>
      </c>
      <c r="AD1104" s="10">
        <v>11</v>
      </c>
      <c r="AE1104" t="s">
        <v>473</v>
      </c>
    </row>
    <row r="1105" spans="1:31" x14ac:dyDescent="0.25">
      <c r="A1105">
        <v>7409</v>
      </c>
      <c r="B1105">
        <v>1970</v>
      </c>
      <c r="C1105" t="s">
        <v>466</v>
      </c>
      <c r="D1105" t="s">
        <v>31</v>
      </c>
      <c r="E1105" t="str">
        <f>IF(OR(Table1[[#This Row],[marital_status]]="Married", Table1[[#This Row],[marital_status]]="Together"), "Partnered", "Single")</f>
        <v>Partnered</v>
      </c>
      <c r="F1105" s="7">
        <v>53187</v>
      </c>
      <c r="G1105" s="8">
        <v>1</v>
      </c>
      <c r="H1105" s="8">
        <v>0</v>
      </c>
      <c r="I1105" s="8">
        <f>Table1[[#This Row],[kids]]+Table1[[#This Row],[teens]]</f>
        <v>1</v>
      </c>
      <c r="J1105" s="9">
        <v>41573</v>
      </c>
      <c r="K1105" s="8">
        <v>66</v>
      </c>
      <c r="L1105" s="6">
        <v>211</v>
      </c>
      <c r="M1105" s="5">
        <v>2</v>
      </c>
      <c r="N1105" s="5">
        <v>30</v>
      </c>
      <c r="O1105" s="5">
        <v>7</v>
      </c>
      <c r="P1105" s="5">
        <v>7</v>
      </c>
      <c r="Q1105" s="5">
        <v>10</v>
      </c>
      <c r="R1105" s="8">
        <v>2</v>
      </c>
      <c r="S1105" s="8">
        <v>4</v>
      </c>
      <c r="T1105" s="8">
        <v>1</v>
      </c>
      <c r="U1105" s="8">
        <v>6</v>
      </c>
      <c r="V1105" s="8">
        <v>5</v>
      </c>
      <c r="W1105" t="s">
        <v>473</v>
      </c>
      <c r="X1105" t="s">
        <v>473</v>
      </c>
      <c r="Y1105" t="s">
        <v>473</v>
      </c>
      <c r="Z1105" t="s">
        <v>473</v>
      </c>
      <c r="AA1105" t="s">
        <v>473</v>
      </c>
      <c r="AB1105" t="s">
        <v>473</v>
      </c>
      <c r="AC1105" s="10">
        <v>3</v>
      </c>
      <c r="AD1105" s="10">
        <v>11</v>
      </c>
      <c r="AE1105" t="s">
        <v>473</v>
      </c>
    </row>
    <row r="1106" spans="1:31" x14ac:dyDescent="0.25">
      <c r="A1106">
        <v>4444</v>
      </c>
      <c r="B1106">
        <v>1972</v>
      </c>
      <c r="C1106" t="s">
        <v>466</v>
      </c>
      <c r="D1106" t="s">
        <v>34</v>
      </c>
      <c r="E1106" t="str">
        <f>IF(OR(Table1[[#This Row],[marital_status]]="Married", Table1[[#This Row],[marital_status]]="Together"), "Partnered", "Single")</f>
        <v>Partnered</v>
      </c>
      <c r="F1106" s="7">
        <v>30023</v>
      </c>
      <c r="G1106" s="8">
        <v>1</v>
      </c>
      <c r="H1106" s="8">
        <v>0</v>
      </c>
      <c r="I1106" s="8">
        <f>Table1[[#This Row],[kids]]+Table1[[#This Row],[teens]]</f>
        <v>1</v>
      </c>
      <c r="J1106" s="9">
        <v>41722</v>
      </c>
      <c r="K1106" s="8">
        <v>28</v>
      </c>
      <c r="L1106" s="6">
        <v>11</v>
      </c>
      <c r="M1106" s="5">
        <v>0</v>
      </c>
      <c r="N1106" s="5">
        <v>16</v>
      </c>
      <c r="O1106" s="5">
        <v>7</v>
      </c>
      <c r="P1106" s="5">
        <v>6</v>
      </c>
      <c r="Q1106" s="5">
        <v>21</v>
      </c>
      <c r="R1106" s="8">
        <v>1</v>
      </c>
      <c r="S1106" s="8">
        <v>2</v>
      </c>
      <c r="T1106" s="8">
        <v>0</v>
      </c>
      <c r="U1106" s="8">
        <v>3</v>
      </c>
      <c r="V1106" s="8">
        <v>8</v>
      </c>
      <c r="W1106" t="s">
        <v>473</v>
      </c>
      <c r="X1106" t="s">
        <v>473</v>
      </c>
      <c r="Y1106" t="s">
        <v>473</v>
      </c>
      <c r="Z1106" t="s">
        <v>473</v>
      </c>
      <c r="AA1106" t="s">
        <v>473</v>
      </c>
      <c r="AB1106" t="s">
        <v>473</v>
      </c>
      <c r="AC1106" s="10">
        <v>3</v>
      </c>
      <c r="AD1106" s="10">
        <v>11</v>
      </c>
      <c r="AE1106" t="s">
        <v>473</v>
      </c>
    </row>
    <row r="1107" spans="1:31" x14ac:dyDescent="0.25">
      <c r="A1107">
        <v>146</v>
      </c>
      <c r="B1107">
        <v>1960</v>
      </c>
      <c r="C1107" t="s">
        <v>33</v>
      </c>
      <c r="D1107" t="s">
        <v>30</v>
      </c>
      <c r="E1107" t="str">
        <f>IF(OR(Table1[[#This Row],[marital_status]]="Married", Table1[[#This Row],[marital_status]]="Together"), "Partnered", "Single")</f>
        <v>Single</v>
      </c>
      <c r="F1107" s="7">
        <v>76045</v>
      </c>
      <c r="G1107" s="8">
        <v>0</v>
      </c>
      <c r="H1107" s="8">
        <v>0</v>
      </c>
      <c r="I1107" s="8">
        <f>Table1[[#This Row],[kids]]+Table1[[#This Row],[teens]]</f>
        <v>0</v>
      </c>
      <c r="J1107" s="9">
        <v>41593</v>
      </c>
      <c r="K1107" s="8">
        <v>78</v>
      </c>
      <c r="L1107" s="6">
        <v>760</v>
      </c>
      <c r="M1107" s="5">
        <v>53</v>
      </c>
      <c r="N1107" s="5">
        <v>400</v>
      </c>
      <c r="O1107" s="5">
        <v>17</v>
      </c>
      <c r="P1107" s="5">
        <v>93</v>
      </c>
      <c r="Q1107" s="5">
        <v>0</v>
      </c>
      <c r="R1107" s="8">
        <v>1</v>
      </c>
      <c r="S1107" s="8">
        <v>4</v>
      </c>
      <c r="T1107" s="8">
        <v>5</v>
      </c>
      <c r="U1107" s="8">
        <v>11</v>
      </c>
      <c r="V1107" s="8">
        <v>2</v>
      </c>
      <c r="W1107" t="s">
        <v>473</v>
      </c>
      <c r="X1107" t="s">
        <v>473</v>
      </c>
      <c r="Y1107" t="s">
        <v>473</v>
      </c>
      <c r="Z1107" t="s">
        <v>474</v>
      </c>
      <c r="AA1107" t="s">
        <v>473</v>
      </c>
      <c r="AB1107" t="s">
        <v>473</v>
      </c>
      <c r="AC1107" s="10">
        <v>3</v>
      </c>
      <c r="AD1107" s="10">
        <v>11</v>
      </c>
      <c r="AE1107" t="s">
        <v>473</v>
      </c>
    </row>
    <row r="1108" spans="1:31" x14ac:dyDescent="0.25">
      <c r="A1108">
        <v>6271</v>
      </c>
      <c r="B1108">
        <v>1952</v>
      </c>
      <c r="C1108" t="s">
        <v>33</v>
      </c>
      <c r="D1108" t="s">
        <v>34</v>
      </c>
      <c r="E1108" t="str">
        <f>IF(OR(Table1[[#This Row],[marital_status]]="Married", Table1[[#This Row],[marital_status]]="Together"), "Partnered", "Single")</f>
        <v>Partnered</v>
      </c>
      <c r="F1108" s="7">
        <v>50870</v>
      </c>
      <c r="G1108" s="8">
        <v>0</v>
      </c>
      <c r="H1108" s="8">
        <v>1</v>
      </c>
      <c r="I1108" s="8">
        <f>Table1[[#This Row],[kids]]+Table1[[#This Row],[teens]]</f>
        <v>1</v>
      </c>
      <c r="J1108" s="9">
        <v>41809</v>
      </c>
      <c r="K1108" s="8">
        <v>13</v>
      </c>
      <c r="L1108" s="6">
        <v>53</v>
      </c>
      <c r="M1108" s="5">
        <v>0</v>
      </c>
      <c r="N1108" s="5">
        <v>8</v>
      </c>
      <c r="O1108" s="5">
        <v>0</v>
      </c>
      <c r="P1108" s="5">
        <v>0</v>
      </c>
      <c r="Q1108" s="5">
        <v>2</v>
      </c>
      <c r="R1108" s="8">
        <v>1</v>
      </c>
      <c r="S1108" s="8">
        <v>2</v>
      </c>
      <c r="T1108" s="8">
        <v>0</v>
      </c>
      <c r="U1108" s="8">
        <v>3</v>
      </c>
      <c r="V1108" s="8">
        <v>5</v>
      </c>
      <c r="W1108" t="s">
        <v>473</v>
      </c>
      <c r="X1108" t="s">
        <v>473</v>
      </c>
      <c r="Y1108" t="s">
        <v>473</v>
      </c>
      <c r="Z1108" t="s">
        <v>473</v>
      </c>
      <c r="AA1108" t="s">
        <v>473</v>
      </c>
      <c r="AB1108" t="s">
        <v>473</v>
      </c>
      <c r="AC1108" s="10">
        <v>3</v>
      </c>
      <c r="AD1108" s="10">
        <v>11</v>
      </c>
      <c r="AE1108" t="s">
        <v>473</v>
      </c>
    </row>
    <row r="1109" spans="1:31" x14ac:dyDescent="0.25">
      <c r="A1109">
        <v>10065</v>
      </c>
      <c r="B1109">
        <v>1970</v>
      </c>
      <c r="C1109" t="s">
        <v>46</v>
      </c>
      <c r="D1109" t="s">
        <v>34</v>
      </c>
      <c r="E1109" t="str">
        <f>IF(OR(Table1[[#This Row],[marital_status]]="Married", Table1[[#This Row],[marital_status]]="Together"), "Partnered", "Single")</f>
        <v>Partnered</v>
      </c>
      <c r="F1109" s="7">
        <v>15315</v>
      </c>
      <c r="G1109" s="8">
        <v>0</v>
      </c>
      <c r="H1109" s="8">
        <v>0</v>
      </c>
      <c r="I1109" s="8">
        <f>Table1[[#This Row],[kids]]+Table1[[#This Row],[teens]]</f>
        <v>0</v>
      </c>
      <c r="J1109" s="9">
        <v>41489</v>
      </c>
      <c r="K1109" s="8">
        <v>27</v>
      </c>
      <c r="L1109" s="6">
        <v>7</v>
      </c>
      <c r="M1109" s="5">
        <v>4</v>
      </c>
      <c r="N1109" s="5">
        <v>13</v>
      </c>
      <c r="O1109" s="5">
        <v>15</v>
      </c>
      <c r="P1109" s="5">
        <v>8</v>
      </c>
      <c r="Q1109" s="5">
        <v>17</v>
      </c>
      <c r="R1109" s="8">
        <v>2</v>
      </c>
      <c r="S1109" s="8">
        <v>2</v>
      </c>
      <c r="T1109" s="8">
        <v>0</v>
      </c>
      <c r="U1109" s="8">
        <v>4</v>
      </c>
      <c r="V1109" s="8">
        <v>5</v>
      </c>
      <c r="W1109" t="s">
        <v>473</v>
      </c>
      <c r="X1109" t="s">
        <v>473</v>
      </c>
      <c r="Y1109" t="s">
        <v>473</v>
      </c>
      <c r="Z1109" t="s">
        <v>473</v>
      </c>
      <c r="AA1109" t="s">
        <v>473</v>
      </c>
      <c r="AB1109" t="s">
        <v>473</v>
      </c>
      <c r="AC1109" s="10">
        <v>3</v>
      </c>
      <c r="AD1109" s="10">
        <v>11</v>
      </c>
      <c r="AE1109" t="s">
        <v>473</v>
      </c>
    </row>
    <row r="1110" spans="1:31" x14ac:dyDescent="0.25">
      <c r="A1110">
        <v>4741</v>
      </c>
      <c r="B1110">
        <v>1974</v>
      </c>
      <c r="C1110" t="s">
        <v>46</v>
      </c>
      <c r="D1110" t="s">
        <v>34</v>
      </c>
      <c r="E1110" t="str">
        <f>IF(OR(Table1[[#This Row],[marital_status]]="Married", Table1[[#This Row],[marital_status]]="Together"), "Partnered", "Single")</f>
        <v>Partnered</v>
      </c>
      <c r="F1110" s="7">
        <v>65463</v>
      </c>
      <c r="G1110" s="8">
        <v>1</v>
      </c>
      <c r="H1110" s="8">
        <v>0</v>
      </c>
      <c r="I1110" s="8">
        <f>Table1[[#This Row],[kids]]+Table1[[#This Row],[teens]]</f>
        <v>1</v>
      </c>
      <c r="J1110" s="9">
        <v>41669</v>
      </c>
      <c r="K1110" s="8">
        <v>17</v>
      </c>
      <c r="L1110" s="6">
        <v>391</v>
      </c>
      <c r="M1110" s="5">
        <v>32</v>
      </c>
      <c r="N1110" s="5">
        <v>70</v>
      </c>
      <c r="O1110" s="5">
        <v>21</v>
      </c>
      <c r="P1110" s="5">
        <v>32</v>
      </c>
      <c r="Q1110" s="5">
        <v>16</v>
      </c>
      <c r="R1110" s="8">
        <v>2</v>
      </c>
      <c r="S1110" s="8">
        <v>6</v>
      </c>
      <c r="T1110" s="8">
        <v>2</v>
      </c>
      <c r="U1110" s="8">
        <v>9</v>
      </c>
      <c r="V1110" s="8">
        <v>5</v>
      </c>
      <c r="W1110" t="s">
        <v>473</v>
      </c>
      <c r="X1110" t="s">
        <v>474</v>
      </c>
      <c r="Y1110" t="s">
        <v>473</v>
      </c>
      <c r="Z1110" t="s">
        <v>473</v>
      </c>
      <c r="AA1110" t="s">
        <v>473</v>
      </c>
      <c r="AB1110" t="s">
        <v>473</v>
      </c>
      <c r="AC1110" s="10">
        <v>3</v>
      </c>
      <c r="AD1110" s="10">
        <v>11</v>
      </c>
      <c r="AE1110" t="s">
        <v>473</v>
      </c>
    </row>
    <row r="1111" spans="1:31" x14ac:dyDescent="0.25">
      <c r="A1111">
        <v>246</v>
      </c>
      <c r="B1111">
        <v>1965</v>
      </c>
      <c r="C1111" t="s">
        <v>466</v>
      </c>
      <c r="D1111" t="s">
        <v>34</v>
      </c>
      <c r="E1111" t="str">
        <f>IF(OR(Table1[[#This Row],[marital_status]]="Married", Table1[[#This Row],[marital_status]]="Together"), "Partnered", "Single")</f>
        <v>Partnered</v>
      </c>
      <c r="F1111" s="7">
        <v>66480</v>
      </c>
      <c r="G1111" s="8">
        <v>1</v>
      </c>
      <c r="H1111" s="8">
        <v>1</v>
      </c>
      <c r="I1111" s="8">
        <f>Table1[[#This Row],[kids]]+Table1[[#This Row],[teens]]</f>
        <v>2</v>
      </c>
      <c r="J1111" s="9">
        <v>41790</v>
      </c>
      <c r="K1111" s="8">
        <v>71</v>
      </c>
      <c r="L1111" s="6">
        <v>199</v>
      </c>
      <c r="M1111" s="5">
        <v>9</v>
      </c>
      <c r="N1111" s="5">
        <v>57</v>
      </c>
      <c r="O1111" s="5">
        <v>20</v>
      </c>
      <c r="P1111" s="5">
        <v>21</v>
      </c>
      <c r="Q1111" s="5">
        <v>6</v>
      </c>
      <c r="R1111" s="8">
        <v>7</v>
      </c>
      <c r="S1111" s="8">
        <v>4</v>
      </c>
      <c r="T1111" s="8">
        <v>1</v>
      </c>
      <c r="U1111" s="8">
        <v>7</v>
      </c>
      <c r="V1111" s="8">
        <v>4</v>
      </c>
      <c r="W1111" t="s">
        <v>473</v>
      </c>
      <c r="X1111" t="s">
        <v>473</v>
      </c>
      <c r="Y1111" t="s">
        <v>473</v>
      </c>
      <c r="Z1111" t="s">
        <v>473</v>
      </c>
      <c r="AA1111" t="s">
        <v>473</v>
      </c>
      <c r="AB1111" t="s">
        <v>473</v>
      </c>
      <c r="AC1111" s="10">
        <v>3</v>
      </c>
      <c r="AD1111" s="10">
        <v>11</v>
      </c>
      <c r="AE1111" t="s">
        <v>473</v>
      </c>
    </row>
    <row r="1112" spans="1:31" x14ac:dyDescent="0.25">
      <c r="A1112">
        <v>375</v>
      </c>
      <c r="B1112">
        <v>1954</v>
      </c>
      <c r="C1112" t="s">
        <v>466</v>
      </c>
      <c r="D1112" t="s">
        <v>37</v>
      </c>
      <c r="E1112" t="str">
        <f>IF(OR(Table1[[#This Row],[marital_status]]="Married", Table1[[#This Row],[marital_status]]="Together"), "Partnered", "Single")</f>
        <v>Single</v>
      </c>
      <c r="F1112" s="7">
        <v>76773</v>
      </c>
      <c r="G1112" s="8">
        <v>0</v>
      </c>
      <c r="H1112" s="8">
        <v>0</v>
      </c>
      <c r="I1112" s="8">
        <f>Table1[[#This Row],[kids]]+Table1[[#This Row],[teens]]</f>
        <v>0</v>
      </c>
      <c r="J1112" s="9">
        <v>41330</v>
      </c>
      <c r="K1112" s="8">
        <v>79</v>
      </c>
      <c r="L1112" s="6">
        <v>516</v>
      </c>
      <c r="M1112" s="5">
        <v>56</v>
      </c>
      <c r="N1112" s="5">
        <v>449</v>
      </c>
      <c r="O1112" s="5">
        <v>86</v>
      </c>
      <c r="P1112" s="5">
        <v>33</v>
      </c>
      <c r="Q1112" s="5">
        <v>16</v>
      </c>
      <c r="R1112" s="8">
        <v>1</v>
      </c>
      <c r="S1112" s="8">
        <v>2</v>
      </c>
      <c r="T1112" s="8">
        <v>2</v>
      </c>
      <c r="U1112" s="8">
        <v>11</v>
      </c>
      <c r="V1112" s="8">
        <v>1</v>
      </c>
      <c r="W1112" t="s">
        <v>473</v>
      </c>
      <c r="X1112" t="s">
        <v>473</v>
      </c>
      <c r="Y1112" t="s">
        <v>473</v>
      </c>
      <c r="Z1112" t="s">
        <v>473</v>
      </c>
      <c r="AA1112" t="s">
        <v>473</v>
      </c>
      <c r="AB1112" t="s">
        <v>473</v>
      </c>
      <c r="AC1112" s="10">
        <v>3</v>
      </c>
      <c r="AD1112" s="10">
        <v>11</v>
      </c>
      <c r="AE1112" t="s">
        <v>473</v>
      </c>
    </row>
    <row r="1113" spans="1:31" x14ac:dyDescent="0.25">
      <c r="A1113">
        <v>1524</v>
      </c>
      <c r="B1113">
        <v>1983</v>
      </c>
      <c r="C1113" t="s">
        <v>46</v>
      </c>
      <c r="D1113" t="s">
        <v>30</v>
      </c>
      <c r="E1113" t="str">
        <f>IF(OR(Table1[[#This Row],[marital_status]]="Married", Table1[[#This Row],[marital_status]]="Together"), "Partnered", "Single")</f>
        <v>Single</v>
      </c>
      <c r="F1113" s="7">
        <v>81698</v>
      </c>
      <c r="G1113" s="8">
        <v>0</v>
      </c>
      <c r="H1113" s="8">
        <v>0</v>
      </c>
      <c r="I1113" s="8">
        <f>Table1[[#This Row],[kids]]+Table1[[#This Row],[teens]]</f>
        <v>0</v>
      </c>
      <c r="J1113" s="9">
        <v>41334</v>
      </c>
      <c r="K1113" s="8">
        <v>1</v>
      </c>
      <c r="L1113" s="6">
        <v>709</v>
      </c>
      <c r="M1113" s="5">
        <v>45</v>
      </c>
      <c r="N1113" s="5">
        <v>115</v>
      </c>
      <c r="O1113" s="5">
        <v>30</v>
      </c>
      <c r="P1113" s="5">
        <v>160</v>
      </c>
      <c r="Q1113" s="5">
        <v>45</v>
      </c>
      <c r="R1113" s="8">
        <v>1</v>
      </c>
      <c r="S1113" s="8">
        <v>8</v>
      </c>
      <c r="T1113" s="8">
        <v>2</v>
      </c>
      <c r="U1113" s="8">
        <v>5</v>
      </c>
      <c r="V1113" s="8">
        <v>5</v>
      </c>
      <c r="W1113" t="s">
        <v>473</v>
      </c>
      <c r="X1113" t="s">
        <v>473</v>
      </c>
      <c r="Y1113" t="s">
        <v>473</v>
      </c>
      <c r="Z1113" t="s">
        <v>474</v>
      </c>
      <c r="AA1113" t="s">
        <v>473</v>
      </c>
      <c r="AB1113" t="s">
        <v>473</v>
      </c>
      <c r="AC1113" s="10">
        <v>3</v>
      </c>
      <c r="AD1113" s="10">
        <v>11</v>
      </c>
      <c r="AE1113" t="s">
        <v>474</v>
      </c>
    </row>
    <row r="1114" spans="1:31" x14ac:dyDescent="0.25">
      <c r="A1114">
        <v>10022</v>
      </c>
      <c r="B1114">
        <v>1973</v>
      </c>
      <c r="C1114" t="s">
        <v>33</v>
      </c>
      <c r="D1114" t="s">
        <v>30</v>
      </c>
      <c r="E1114" t="str">
        <f>IF(OR(Table1[[#This Row],[marital_status]]="Married", Table1[[#This Row],[marital_status]]="Together"), "Partnered", "Single")</f>
        <v>Single</v>
      </c>
      <c r="F1114" s="7">
        <v>54466</v>
      </c>
      <c r="G1114" s="8">
        <v>1</v>
      </c>
      <c r="H1114" s="8">
        <v>1</v>
      </c>
      <c r="I1114" s="8">
        <f>Table1[[#This Row],[kids]]+Table1[[#This Row],[teens]]</f>
        <v>2</v>
      </c>
      <c r="J1114" s="9">
        <v>41679</v>
      </c>
      <c r="K1114" s="8">
        <v>78</v>
      </c>
      <c r="L1114" s="6">
        <v>12</v>
      </c>
      <c r="M1114" s="5">
        <v>0</v>
      </c>
      <c r="N1114" s="5">
        <v>4</v>
      </c>
      <c r="O1114" s="5">
        <v>0</v>
      </c>
      <c r="P1114" s="5">
        <v>0</v>
      </c>
      <c r="Q1114" s="5">
        <v>0</v>
      </c>
      <c r="R1114" s="8">
        <v>1</v>
      </c>
      <c r="S1114" s="8">
        <v>1</v>
      </c>
      <c r="T1114" s="8">
        <v>0</v>
      </c>
      <c r="U1114" s="8">
        <v>2</v>
      </c>
      <c r="V1114" s="8">
        <v>5</v>
      </c>
      <c r="W1114" t="s">
        <v>473</v>
      </c>
      <c r="X1114" t="s">
        <v>473</v>
      </c>
      <c r="Y1114" t="s">
        <v>473</v>
      </c>
      <c r="Z1114" t="s">
        <v>473</v>
      </c>
      <c r="AA1114" t="s">
        <v>473</v>
      </c>
      <c r="AB1114" t="s">
        <v>473</v>
      </c>
      <c r="AC1114" s="10">
        <v>3</v>
      </c>
      <c r="AD1114" s="10">
        <v>11</v>
      </c>
      <c r="AE1114" t="s">
        <v>473</v>
      </c>
    </row>
    <row r="1115" spans="1:31" x14ac:dyDescent="0.25">
      <c r="A1115">
        <v>7451</v>
      </c>
      <c r="B1115">
        <v>1960</v>
      </c>
      <c r="C1115" t="s">
        <v>36</v>
      </c>
      <c r="D1115" t="s">
        <v>30</v>
      </c>
      <c r="E1115" t="str">
        <f>IF(OR(Table1[[#This Row],[marital_status]]="Married", Table1[[#This Row],[marital_status]]="Together"), "Partnered", "Single")</f>
        <v>Single</v>
      </c>
      <c r="F1115" s="7">
        <v>98777</v>
      </c>
      <c r="G1115" s="8">
        <v>0</v>
      </c>
      <c r="H1115" s="8">
        <v>0</v>
      </c>
      <c r="I1115" s="8">
        <f>Table1[[#This Row],[kids]]+Table1[[#This Row],[teens]]</f>
        <v>0</v>
      </c>
      <c r="J1115" s="9">
        <v>41687</v>
      </c>
      <c r="K1115" s="8">
        <v>23</v>
      </c>
      <c r="L1115" s="6">
        <v>1000</v>
      </c>
      <c r="M1115" s="5">
        <v>19</v>
      </c>
      <c r="N1115" s="5">
        <v>711</v>
      </c>
      <c r="O1115" s="5">
        <v>125</v>
      </c>
      <c r="P1115" s="5">
        <v>115</v>
      </c>
      <c r="Q1115" s="5">
        <v>38</v>
      </c>
      <c r="R1115" s="8">
        <v>0</v>
      </c>
      <c r="S1115" s="8">
        <v>4</v>
      </c>
      <c r="T1115" s="8">
        <v>6</v>
      </c>
      <c r="U1115" s="8">
        <v>9</v>
      </c>
      <c r="V1115" s="8">
        <v>1</v>
      </c>
      <c r="W1115" t="s">
        <v>473</v>
      </c>
      <c r="X1115" t="s">
        <v>474</v>
      </c>
      <c r="Y1115" t="s">
        <v>473</v>
      </c>
      <c r="Z1115" t="s">
        <v>473</v>
      </c>
      <c r="AA1115" t="s">
        <v>473</v>
      </c>
      <c r="AB1115" t="s">
        <v>473</v>
      </c>
      <c r="AC1115" s="10">
        <v>3</v>
      </c>
      <c r="AD1115" s="10">
        <v>11</v>
      </c>
      <c r="AE1115" t="s">
        <v>473</v>
      </c>
    </row>
    <row r="1116" spans="1:31" x14ac:dyDescent="0.25">
      <c r="A1116">
        <v>11010</v>
      </c>
      <c r="B1116">
        <v>1984</v>
      </c>
      <c r="C1116" t="s">
        <v>33</v>
      </c>
      <c r="D1116" t="s">
        <v>30</v>
      </c>
      <c r="E1116" t="str">
        <f>IF(OR(Table1[[#This Row],[marital_status]]="Married", Table1[[#This Row],[marital_status]]="Together"), "Partnered", "Single")</f>
        <v>Single</v>
      </c>
      <c r="F1116" s="7">
        <v>16269</v>
      </c>
      <c r="G1116" s="8">
        <v>1</v>
      </c>
      <c r="H1116" s="8">
        <v>0</v>
      </c>
      <c r="I1116" s="8">
        <f>Table1[[#This Row],[kids]]+Table1[[#This Row],[teens]]</f>
        <v>1</v>
      </c>
      <c r="J1116" s="9">
        <v>41516</v>
      </c>
      <c r="K1116" s="8">
        <v>75</v>
      </c>
      <c r="L1116" s="6">
        <v>19</v>
      </c>
      <c r="M1116" s="5">
        <v>3</v>
      </c>
      <c r="N1116" s="5">
        <v>18</v>
      </c>
      <c r="O1116" s="5">
        <v>3</v>
      </c>
      <c r="P1116" s="5">
        <v>1</v>
      </c>
      <c r="Q1116" s="5">
        <v>0</v>
      </c>
      <c r="R1116" s="8">
        <v>3</v>
      </c>
      <c r="S1116" s="8">
        <v>3</v>
      </c>
      <c r="T1116" s="8">
        <v>0</v>
      </c>
      <c r="U1116" s="8">
        <v>3</v>
      </c>
      <c r="V1116" s="8">
        <v>8</v>
      </c>
      <c r="W1116" t="s">
        <v>473</v>
      </c>
      <c r="X1116" t="s">
        <v>473</v>
      </c>
      <c r="Y1116" t="s">
        <v>473</v>
      </c>
      <c r="Z1116" t="s">
        <v>473</v>
      </c>
      <c r="AA1116" t="s">
        <v>473</v>
      </c>
      <c r="AB1116" t="s">
        <v>473</v>
      </c>
      <c r="AC1116" s="10">
        <v>3</v>
      </c>
      <c r="AD1116" s="10">
        <v>11</v>
      </c>
      <c r="AE1116" t="s">
        <v>473</v>
      </c>
    </row>
    <row r="1117" spans="1:31" x14ac:dyDescent="0.25">
      <c r="A1117">
        <v>4356</v>
      </c>
      <c r="B1117">
        <v>1971</v>
      </c>
      <c r="C1117" t="s">
        <v>466</v>
      </c>
      <c r="D1117" t="s">
        <v>31</v>
      </c>
      <c r="E1117" t="str">
        <f>IF(OR(Table1[[#This Row],[marital_status]]="Married", Table1[[#This Row],[marital_status]]="Together"), "Partnered", "Single")</f>
        <v>Partnered</v>
      </c>
      <c r="F1117" s="7">
        <v>71819</v>
      </c>
      <c r="G1117" s="8">
        <v>0</v>
      </c>
      <c r="H1117" s="8">
        <v>1</v>
      </c>
      <c r="I1117" s="8">
        <f>Table1[[#This Row],[kids]]+Table1[[#This Row],[teens]]</f>
        <v>1</v>
      </c>
      <c r="J1117" s="9">
        <v>41514</v>
      </c>
      <c r="K1117" s="8">
        <v>70</v>
      </c>
      <c r="L1117" s="6">
        <v>1224</v>
      </c>
      <c r="M1117" s="5">
        <v>28</v>
      </c>
      <c r="N1117" s="5">
        <v>140</v>
      </c>
      <c r="O1117" s="5">
        <v>0</v>
      </c>
      <c r="P1117" s="5">
        <v>14</v>
      </c>
      <c r="Q1117" s="5">
        <v>168</v>
      </c>
      <c r="R1117" s="8">
        <v>3</v>
      </c>
      <c r="S1117" s="8">
        <v>3</v>
      </c>
      <c r="T1117" s="8">
        <v>3</v>
      </c>
      <c r="U1117" s="8">
        <v>5</v>
      </c>
      <c r="V1117" s="8">
        <v>6</v>
      </c>
      <c r="W1117" t="s">
        <v>473</v>
      </c>
      <c r="X1117" t="s">
        <v>474</v>
      </c>
      <c r="Y1117" t="s">
        <v>474</v>
      </c>
      <c r="Z1117" t="s">
        <v>473</v>
      </c>
      <c r="AA1117" t="s">
        <v>473</v>
      </c>
      <c r="AB1117" t="s">
        <v>473</v>
      </c>
      <c r="AC1117" s="10">
        <v>3</v>
      </c>
      <c r="AD1117" s="10">
        <v>11</v>
      </c>
      <c r="AE1117" t="s">
        <v>473</v>
      </c>
    </row>
    <row r="1118" spans="1:31" x14ac:dyDescent="0.25">
      <c r="A1118">
        <v>3885</v>
      </c>
      <c r="B1118">
        <v>1983</v>
      </c>
      <c r="C1118" t="s">
        <v>33</v>
      </c>
      <c r="D1118" t="s">
        <v>34</v>
      </c>
      <c r="E1118" t="str">
        <f>IF(OR(Table1[[#This Row],[marital_status]]="Married", Table1[[#This Row],[marital_status]]="Together"), "Partnered", "Single")</f>
        <v>Partnered</v>
      </c>
      <c r="F1118" s="7">
        <v>33569</v>
      </c>
      <c r="G1118" s="8">
        <v>1</v>
      </c>
      <c r="H1118" s="8">
        <v>0</v>
      </c>
      <c r="I1118" s="8">
        <f>Table1[[#This Row],[kids]]+Table1[[#This Row],[teens]]</f>
        <v>1</v>
      </c>
      <c r="J1118" s="9">
        <v>41563</v>
      </c>
      <c r="K1118" s="8">
        <v>10</v>
      </c>
      <c r="L1118" s="6">
        <v>16</v>
      </c>
      <c r="M1118" s="5">
        <v>2</v>
      </c>
      <c r="N1118" s="5">
        <v>18</v>
      </c>
      <c r="O1118" s="5">
        <v>3</v>
      </c>
      <c r="P1118" s="5">
        <v>0</v>
      </c>
      <c r="Q1118" s="5">
        <v>24</v>
      </c>
      <c r="R1118" s="8">
        <v>1</v>
      </c>
      <c r="S1118" s="8">
        <v>1</v>
      </c>
      <c r="T1118" s="8">
        <v>1</v>
      </c>
      <c r="U1118" s="8">
        <v>2</v>
      </c>
      <c r="V1118" s="8">
        <v>8</v>
      </c>
      <c r="W1118" t="s">
        <v>474</v>
      </c>
      <c r="X1118" t="s">
        <v>473</v>
      </c>
      <c r="Y1118" t="s">
        <v>473</v>
      </c>
      <c r="Z1118" t="s">
        <v>473</v>
      </c>
      <c r="AA1118" t="s">
        <v>473</v>
      </c>
      <c r="AB1118" t="s">
        <v>473</v>
      </c>
      <c r="AC1118" s="10">
        <v>3</v>
      </c>
      <c r="AD1118" s="10">
        <v>11</v>
      </c>
      <c r="AE1118" t="s">
        <v>474</v>
      </c>
    </row>
    <row r="1119" spans="1:31" x14ac:dyDescent="0.25">
      <c r="A1119">
        <v>1175</v>
      </c>
      <c r="B1119">
        <v>1983</v>
      </c>
      <c r="C1119" t="s">
        <v>36</v>
      </c>
      <c r="D1119" t="s">
        <v>34</v>
      </c>
      <c r="E1119" t="str">
        <f>IF(OR(Table1[[#This Row],[marital_status]]="Married", Table1[[#This Row],[marital_status]]="Together"), "Partnered", "Single")</f>
        <v>Partnered</v>
      </c>
      <c r="F1119" s="7">
        <v>36262</v>
      </c>
      <c r="G1119" s="8">
        <v>0</v>
      </c>
      <c r="H1119" s="8">
        <v>0</v>
      </c>
      <c r="I1119" s="8">
        <f>Table1[[#This Row],[kids]]+Table1[[#This Row],[teens]]</f>
        <v>0</v>
      </c>
      <c r="J1119" s="9">
        <v>41537</v>
      </c>
      <c r="K1119" s="8">
        <v>24</v>
      </c>
      <c r="L1119" s="6">
        <v>88</v>
      </c>
      <c r="M1119" s="5">
        <v>39</v>
      </c>
      <c r="N1119" s="5">
        <v>54</v>
      </c>
      <c r="O1119" s="5">
        <v>64</v>
      </c>
      <c r="P1119" s="5">
        <v>28</v>
      </c>
      <c r="Q1119" s="5">
        <v>153</v>
      </c>
      <c r="R1119" s="8">
        <v>1</v>
      </c>
      <c r="S1119" s="8">
        <v>3</v>
      </c>
      <c r="T1119" s="8">
        <v>5</v>
      </c>
      <c r="U1119" s="8">
        <v>3</v>
      </c>
      <c r="V1119" s="8">
        <v>6</v>
      </c>
      <c r="W1119" t="s">
        <v>474</v>
      </c>
      <c r="X1119" t="s">
        <v>473</v>
      </c>
      <c r="Y1119" t="s">
        <v>473</v>
      </c>
      <c r="Z1119" t="s">
        <v>473</v>
      </c>
      <c r="AA1119" t="s">
        <v>473</v>
      </c>
      <c r="AB1119" t="s">
        <v>473</v>
      </c>
      <c r="AC1119" s="10">
        <v>3</v>
      </c>
      <c r="AD1119" s="10">
        <v>11</v>
      </c>
      <c r="AE1119" t="s">
        <v>474</v>
      </c>
    </row>
    <row r="1120" spans="1:31" x14ac:dyDescent="0.25">
      <c r="A1120">
        <v>880</v>
      </c>
      <c r="B1120">
        <v>1966</v>
      </c>
      <c r="C1120" t="s">
        <v>41</v>
      </c>
      <c r="D1120" t="s">
        <v>31</v>
      </c>
      <c r="E1120" t="str">
        <f>IF(OR(Table1[[#This Row],[marital_status]]="Married", Table1[[#This Row],[marital_status]]="Together"), "Partnered", "Single")</f>
        <v>Partnered</v>
      </c>
      <c r="F1120" s="7">
        <v>22634</v>
      </c>
      <c r="G1120" s="8">
        <v>0</v>
      </c>
      <c r="H1120" s="8">
        <v>0</v>
      </c>
      <c r="I1120" s="8">
        <f>Table1[[#This Row],[kids]]+Table1[[#This Row],[teens]]</f>
        <v>0</v>
      </c>
      <c r="J1120" s="9">
        <v>41290</v>
      </c>
      <c r="K1120" s="8">
        <v>47</v>
      </c>
      <c r="L1120" s="6">
        <v>2</v>
      </c>
      <c r="M1120" s="5">
        <v>23</v>
      </c>
      <c r="N1120" s="5">
        <v>11</v>
      </c>
      <c r="O1120" s="5">
        <v>8</v>
      </c>
      <c r="P1120" s="5">
        <v>6</v>
      </c>
      <c r="Q1120" s="5">
        <v>46</v>
      </c>
      <c r="R1120" s="8">
        <v>1</v>
      </c>
      <c r="S1120" s="8">
        <v>2</v>
      </c>
      <c r="T1120" s="8">
        <v>1</v>
      </c>
      <c r="U1120" s="8">
        <v>2</v>
      </c>
      <c r="V1120" s="8">
        <v>8</v>
      </c>
      <c r="W1120" t="s">
        <v>473</v>
      </c>
      <c r="X1120" t="s">
        <v>473</v>
      </c>
      <c r="Y1120" t="s">
        <v>473</v>
      </c>
      <c r="Z1120" t="s">
        <v>473</v>
      </c>
      <c r="AA1120" t="s">
        <v>473</v>
      </c>
      <c r="AB1120" t="s">
        <v>473</v>
      </c>
      <c r="AC1120" s="10">
        <v>3</v>
      </c>
      <c r="AD1120" s="10">
        <v>11</v>
      </c>
      <c r="AE1120" t="s">
        <v>473</v>
      </c>
    </row>
    <row r="1121" spans="1:31" x14ac:dyDescent="0.25">
      <c r="A1121">
        <v>2320</v>
      </c>
      <c r="B1121">
        <v>1978</v>
      </c>
      <c r="C1121" t="s">
        <v>46</v>
      </c>
      <c r="D1121" t="s">
        <v>34</v>
      </c>
      <c r="E1121" t="str">
        <f>IF(OR(Table1[[#This Row],[marital_status]]="Married", Table1[[#This Row],[marital_status]]="Together"), "Partnered", "Single")</f>
        <v>Partnered</v>
      </c>
      <c r="F1121" s="7">
        <v>47025</v>
      </c>
      <c r="G1121" s="8">
        <v>0</v>
      </c>
      <c r="H1121" s="8">
        <v>1</v>
      </c>
      <c r="I1121" s="8">
        <f>Table1[[#This Row],[kids]]+Table1[[#This Row],[teens]]</f>
        <v>1</v>
      </c>
      <c r="J1121" s="9">
        <v>41529</v>
      </c>
      <c r="K1121" s="8">
        <v>98</v>
      </c>
      <c r="L1121" s="6">
        <v>508</v>
      </c>
      <c r="M1121" s="5">
        <v>11</v>
      </c>
      <c r="N1121" s="5">
        <v>59</v>
      </c>
      <c r="O1121" s="5">
        <v>23</v>
      </c>
      <c r="P1121" s="5">
        <v>5</v>
      </c>
      <c r="Q1121" s="5">
        <v>29</v>
      </c>
      <c r="R1121" s="8">
        <v>5</v>
      </c>
      <c r="S1121" s="8">
        <v>11</v>
      </c>
      <c r="T1121" s="8">
        <v>1</v>
      </c>
      <c r="U1121" s="8">
        <v>6</v>
      </c>
      <c r="V1121" s="8">
        <v>9</v>
      </c>
      <c r="W1121" t="s">
        <v>473</v>
      </c>
      <c r="X1121" t="s">
        <v>473</v>
      </c>
      <c r="Y1121" t="s">
        <v>473</v>
      </c>
      <c r="Z1121" t="s">
        <v>473</v>
      </c>
      <c r="AA1121" t="s">
        <v>473</v>
      </c>
      <c r="AB1121" t="s">
        <v>473</v>
      </c>
      <c r="AC1121" s="10">
        <v>3</v>
      </c>
      <c r="AD1121" s="10">
        <v>11</v>
      </c>
      <c r="AE1121" t="s">
        <v>473</v>
      </c>
    </row>
    <row r="1122" spans="1:31" x14ac:dyDescent="0.25">
      <c r="A1122">
        <v>850</v>
      </c>
      <c r="B1122">
        <v>1968</v>
      </c>
      <c r="C1122" t="s">
        <v>466</v>
      </c>
      <c r="D1122" t="s">
        <v>30</v>
      </c>
      <c r="E1122" t="str">
        <f>IF(OR(Table1[[#This Row],[marital_status]]="Married", Table1[[#This Row],[marital_status]]="Together"), "Partnered", "Single")</f>
        <v>Single</v>
      </c>
      <c r="F1122" s="7">
        <v>70566</v>
      </c>
      <c r="G1122" s="8">
        <v>0</v>
      </c>
      <c r="H1122" s="8">
        <v>1</v>
      </c>
      <c r="I1122" s="8">
        <f>Table1[[#This Row],[kids]]+Table1[[#This Row],[teens]]</f>
        <v>1</v>
      </c>
      <c r="J1122" s="9">
        <v>41553</v>
      </c>
      <c r="K1122" s="8">
        <v>4</v>
      </c>
      <c r="L1122" s="6">
        <v>381</v>
      </c>
      <c r="M1122" s="5">
        <v>28</v>
      </c>
      <c r="N1122" s="5">
        <v>215</v>
      </c>
      <c r="O1122" s="5">
        <v>84</v>
      </c>
      <c r="P1122" s="5">
        <v>28</v>
      </c>
      <c r="Q1122" s="5">
        <v>21</v>
      </c>
      <c r="R1122" s="8">
        <v>2</v>
      </c>
      <c r="S1122" s="8">
        <v>6</v>
      </c>
      <c r="T1122" s="8">
        <v>5</v>
      </c>
      <c r="U1122" s="8">
        <v>9</v>
      </c>
      <c r="V1122" s="8">
        <v>3</v>
      </c>
      <c r="W1122" t="s">
        <v>473</v>
      </c>
      <c r="X1122" t="s">
        <v>473</v>
      </c>
      <c r="Y1122" t="s">
        <v>473</v>
      </c>
      <c r="Z1122" t="s">
        <v>473</v>
      </c>
      <c r="AA1122" t="s">
        <v>473</v>
      </c>
      <c r="AB1122" t="s">
        <v>473</v>
      </c>
      <c r="AC1122" s="10">
        <v>3</v>
      </c>
      <c r="AD1122" s="10">
        <v>11</v>
      </c>
      <c r="AE1122" t="s">
        <v>473</v>
      </c>
    </row>
    <row r="1123" spans="1:31" x14ac:dyDescent="0.25">
      <c r="A1123">
        <v>4713</v>
      </c>
      <c r="B1123">
        <v>1979</v>
      </c>
      <c r="C1123" t="s">
        <v>33</v>
      </c>
      <c r="D1123" t="s">
        <v>34</v>
      </c>
      <c r="E1123" t="str">
        <f>IF(OR(Table1[[#This Row],[marital_status]]="Married", Table1[[#This Row],[marital_status]]="Together"), "Partnered", "Single")</f>
        <v>Partnered</v>
      </c>
      <c r="F1123" s="7">
        <v>31605</v>
      </c>
      <c r="G1123" s="8">
        <v>1</v>
      </c>
      <c r="H1123" s="8">
        <v>0</v>
      </c>
      <c r="I1123" s="8">
        <f>Table1[[#This Row],[kids]]+Table1[[#This Row],[teens]]</f>
        <v>1</v>
      </c>
      <c r="J1123" s="9">
        <v>41235</v>
      </c>
      <c r="K1123" s="8">
        <v>15</v>
      </c>
      <c r="L1123" s="6">
        <v>74</v>
      </c>
      <c r="M1123" s="5">
        <v>0</v>
      </c>
      <c r="N1123" s="5">
        <v>42</v>
      </c>
      <c r="O1123" s="5">
        <v>2</v>
      </c>
      <c r="P1123" s="5">
        <v>1</v>
      </c>
      <c r="Q1123" s="5">
        <v>6</v>
      </c>
      <c r="R1123" s="8">
        <v>2</v>
      </c>
      <c r="S1123" s="8">
        <v>2</v>
      </c>
      <c r="T1123" s="8">
        <v>1</v>
      </c>
      <c r="U1123" s="8">
        <v>4</v>
      </c>
      <c r="V1123" s="8">
        <v>7</v>
      </c>
      <c r="W1123" t="s">
        <v>473</v>
      </c>
      <c r="X1123" t="s">
        <v>473</v>
      </c>
      <c r="Y1123" t="s">
        <v>473</v>
      </c>
      <c r="Z1123" t="s">
        <v>473</v>
      </c>
      <c r="AA1123" t="s">
        <v>473</v>
      </c>
      <c r="AB1123" t="s">
        <v>473</v>
      </c>
      <c r="AC1123" s="10">
        <v>3</v>
      </c>
      <c r="AD1123" s="10">
        <v>11</v>
      </c>
      <c r="AE1123" t="s">
        <v>473</v>
      </c>
    </row>
    <row r="1124" spans="1:31" x14ac:dyDescent="0.25">
      <c r="A1124">
        <v>675</v>
      </c>
      <c r="B1124">
        <v>1973</v>
      </c>
      <c r="C1124" t="s">
        <v>36</v>
      </c>
      <c r="D1124" t="s">
        <v>37</v>
      </c>
      <c r="E1124" t="str">
        <f>IF(OR(Table1[[#This Row],[marital_status]]="Married", Table1[[#This Row],[marital_status]]="Together"), "Partnered", "Single")</f>
        <v>Single</v>
      </c>
      <c r="F1124" s="7">
        <v>52034</v>
      </c>
      <c r="G1124" s="8">
        <v>1</v>
      </c>
      <c r="H1124" s="8">
        <v>1</v>
      </c>
      <c r="I1124" s="8">
        <f>Table1[[#This Row],[kids]]+Table1[[#This Row],[teens]]</f>
        <v>2</v>
      </c>
      <c r="J1124" s="9">
        <v>41411</v>
      </c>
      <c r="K1124" s="8">
        <v>67</v>
      </c>
      <c r="L1124" s="6">
        <v>146</v>
      </c>
      <c r="M1124" s="5">
        <v>0</v>
      </c>
      <c r="N1124" s="5">
        <v>93</v>
      </c>
      <c r="O1124" s="5">
        <v>7</v>
      </c>
      <c r="P1124" s="5">
        <v>13</v>
      </c>
      <c r="Q1124" s="5">
        <v>73</v>
      </c>
      <c r="R1124" s="8">
        <v>5</v>
      </c>
      <c r="S1124" s="8">
        <v>4</v>
      </c>
      <c r="T1124" s="8">
        <v>2</v>
      </c>
      <c r="U1124" s="8">
        <v>5</v>
      </c>
      <c r="V1124" s="8">
        <v>7</v>
      </c>
      <c r="W1124" t="s">
        <v>473</v>
      </c>
      <c r="X1124" t="s">
        <v>473</v>
      </c>
      <c r="Y1124" t="s">
        <v>473</v>
      </c>
      <c r="Z1124" t="s">
        <v>473</v>
      </c>
      <c r="AA1124" t="s">
        <v>473</v>
      </c>
      <c r="AB1124" t="s">
        <v>473</v>
      </c>
      <c r="AC1124" s="10">
        <v>3</v>
      </c>
      <c r="AD1124" s="10">
        <v>11</v>
      </c>
      <c r="AE1124" t="s">
        <v>473</v>
      </c>
    </row>
    <row r="1125" spans="1:31" x14ac:dyDescent="0.25">
      <c r="A1125">
        <v>5025</v>
      </c>
      <c r="B1125">
        <v>1979</v>
      </c>
      <c r="C1125" t="s">
        <v>466</v>
      </c>
      <c r="D1125" t="s">
        <v>30</v>
      </c>
      <c r="E1125" t="str">
        <f>IF(OR(Table1[[#This Row],[marital_status]]="Married", Table1[[#This Row],[marital_status]]="Together"), "Partnered", "Single")</f>
        <v>Single</v>
      </c>
      <c r="F1125" s="7">
        <v>48526</v>
      </c>
      <c r="G1125" s="8">
        <v>1</v>
      </c>
      <c r="H1125" s="8">
        <v>0</v>
      </c>
      <c r="I1125" s="8">
        <f>Table1[[#This Row],[kids]]+Table1[[#This Row],[teens]]</f>
        <v>1</v>
      </c>
      <c r="J1125" s="9">
        <v>41632</v>
      </c>
      <c r="K1125" s="8">
        <v>32</v>
      </c>
      <c r="L1125" s="6">
        <v>23</v>
      </c>
      <c r="M1125" s="5">
        <v>17</v>
      </c>
      <c r="N1125" s="5">
        <v>23</v>
      </c>
      <c r="O1125" s="5">
        <v>43</v>
      </c>
      <c r="P1125" s="5">
        <v>20</v>
      </c>
      <c r="Q1125" s="5">
        <v>9</v>
      </c>
      <c r="R1125" s="8">
        <v>1</v>
      </c>
      <c r="S1125" s="8">
        <v>2</v>
      </c>
      <c r="T1125" s="8">
        <v>1</v>
      </c>
      <c r="U1125" s="8">
        <v>4</v>
      </c>
      <c r="V1125" s="8">
        <v>3</v>
      </c>
      <c r="W1125" t="s">
        <v>473</v>
      </c>
      <c r="X1125" t="s">
        <v>473</v>
      </c>
      <c r="Y1125" t="s">
        <v>473</v>
      </c>
      <c r="Z1125" t="s">
        <v>473</v>
      </c>
      <c r="AA1125" t="s">
        <v>473</v>
      </c>
      <c r="AB1125" t="s">
        <v>473</v>
      </c>
      <c r="AC1125" s="10">
        <v>3</v>
      </c>
      <c r="AD1125" s="10">
        <v>11</v>
      </c>
      <c r="AE1125" t="s">
        <v>473</v>
      </c>
    </row>
    <row r="1126" spans="1:31" x14ac:dyDescent="0.25">
      <c r="A1126">
        <v>2308</v>
      </c>
      <c r="B1126">
        <v>1954</v>
      </c>
      <c r="C1126" t="s">
        <v>466</v>
      </c>
      <c r="D1126" t="s">
        <v>34</v>
      </c>
      <c r="E1126" t="str">
        <f>IF(OR(Table1[[#This Row],[marital_status]]="Married", Table1[[#This Row],[marital_status]]="Together"), "Partnered", "Single")</f>
        <v>Partnered</v>
      </c>
      <c r="F1126" s="7">
        <v>46734</v>
      </c>
      <c r="G1126" s="8">
        <v>0</v>
      </c>
      <c r="H1126" s="8">
        <v>1</v>
      </c>
      <c r="I1126" s="8">
        <f>Table1[[#This Row],[kids]]+Table1[[#This Row],[teens]]</f>
        <v>1</v>
      </c>
      <c r="J1126" s="9">
        <v>41231</v>
      </c>
      <c r="K1126" s="8">
        <v>40</v>
      </c>
      <c r="L1126" s="6">
        <v>110</v>
      </c>
      <c r="M1126" s="5">
        <v>5</v>
      </c>
      <c r="N1126" s="5">
        <v>137</v>
      </c>
      <c r="O1126" s="5">
        <v>26</v>
      </c>
      <c r="P1126" s="5">
        <v>23</v>
      </c>
      <c r="Q1126" s="5">
        <v>29</v>
      </c>
      <c r="R1126" s="8">
        <v>2</v>
      </c>
      <c r="S1126" s="8">
        <v>6</v>
      </c>
      <c r="T1126" s="8">
        <v>1</v>
      </c>
      <c r="U1126" s="8">
        <v>5</v>
      </c>
      <c r="V1126" s="8">
        <v>7</v>
      </c>
      <c r="W1126" t="s">
        <v>473</v>
      </c>
      <c r="X1126" t="s">
        <v>473</v>
      </c>
      <c r="Y1126" t="s">
        <v>473</v>
      </c>
      <c r="Z1126" t="s">
        <v>473</v>
      </c>
      <c r="AA1126" t="s">
        <v>473</v>
      </c>
      <c r="AB1126" t="s">
        <v>473</v>
      </c>
      <c r="AC1126" s="10">
        <v>3</v>
      </c>
      <c r="AD1126" s="10">
        <v>11</v>
      </c>
      <c r="AE1126" t="s">
        <v>473</v>
      </c>
    </row>
    <row r="1127" spans="1:31" x14ac:dyDescent="0.25">
      <c r="A1127">
        <v>5995</v>
      </c>
      <c r="B1127">
        <v>1962</v>
      </c>
      <c r="C1127" t="s">
        <v>466</v>
      </c>
      <c r="D1127" t="s">
        <v>37</v>
      </c>
      <c r="E1127" t="str">
        <f>IF(OR(Table1[[#This Row],[marital_status]]="Married", Table1[[#This Row],[marital_status]]="Together"), "Partnered", "Single")</f>
        <v>Single</v>
      </c>
      <c r="F1127" s="7">
        <v>39552</v>
      </c>
      <c r="G1127" s="8">
        <v>1</v>
      </c>
      <c r="H1127" s="8">
        <v>1</v>
      </c>
      <c r="I1127" s="8">
        <f>Table1[[#This Row],[kids]]+Table1[[#This Row],[teens]]</f>
        <v>2</v>
      </c>
      <c r="J1127" s="9">
        <v>41261</v>
      </c>
      <c r="K1127" s="8">
        <v>54</v>
      </c>
      <c r="L1127" s="6">
        <v>165</v>
      </c>
      <c r="M1127" s="5">
        <v>3</v>
      </c>
      <c r="N1127" s="5">
        <v>147</v>
      </c>
      <c r="O1127" s="5">
        <v>4</v>
      </c>
      <c r="P1127" s="5">
        <v>24</v>
      </c>
      <c r="Q1127" s="5">
        <v>41</v>
      </c>
      <c r="R1127" s="8">
        <v>7</v>
      </c>
      <c r="S1127" s="8">
        <v>6</v>
      </c>
      <c r="T1127" s="8">
        <v>2</v>
      </c>
      <c r="U1127" s="8">
        <v>5</v>
      </c>
      <c r="V1127" s="8">
        <v>8</v>
      </c>
      <c r="W1127" t="s">
        <v>473</v>
      </c>
      <c r="X1127" t="s">
        <v>473</v>
      </c>
      <c r="Y1127" t="s">
        <v>473</v>
      </c>
      <c r="Z1127" t="s">
        <v>473</v>
      </c>
      <c r="AA1127" t="s">
        <v>473</v>
      </c>
      <c r="AB1127" t="s">
        <v>473</v>
      </c>
      <c r="AC1127" s="10">
        <v>3</v>
      </c>
      <c r="AD1127" s="10">
        <v>11</v>
      </c>
      <c r="AE1127" t="s">
        <v>474</v>
      </c>
    </row>
    <row r="1128" spans="1:31" x14ac:dyDescent="0.25">
      <c r="A1128">
        <v>6749</v>
      </c>
      <c r="B1128">
        <v>1966</v>
      </c>
      <c r="C1128" t="s">
        <v>466</v>
      </c>
      <c r="D1128" t="s">
        <v>30</v>
      </c>
      <c r="E1128" t="str">
        <f>IF(OR(Table1[[#This Row],[marital_status]]="Married", Table1[[#This Row],[marital_status]]="Together"), "Partnered", "Single")</f>
        <v>Single</v>
      </c>
      <c r="F1128" s="7">
        <v>86358</v>
      </c>
      <c r="G1128" s="8">
        <v>1</v>
      </c>
      <c r="H1128" s="8">
        <v>1</v>
      </c>
      <c r="I1128" s="8">
        <f>Table1[[#This Row],[kids]]+Table1[[#This Row],[teens]]</f>
        <v>2</v>
      </c>
      <c r="J1128" s="9">
        <v>41129</v>
      </c>
      <c r="K1128" s="8">
        <v>78</v>
      </c>
      <c r="L1128" s="6">
        <v>957</v>
      </c>
      <c r="M1128" s="5">
        <v>47</v>
      </c>
      <c r="N1128" s="5">
        <v>494</v>
      </c>
      <c r="O1128" s="5">
        <v>82</v>
      </c>
      <c r="P1128" s="5">
        <v>47</v>
      </c>
      <c r="Q1128" s="5">
        <v>95</v>
      </c>
      <c r="R1128" s="8">
        <v>4</v>
      </c>
      <c r="S1128" s="8">
        <v>5</v>
      </c>
      <c r="T1128" s="8">
        <v>3</v>
      </c>
      <c r="U1128" s="8">
        <v>6</v>
      </c>
      <c r="V1128" s="8">
        <v>8</v>
      </c>
      <c r="W1128" t="s">
        <v>473</v>
      </c>
      <c r="X1128" t="s">
        <v>473</v>
      </c>
      <c r="Y1128" t="s">
        <v>473</v>
      </c>
      <c r="Z1128" t="s">
        <v>473</v>
      </c>
      <c r="AA1128" t="s">
        <v>473</v>
      </c>
      <c r="AB1128" t="s">
        <v>473</v>
      </c>
      <c r="AC1128" s="10">
        <v>3</v>
      </c>
      <c r="AD1128" s="10">
        <v>11</v>
      </c>
      <c r="AE1128" t="s">
        <v>473</v>
      </c>
    </row>
    <row r="1129" spans="1:31" x14ac:dyDescent="0.25">
      <c r="A1129">
        <v>1010</v>
      </c>
      <c r="B1129">
        <v>1977</v>
      </c>
      <c r="C1129" t="s">
        <v>466</v>
      </c>
      <c r="D1129" t="s">
        <v>31</v>
      </c>
      <c r="E1129" t="str">
        <f>IF(OR(Table1[[#This Row],[marital_status]]="Married", Table1[[#This Row],[marital_status]]="Together"), "Partnered", "Single")</f>
        <v>Partnered</v>
      </c>
      <c r="F1129" s="7">
        <v>46931</v>
      </c>
      <c r="G1129" s="8">
        <v>2</v>
      </c>
      <c r="H1129" s="8">
        <v>1</v>
      </c>
      <c r="I1129" s="8">
        <f>Table1[[#This Row],[kids]]+Table1[[#This Row],[teens]]</f>
        <v>3</v>
      </c>
      <c r="J1129" s="9">
        <v>41753</v>
      </c>
      <c r="K1129" s="8">
        <v>94</v>
      </c>
      <c r="L1129" s="6">
        <v>41</v>
      </c>
      <c r="M1129" s="5">
        <v>0</v>
      </c>
      <c r="N1129" s="5">
        <v>17</v>
      </c>
      <c r="O1129" s="5">
        <v>3</v>
      </c>
      <c r="P1129" s="5">
        <v>1</v>
      </c>
      <c r="Q1129" s="5">
        <v>16</v>
      </c>
      <c r="R1129" s="8">
        <v>2</v>
      </c>
      <c r="S1129" s="8">
        <v>1</v>
      </c>
      <c r="T1129" s="8">
        <v>1</v>
      </c>
      <c r="U1129" s="8">
        <v>3</v>
      </c>
      <c r="V1129" s="8">
        <v>3</v>
      </c>
      <c r="W1129" t="s">
        <v>473</v>
      </c>
      <c r="X1129" t="s">
        <v>473</v>
      </c>
      <c r="Y1129" t="s">
        <v>473</v>
      </c>
      <c r="Z1129" t="s">
        <v>473</v>
      </c>
      <c r="AA1129" t="s">
        <v>473</v>
      </c>
      <c r="AB1129" t="s">
        <v>473</v>
      </c>
      <c r="AC1129" s="10">
        <v>3</v>
      </c>
      <c r="AD1129" s="10">
        <v>11</v>
      </c>
      <c r="AE1129" t="s">
        <v>473</v>
      </c>
    </row>
    <row r="1130" spans="1:31" x14ac:dyDescent="0.25">
      <c r="A1130">
        <v>8977</v>
      </c>
      <c r="B1130">
        <v>1985</v>
      </c>
      <c r="C1130" t="s">
        <v>41</v>
      </c>
      <c r="D1130" t="s">
        <v>30</v>
      </c>
      <c r="E1130" t="str">
        <f>IF(OR(Table1[[#This Row],[marital_status]]="Married", Table1[[#This Row],[marital_status]]="Together"), "Partnered", "Single")</f>
        <v>Single</v>
      </c>
      <c r="F1130" s="7">
        <v>16581</v>
      </c>
      <c r="G1130" s="8">
        <v>0</v>
      </c>
      <c r="H1130" s="8">
        <v>0</v>
      </c>
      <c r="I1130" s="8">
        <f>Table1[[#This Row],[kids]]+Table1[[#This Row],[teens]]</f>
        <v>0</v>
      </c>
      <c r="J1130" s="9">
        <v>41286</v>
      </c>
      <c r="K1130" s="8">
        <v>51</v>
      </c>
      <c r="L1130" s="6">
        <v>1</v>
      </c>
      <c r="M1130" s="5">
        <v>3</v>
      </c>
      <c r="N1130" s="5">
        <v>4</v>
      </c>
      <c r="O1130" s="5">
        <v>2</v>
      </c>
      <c r="P1130" s="5">
        <v>3</v>
      </c>
      <c r="Q1130" s="5">
        <v>11</v>
      </c>
      <c r="R1130" s="8">
        <v>1</v>
      </c>
      <c r="S1130" s="8">
        <v>0</v>
      </c>
      <c r="T1130" s="8">
        <v>0</v>
      </c>
      <c r="U1130" s="8">
        <v>3</v>
      </c>
      <c r="V1130" s="8">
        <v>4</v>
      </c>
      <c r="W1130" t="s">
        <v>473</v>
      </c>
      <c r="X1130" t="s">
        <v>473</v>
      </c>
      <c r="Y1130" t="s">
        <v>473</v>
      </c>
      <c r="Z1130" t="s">
        <v>473</v>
      </c>
      <c r="AA1130" t="s">
        <v>473</v>
      </c>
      <c r="AB1130" t="s">
        <v>473</v>
      </c>
      <c r="AC1130" s="10">
        <v>3</v>
      </c>
      <c r="AD1130" s="10">
        <v>11</v>
      </c>
      <c r="AE1130" t="s">
        <v>473</v>
      </c>
    </row>
    <row r="1131" spans="1:31" x14ac:dyDescent="0.25">
      <c r="A1131">
        <v>4756</v>
      </c>
      <c r="B1131">
        <v>1952</v>
      </c>
      <c r="C1131" t="s">
        <v>46</v>
      </c>
      <c r="D1131" t="s">
        <v>37</v>
      </c>
      <c r="E1131" t="str">
        <f>IF(OR(Table1[[#This Row],[marital_status]]="Married", Table1[[#This Row],[marital_status]]="Together"), "Partnered", "Single")</f>
        <v>Single</v>
      </c>
      <c r="F1131" s="7">
        <v>63998</v>
      </c>
      <c r="G1131" s="8">
        <v>0</v>
      </c>
      <c r="H1131" s="8">
        <v>0</v>
      </c>
      <c r="I1131" s="8">
        <f>Table1[[#This Row],[kids]]+Table1[[#This Row],[teens]]</f>
        <v>0</v>
      </c>
      <c r="J1131" s="9">
        <v>41628</v>
      </c>
      <c r="K1131" s="8">
        <v>42</v>
      </c>
      <c r="L1131" s="6">
        <v>176</v>
      </c>
      <c r="M1131" s="5">
        <v>29</v>
      </c>
      <c r="N1131" s="5">
        <v>818</v>
      </c>
      <c r="O1131" s="5">
        <v>0</v>
      </c>
      <c r="P1131" s="5">
        <v>33</v>
      </c>
      <c r="Q1131" s="5">
        <v>112</v>
      </c>
      <c r="R1131" s="8">
        <v>1</v>
      </c>
      <c r="S1131" s="8">
        <v>7</v>
      </c>
      <c r="T1131" s="8">
        <v>6</v>
      </c>
      <c r="U1131" s="8">
        <v>11</v>
      </c>
      <c r="V1131" s="8">
        <v>4</v>
      </c>
      <c r="W1131" t="s">
        <v>473</v>
      </c>
      <c r="X1131" t="s">
        <v>473</v>
      </c>
      <c r="Y1131" t="s">
        <v>473</v>
      </c>
      <c r="Z1131" t="s">
        <v>473</v>
      </c>
      <c r="AA1131" t="s">
        <v>473</v>
      </c>
      <c r="AB1131" t="s">
        <v>473</v>
      </c>
      <c r="AC1131" s="10">
        <v>3</v>
      </c>
      <c r="AD1131" s="10">
        <v>11</v>
      </c>
      <c r="AE1131" t="s">
        <v>474</v>
      </c>
    </row>
    <row r="1132" spans="1:31" x14ac:dyDescent="0.25">
      <c r="A1132">
        <v>3412</v>
      </c>
      <c r="B1132">
        <v>1951</v>
      </c>
      <c r="C1132" t="s">
        <v>36</v>
      </c>
      <c r="D1132" t="s">
        <v>34</v>
      </c>
      <c r="E1132" t="str">
        <f>IF(OR(Table1[[#This Row],[marital_status]]="Married", Table1[[#This Row],[marital_status]]="Together"), "Partnered", "Single")</f>
        <v>Partnered</v>
      </c>
      <c r="F1132" s="7">
        <v>67381</v>
      </c>
      <c r="G1132" s="8">
        <v>0</v>
      </c>
      <c r="H1132" s="8">
        <v>1</v>
      </c>
      <c r="I1132" s="8">
        <f>Table1[[#This Row],[kids]]+Table1[[#This Row],[teens]]</f>
        <v>1</v>
      </c>
      <c r="J1132" s="9">
        <v>41289</v>
      </c>
      <c r="K1132" s="8">
        <v>67</v>
      </c>
      <c r="L1132" s="6">
        <v>815</v>
      </c>
      <c r="M1132" s="5">
        <v>8</v>
      </c>
      <c r="N1132" s="5">
        <v>53</v>
      </c>
      <c r="O1132" s="5">
        <v>11</v>
      </c>
      <c r="P1132" s="5">
        <v>0</v>
      </c>
      <c r="Q1132" s="5">
        <v>70</v>
      </c>
      <c r="R1132" s="8">
        <v>4</v>
      </c>
      <c r="S1132" s="8">
        <v>2</v>
      </c>
      <c r="T1132" s="8">
        <v>2</v>
      </c>
      <c r="U1132" s="8">
        <v>9</v>
      </c>
      <c r="V1132" s="8">
        <v>7</v>
      </c>
      <c r="W1132" t="s">
        <v>473</v>
      </c>
      <c r="X1132" t="s">
        <v>474</v>
      </c>
      <c r="Y1132" t="s">
        <v>473</v>
      </c>
      <c r="Z1132" t="s">
        <v>473</v>
      </c>
      <c r="AA1132" t="s">
        <v>473</v>
      </c>
      <c r="AB1132" t="s">
        <v>473</v>
      </c>
      <c r="AC1132" s="10">
        <v>3</v>
      </c>
      <c r="AD1132" s="10">
        <v>11</v>
      </c>
      <c r="AE1132" t="s">
        <v>473</v>
      </c>
    </row>
    <row r="1133" spans="1:31" x14ac:dyDescent="0.25">
      <c r="A1133">
        <v>606</v>
      </c>
      <c r="B1133">
        <v>1967</v>
      </c>
      <c r="C1133" t="s">
        <v>466</v>
      </c>
      <c r="D1133" t="s">
        <v>30</v>
      </c>
      <c r="E1133" t="str">
        <f>IF(OR(Table1[[#This Row],[marital_status]]="Married", Table1[[#This Row],[marital_status]]="Together"), "Partnered", "Single")</f>
        <v>Single</v>
      </c>
      <c r="F1133" s="7">
        <v>25930</v>
      </c>
      <c r="G1133" s="8">
        <v>1</v>
      </c>
      <c r="H1133" s="8">
        <v>1</v>
      </c>
      <c r="I1133" s="8">
        <f>Table1[[#This Row],[kids]]+Table1[[#This Row],[teens]]</f>
        <v>2</v>
      </c>
      <c r="J1133" s="9">
        <v>41557</v>
      </c>
      <c r="K1133" s="8">
        <v>87</v>
      </c>
      <c r="L1133" s="6">
        <v>6</v>
      </c>
      <c r="M1133" s="5">
        <v>1</v>
      </c>
      <c r="N1133" s="5">
        <v>2</v>
      </c>
      <c r="O1133" s="5">
        <v>2</v>
      </c>
      <c r="P1133" s="5">
        <v>0</v>
      </c>
      <c r="Q1133" s="5">
        <v>4</v>
      </c>
      <c r="R1133" s="8">
        <v>1</v>
      </c>
      <c r="S1133" s="8">
        <v>1</v>
      </c>
      <c r="T1133" s="8">
        <v>0</v>
      </c>
      <c r="U1133" s="8">
        <v>2</v>
      </c>
      <c r="V1133" s="8">
        <v>7</v>
      </c>
      <c r="W1133" t="s">
        <v>473</v>
      </c>
      <c r="X1133" t="s">
        <v>473</v>
      </c>
      <c r="Y1133" t="s">
        <v>473</v>
      </c>
      <c r="Z1133" t="s">
        <v>473</v>
      </c>
      <c r="AA1133" t="s">
        <v>473</v>
      </c>
      <c r="AB1133" t="s">
        <v>473</v>
      </c>
      <c r="AC1133" s="10">
        <v>3</v>
      </c>
      <c r="AD1133" s="10">
        <v>11</v>
      </c>
      <c r="AE1133" t="s">
        <v>473</v>
      </c>
    </row>
    <row r="1134" spans="1:31" x14ac:dyDescent="0.25">
      <c r="A1134">
        <v>5961</v>
      </c>
      <c r="B1134">
        <v>1978</v>
      </c>
      <c r="C1134" t="s">
        <v>466</v>
      </c>
      <c r="D1134" t="s">
        <v>34</v>
      </c>
      <c r="E1134" t="str">
        <f>IF(OR(Table1[[#This Row],[marital_status]]="Married", Table1[[#This Row],[marital_status]]="Together"), "Partnered", "Single")</f>
        <v>Partnered</v>
      </c>
      <c r="F1134" s="7">
        <v>42693</v>
      </c>
      <c r="G1134" s="8">
        <v>1</v>
      </c>
      <c r="H1134" s="8">
        <v>0</v>
      </c>
      <c r="I1134" s="8">
        <f>Table1[[#This Row],[kids]]+Table1[[#This Row],[teens]]</f>
        <v>1</v>
      </c>
      <c r="J1134" s="9">
        <v>41797</v>
      </c>
      <c r="K1134" s="8">
        <v>29</v>
      </c>
      <c r="L1134" s="6">
        <v>8</v>
      </c>
      <c r="M1134" s="5">
        <v>4</v>
      </c>
      <c r="N1134" s="5">
        <v>20</v>
      </c>
      <c r="O1134" s="5">
        <v>6</v>
      </c>
      <c r="P1134" s="5">
        <v>3</v>
      </c>
      <c r="Q1134" s="5">
        <v>16</v>
      </c>
      <c r="R1134" s="8">
        <v>1</v>
      </c>
      <c r="S1134" s="8">
        <v>1</v>
      </c>
      <c r="T1134" s="8">
        <v>0</v>
      </c>
      <c r="U1134" s="8">
        <v>3</v>
      </c>
      <c r="V1134" s="8">
        <v>5</v>
      </c>
      <c r="W1134" t="s">
        <v>473</v>
      </c>
      <c r="X1134" t="s">
        <v>473</v>
      </c>
      <c r="Y1134" t="s">
        <v>473</v>
      </c>
      <c r="Z1134" t="s">
        <v>473</v>
      </c>
      <c r="AA1134" t="s">
        <v>473</v>
      </c>
      <c r="AB1134" t="s">
        <v>473</v>
      </c>
      <c r="AC1134" s="10">
        <v>3</v>
      </c>
      <c r="AD1134" s="10">
        <v>11</v>
      </c>
      <c r="AE1134" t="s">
        <v>473</v>
      </c>
    </row>
    <row r="1135" spans="1:31" x14ac:dyDescent="0.25">
      <c r="A1135">
        <v>2975</v>
      </c>
      <c r="B1135">
        <v>1976</v>
      </c>
      <c r="C1135" t="s">
        <v>466</v>
      </c>
      <c r="D1135" t="s">
        <v>31</v>
      </c>
      <c r="E1135" t="str">
        <f>IF(OR(Table1[[#This Row],[marital_status]]="Married", Table1[[#This Row],[marital_status]]="Together"), "Partnered", "Single")</f>
        <v>Partnered</v>
      </c>
      <c r="F1135" s="7">
        <v>85606</v>
      </c>
      <c r="G1135" s="8">
        <v>0</v>
      </c>
      <c r="H1135" s="8">
        <v>1</v>
      </c>
      <c r="I1135" s="8">
        <f>Table1[[#This Row],[kids]]+Table1[[#This Row],[teens]]</f>
        <v>1</v>
      </c>
      <c r="J1135" s="9">
        <v>41225</v>
      </c>
      <c r="K1135" s="8">
        <v>89</v>
      </c>
      <c r="L1135" s="6">
        <v>717</v>
      </c>
      <c r="M1135" s="5">
        <v>42</v>
      </c>
      <c r="N1135" s="5">
        <v>864</v>
      </c>
      <c r="O1135" s="5">
        <v>219</v>
      </c>
      <c r="P1135" s="5">
        <v>30</v>
      </c>
      <c r="Q1135" s="5">
        <v>84</v>
      </c>
      <c r="R1135" s="8">
        <v>2</v>
      </c>
      <c r="S1135" s="8">
        <v>6</v>
      </c>
      <c r="T1135" s="8">
        <v>7</v>
      </c>
      <c r="U1135" s="8">
        <v>9</v>
      </c>
      <c r="V1135" s="8">
        <v>3</v>
      </c>
      <c r="W1135" t="s">
        <v>473</v>
      </c>
      <c r="X1135" t="s">
        <v>473</v>
      </c>
      <c r="Y1135" t="s">
        <v>473</v>
      </c>
      <c r="Z1135" t="s">
        <v>474</v>
      </c>
      <c r="AA1135" t="s">
        <v>473</v>
      </c>
      <c r="AB1135" t="s">
        <v>473</v>
      </c>
      <c r="AC1135" s="10">
        <v>3</v>
      </c>
      <c r="AD1135" s="10">
        <v>11</v>
      </c>
      <c r="AE1135" t="s">
        <v>473</v>
      </c>
    </row>
    <row r="1136" spans="1:31" x14ac:dyDescent="0.25">
      <c r="A1136">
        <v>2894</v>
      </c>
      <c r="B1136">
        <v>1985</v>
      </c>
      <c r="C1136" t="s">
        <v>466</v>
      </c>
      <c r="D1136" t="s">
        <v>30</v>
      </c>
      <c r="E1136" t="str">
        <f>IF(OR(Table1[[#This Row],[marital_status]]="Married", Table1[[#This Row],[marital_status]]="Together"), "Partnered", "Single")</f>
        <v>Single</v>
      </c>
      <c r="F1136" s="7">
        <v>72903</v>
      </c>
      <c r="G1136" s="8">
        <v>0</v>
      </c>
      <c r="H1136" s="8">
        <v>0</v>
      </c>
      <c r="I1136" s="8">
        <f>Table1[[#This Row],[kids]]+Table1[[#This Row],[teens]]</f>
        <v>0</v>
      </c>
      <c r="J1136" s="9">
        <v>41576</v>
      </c>
      <c r="K1136" s="8">
        <v>74</v>
      </c>
      <c r="L1136" s="6">
        <v>1067</v>
      </c>
      <c r="M1136" s="5">
        <v>138</v>
      </c>
      <c r="N1136" s="5">
        <v>750</v>
      </c>
      <c r="O1136" s="5">
        <v>0</v>
      </c>
      <c r="P1136" s="5">
        <v>19</v>
      </c>
      <c r="Q1136" s="5">
        <v>39</v>
      </c>
      <c r="R1136" s="8">
        <v>1</v>
      </c>
      <c r="S1136" s="8">
        <v>7</v>
      </c>
      <c r="T1136" s="8">
        <v>5</v>
      </c>
      <c r="U1136" s="8">
        <v>8</v>
      </c>
      <c r="V1136" s="8">
        <v>4</v>
      </c>
      <c r="W1136" t="s">
        <v>473</v>
      </c>
      <c r="X1136" t="s">
        <v>474</v>
      </c>
      <c r="Y1136" t="s">
        <v>474</v>
      </c>
      <c r="Z1136" t="s">
        <v>474</v>
      </c>
      <c r="AA1136" t="s">
        <v>473</v>
      </c>
      <c r="AB1136" t="s">
        <v>473</v>
      </c>
      <c r="AC1136" s="10">
        <v>3</v>
      </c>
      <c r="AD1136" s="10">
        <v>11</v>
      </c>
      <c r="AE1136" t="s">
        <v>474</v>
      </c>
    </row>
    <row r="1137" spans="1:31" x14ac:dyDescent="0.25">
      <c r="A1137">
        <v>7613</v>
      </c>
      <c r="B1137">
        <v>1974</v>
      </c>
      <c r="C1137" t="s">
        <v>46</v>
      </c>
      <c r="D1137" t="s">
        <v>31</v>
      </c>
      <c r="E1137" t="str">
        <f>IF(OR(Table1[[#This Row],[marital_status]]="Married", Table1[[#This Row],[marital_status]]="Together"), "Partnered", "Single")</f>
        <v>Partnered</v>
      </c>
      <c r="F1137" s="7">
        <v>49669</v>
      </c>
      <c r="G1137" s="8">
        <v>1</v>
      </c>
      <c r="H1137" s="8">
        <v>0</v>
      </c>
      <c r="I1137" s="8">
        <f>Table1[[#This Row],[kids]]+Table1[[#This Row],[teens]]</f>
        <v>1</v>
      </c>
      <c r="J1137" s="9">
        <v>41783</v>
      </c>
      <c r="K1137" s="8">
        <v>97</v>
      </c>
      <c r="L1137" s="6">
        <v>166</v>
      </c>
      <c r="M1137" s="5">
        <v>5</v>
      </c>
      <c r="N1137" s="5">
        <v>107</v>
      </c>
      <c r="O1137" s="5">
        <v>11</v>
      </c>
      <c r="P1137" s="5">
        <v>8</v>
      </c>
      <c r="Q1137" s="5">
        <v>29</v>
      </c>
      <c r="R1137" s="8">
        <v>2</v>
      </c>
      <c r="S1137" s="8">
        <v>5</v>
      </c>
      <c r="T1137" s="8">
        <v>1</v>
      </c>
      <c r="U1137" s="8">
        <v>6</v>
      </c>
      <c r="V1137" s="8">
        <v>6</v>
      </c>
      <c r="W1137" t="s">
        <v>473</v>
      </c>
      <c r="X1137" t="s">
        <v>473</v>
      </c>
      <c r="Y1137" t="s">
        <v>473</v>
      </c>
      <c r="Z1137" t="s">
        <v>473</v>
      </c>
      <c r="AA1137" t="s">
        <v>473</v>
      </c>
      <c r="AB1137" t="s">
        <v>473</v>
      </c>
      <c r="AC1137" s="10">
        <v>3</v>
      </c>
      <c r="AD1137" s="10">
        <v>11</v>
      </c>
      <c r="AE1137" t="s">
        <v>473</v>
      </c>
    </row>
    <row r="1138" spans="1:31" x14ac:dyDescent="0.25">
      <c r="A1138">
        <v>10542</v>
      </c>
      <c r="B1138">
        <v>1968</v>
      </c>
      <c r="C1138" t="s">
        <v>33</v>
      </c>
      <c r="D1138" t="s">
        <v>34</v>
      </c>
      <c r="E1138" t="str">
        <f>IF(OR(Table1[[#This Row],[marital_status]]="Married", Table1[[#This Row],[marital_status]]="Together"), "Partnered", "Single")</f>
        <v>Partnered</v>
      </c>
      <c r="F1138" s="7">
        <v>36778</v>
      </c>
      <c r="G1138" s="8">
        <v>1</v>
      </c>
      <c r="H1138" s="8">
        <v>1</v>
      </c>
      <c r="I1138" s="8">
        <f>Table1[[#This Row],[kids]]+Table1[[#This Row],[teens]]</f>
        <v>2</v>
      </c>
      <c r="J1138" s="9">
        <v>41126</v>
      </c>
      <c r="K1138" s="8">
        <v>63</v>
      </c>
      <c r="L1138" s="6">
        <v>29</v>
      </c>
      <c r="M1138" s="5">
        <v>4</v>
      </c>
      <c r="N1138" s="5">
        <v>34</v>
      </c>
      <c r="O1138" s="5">
        <v>2</v>
      </c>
      <c r="P1138" s="5">
        <v>4</v>
      </c>
      <c r="Q1138" s="5">
        <v>4</v>
      </c>
      <c r="R1138" s="8">
        <v>3</v>
      </c>
      <c r="S1138" s="8">
        <v>3</v>
      </c>
      <c r="T1138" s="8">
        <v>0</v>
      </c>
      <c r="U1138" s="8">
        <v>3</v>
      </c>
      <c r="V1138" s="8">
        <v>9</v>
      </c>
      <c r="W1138" t="s">
        <v>473</v>
      </c>
      <c r="X1138" t="s">
        <v>473</v>
      </c>
      <c r="Y1138" t="s">
        <v>473</v>
      </c>
      <c r="Z1138" t="s">
        <v>473</v>
      </c>
      <c r="AA1138" t="s">
        <v>473</v>
      </c>
      <c r="AB1138" t="s">
        <v>473</v>
      </c>
      <c r="AC1138" s="10">
        <v>3</v>
      </c>
      <c r="AD1138" s="10">
        <v>11</v>
      </c>
      <c r="AE1138" t="s">
        <v>473</v>
      </c>
    </row>
    <row r="1139" spans="1:31" x14ac:dyDescent="0.25">
      <c r="A1139">
        <v>8015</v>
      </c>
      <c r="B1139">
        <v>1962</v>
      </c>
      <c r="C1139" t="s">
        <v>33</v>
      </c>
      <c r="D1139" t="s">
        <v>37</v>
      </c>
      <c r="E1139" t="str">
        <f>IF(OR(Table1[[#This Row],[marital_status]]="Married", Table1[[#This Row],[marital_status]]="Together"), "Partnered", "Single")</f>
        <v>Single</v>
      </c>
      <c r="F1139" s="7">
        <v>85696</v>
      </c>
      <c r="G1139" s="8">
        <v>0</v>
      </c>
      <c r="H1139" s="8">
        <v>0</v>
      </c>
      <c r="I1139" s="8">
        <f>Table1[[#This Row],[kids]]+Table1[[#This Row],[teens]]</f>
        <v>0</v>
      </c>
      <c r="J1139" s="9">
        <v>41397</v>
      </c>
      <c r="K1139" s="8">
        <v>88</v>
      </c>
      <c r="L1139" s="6">
        <v>714</v>
      </c>
      <c r="M1139" s="5">
        <v>76</v>
      </c>
      <c r="N1139" s="5">
        <v>395</v>
      </c>
      <c r="O1139" s="5">
        <v>116</v>
      </c>
      <c r="P1139" s="5">
        <v>0</v>
      </c>
      <c r="Q1139" s="5">
        <v>12</v>
      </c>
      <c r="R1139" s="8">
        <v>1</v>
      </c>
      <c r="S1139" s="8">
        <v>4</v>
      </c>
      <c r="T1139" s="8">
        <v>6</v>
      </c>
      <c r="U1139" s="8">
        <v>9</v>
      </c>
      <c r="V1139" s="8">
        <v>1</v>
      </c>
      <c r="W1139" t="s">
        <v>473</v>
      </c>
      <c r="X1139" t="s">
        <v>473</v>
      </c>
      <c r="Y1139" t="s">
        <v>473</v>
      </c>
      <c r="Z1139" t="s">
        <v>473</v>
      </c>
      <c r="AA1139" t="s">
        <v>473</v>
      </c>
      <c r="AB1139" t="s">
        <v>473</v>
      </c>
      <c r="AC1139" s="10">
        <v>3</v>
      </c>
      <c r="AD1139" s="10">
        <v>11</v>
      </c>
      <c r="AE1139" t="s">
        <v>474</v>
      </c>
    </row>
    <row r="1140" spans="1:31" x14ac:dyDescent="0.25">
      <c r="A1140">
        <v>10617</v>
      </c>
      <c r="B1140">
        <v>1989</v>
      </c>
      <c r="C1140" t="s">
        <v>36</v>
      </c>
      <c r="D1140" t="s">
        <v>37</v>
      </c>
      <c r="E1140" t="str">
        <f>IF(OR(Table1[[#This Row],[marital_status]]="Married", Table1[[#This Row],[marital_status]]="Together"), "Partnered", "Single")</f>
        <v>Single</v>
      </c>
      <c r="F1140" s="7">
        <v>10979</v>
      </c>
      <c r="G1140" s="8">
        <v>0</v>
      </c>
      <c r="H1140" s="8">
        <v>0</v>
      </c>
      <c r="I1140" s="8">
        <f>Table1[[#This Row],[kids]]+Table1[[#This Row],[teens]]</f>
        <v>0</v>
      </c>
      <c r="J1140" s="9">
        <v>41781</v>
      </c>
      <c r="K1140" s="8">
        <v>34</v>
      </c>
      <c r="L1140" s="6">
        <v>8</v>
      </c>
      <c r="M1140" s="5">
        <v>4</v>
      </c>
      <c r="N1140" s="5">
        <v>10</v>
      </c>
      <c r="O1140" s="5">
        <v>2</v>
      </c>
      <c r="P1140" s="5">
        <v>2</v>
      </c>
      <c r="Q1140" s="5">
        <v>4</v>
      </c>
      <c r="R1140" s="8">
        <v>2</v>
      </c>
      <c r="S1140" s="8">
        <v>3</v>
      </c>
      <c r="T1140" s="8">
        <v>0</v>
      </c>
      <c r="U1140" s="8">
        <v>3</v>
      </c>
      <c r="V1140" s="8">
        <v>5</v>
      </c>
      <c r="W1140" t="s">
        <v>473</v>
      </c>
      <c r="X1140" t="s">
        <v>473</v>
      </c>
      <c r="Y1140" t="s">
        <v>473</v>
      </c>
      <c r="Z1140" t="s">
        <v>473</v>
      </c>
      <c r="AA1140" t="s">
        <v>473</v>
      </c>
      <c r="AB1140" t="s">
        <v>473</v>
      </c>
      <c r="AC1140" s="10">
        <v>3</v>
      </c>
      <c r="AD1140" s="10">
        <v>11</v>
      </c>
      <c r="AE1140" t="s">
        <v>473</v>
      </c>
    </row>
    <row r="1141" spans="1:31" x14ac:dyDescent="0.25">
      <c r="A1141">
        <v>11166</v>
      </c>
      <c r="B1141">
        <v>1961</v>
      </c>
      <c r="C1141" t="s">
        <v>466</v>
      </c>
      <c r="D1141" t="s">
        <v>34</v>
      </c>
      <c r="E1141" t="str">
        <f>IF(OR(Table1[[#This Row],[marital_status]]="Married", Table1[[#This Row],[marital_status]]="Together"), "Partnered", "Single")</f>
        <v>Partnered</v>
      </c>
      <c r="F1141" s="7">
        <v>49678</v>
      </c>
      <c r="G1141" s="8">
        <v>0</v>
      </c>
      <c r="H1141" s="8">
        <v>1</v>
      </c>
      <c r="I1141" s="8">
        <f>Table1[[#This Row],[kids]]+Table1[[#This Row],[teens]]</f>
        <v>1</v>
      </c>
      <c r="J1141" s="9">
        <v>41307</v>
      </c>
      <c r="K1141" s="8">
        <v>81</v>
      </c>
      <c r="L1141" s="6">
        <v>229</v>
      </c>
      <c r="M1141" s="5">
        <v>5</v>
      </c>
      <c r="N1141" s="5">
        <v>56</v>
      </c>
      <c r="O1141" s="5">
        <v>3</v>
      </c>
      <c r="P1141" s="5">
        <v>2</v>
      </c>
      <c r="Q1141" s="5">
        <v>20</v>
      </c>
      <c r="R1141" s="8">
        <v>2</v>
      </c>
      <c r="S1141" s="8">
        <v>6</v>
      </c>
      <c r="T1141" s="8">
        <v>2</v>
      </c>
      <c r="U1141" s="8">
        <v>4</v>
      </c>
      <c r="V1141" s="8">
        <v>7</v>
      </c>
      <c r="W1141" t="s">
        <v>473</v>
      </c>
      <c r="X1141" t="s">
        <v>473</v>
      </c>
      <c r="Y1141" t="s">
        <v>473</v>
      </c>
      <c r="Z1141" t="s">
        <v>473</v>
      </c>
      <c r="AA1141" t="s">
        <v>473</v>
      </c>
      <c r="AB1141" t="s">
        <v>473</v>
      </c>
      <c r="AC1141" s="10">
        <v>3</v>
      </c>
      <c r="AD1141" s="10">
        <v>11</v>
      </c>
      <c r="AE1141" t="s">
        <v>473</v>
      </c>
    </row>
    <row r="1142" spans="1:31" x14ac:dyDescent="0.25">
      <c r="A1142">
        <v>849</v>
      </c>
      <c r="B1142">
        <v>1953</v>
      </c>
      <c r="C1142" t="s">
        <v>36</v>
      </c>
      <c r="D1142" t="s">
        <v>31</v>
      </c>
      <c r="E1142" t="str">
        <f>IF(OR(Table1[[#This Row],[marital_status]]="Married", Table1[[#This Row],[marital_status]]="Together"), "Partnered", "Single")</f>
        <v>Partnered</v>
      </c>
      <c r="F1142" s="7">
        <v>56129</v>
      </c>
      <c r="G1142" s="8">
        <v>0</v>
      </c>
      <c r="H1142" s="8">
        <v>1</v>
      </c>
      <c r="I1142" s="8">
        <f>Table1[[#This Row],[kids]]+Table1[[#This Row],[teens]]</f>
        <v>1</v>
      </c>
      <c r="J1142" s="9">
        <v>41445</v>
      </c>
      <c r="K1142" s="8">
        <v>65</v>
      </c>
      <c r="L1142" s="6">
        <v>320</v>
      </c>
      <c r="M1142" s="5">
        <v>48</v>
      </c>
      <c r="N1142" s="5">
        <v>133</v>
      </c>
      <c r="O1142" s="5">
        <v>39</v>
      </c>
      <c r="P1142" s="5">
        <v>72</v>
      </c>
      <c r="Q1142" s="5">
        <v>48</v>
      </c>
      <c r="R1142" s="8">
        <v>4</v>
      </c>
      <c r="S1142" s="8">
        <v>6</v>
      </c>
      <c r="T1142" s="8">
        <v>2</v>
      </c>
      <c r="U1142" s="8">
        <v>10</v>
      </c>
      <c r="V1142" s="8">
        <v>4</v>
      </c>
      <c r="W1142" t="s">
        <v>473</v>
      </c>
      <c r="X1142" t="s">
        <v>473</v>
      </c>
      <c r="Y1142" t="s">
        <v>473</v>
      </c>
      <c r="Z1142" t="s">
        <v>473</v>
      </c>
      <c r="AA1142" t="s">
        <v>473</v>
      </c>
      <c r="AB1142" t="s">
        <v>473</v>
      </c>
      <c r="AC1142" s="10">
        <v>3</v>
      </c>
      <c r="AD1142" s="10">
        <v>11</v>
      </c>
      <c r="AE1142" t="s">
        <v>473</v>
      </c>
    </row>
    <row r="1143" spans="1:31" x14ac:dyDescent="0.25">
      <c r="A1143">
        <v>523</v>
      </c>
      <c r="B1143">
        <v>1989</v>
      </c>
      <c r="C1143" t="s">
        <v>466</v>
      </c>
      <c r="D1143" t="s">
        <v>34</v>
      </c>
      <c r="E1143" t="str">
        <f>IF(OR(Table1[[#This Row],[marital_status]]="Married", Table1[[#This Row],[marital_status]]="Together"), "Partnered", "Single")</f>
        <v>Partnered</v>
      </c>
      <c r="F1143" s="7">
        <v>37155</v>
      </c>
      <c r="G1143" s="8">
        <v>1</v>
      </c>
      <c r="H1143" s="8">
        <v>0</v>
      </c>
      <c r="I1143" s="8">
        <f>Table1[[#This Row],[kids]]+Table1[[#This Row],[teens]]</f>
        <v>1</v>
      </c>
      <c r="J1143" s="9">
        <v>41305</v>
      </c>
      <c r="K1143" s="8">
        <v>51</v>
      </c>
      <c r="L1143" s="6">
        <v>23</v>
      </c>
      <c r="M1143" s="5">
        <v>0</v>
      </c>
      <c r="N1143" s="5">
        <v>26</v>
      </c>
      <c r="O1143" s="5">
        <v>7</v>
      </c>
      <c r="P1143" s="5">
        <v>15</v>
      </c>
      <c r="Q1143" s="5">
        <v>3</v>
      </c>
      <c r="R1143" s="8">
        <v>1</v>
      </c>
      <c r="S1143" s="8">
        <v>2</v>
      </c>
      <c r="T1143" s="8">
        <v>0</v>
      </c>
      <c r="U1143" s="8">
        <v>4</v>
      </c>
      <c r="V1143" s="8">
        <v>5</v>
      </c>
      <c r="W1143" t="s">
        <v>473</v>
      </c>
      <c r="X1143" t="s">
        <v>473</v>
      </c>
      <c r="Y1143" t="s">
        <v>473</v>
      </c>
      <c r="Z1143" t="s">
        <v>473</v>
      </c>
      <c r="AA1143" t="s">
        <v>473</v>
      </c>
      <c r="AB1143" t="s">
        <v>473</v>
      </c>
      <c r="AC1143" s="10">
        <v>3</v>
      </c>
      <c r="AD1143" s="10">
        <v>11</v>
      </c>
      <c r="AE1143" t="s">
        <v>473</v>
      </c>
    </row>
    <row r="1144" spans="1:31" x14ac:dyDescent="0.25">
      <c r="A1144">
        <v>4066</v>
      </c>
      <c r="B1144">
        <v>1978</v>
      </c>
      <c r="C1144" t="s">
        <v>46</v>
      </c>
      <c r="D1144" t="s">
        <v>37</v>
      </c>
      <c r="E1144" t="str">
        <f>IF(OR(Table1[[#This Row],[marital_status]]="Married", Table1[[#This Row],[marital_status]]="Together"), "Partnered", "Single")</f>
        <v>Single</v>
      </c>
      <c r="F1144" s="7">
        <v>21282</v>
      </c>
      <c r="G1144" s="8">
        <v>1</v>
      </c>
      <c r="H1144" s="8">
        <v>0</v>
      </c>
      <c r="I1144" s="8">
        <f>Table1[[#This Row],[kids]]+Table1[[#This Row],[teens]]</f>
        <v>1</v>
      </c>
      <c r="J1144" s="9">
        <v>41770</v>
      </c>
      <c r="K1144" s="8">
        <v>76</v>
      </c>
      <c r="L1144" s="6">
        <v>1</v>
      </c>
      <c r="M1144" s="5">
        <v>5</v>
      </c>
      <c r="N1144" s="5">
        <v>8</v>
      </c>
      <c r="O1144" s="5">
        <v>4</v>
      </c>
      <c r="P1144" s="5">
        <v>8</v>
      </c>
      <c r="Q1144" s="5">
        <v>20</v>
      </c>
      <c r="R1144" s="8">
        <v>2</v>
      </c>
      <c r="S1144" s="8">
        <v>2</v>
      </c>
      <c r="T1144" s="8">
        <v>1</v>
      </c>
      <c r="U1144" s="8">
        <v>2</v>
      </c>
      <c r="V1144" s="8">
        <v>6</v>
      </c>
      <c r="W1144" t="s">
        <v>473</v>
      </c>
      <c r="X1144" t="s">
        <v>473</v>
      </c>
      <c r="Y1144" t="s">
        <v>473</v>
      </c>
      <c r="Z1144" t="s">
        <v>473</v>
      </c>
      <c r="AA1144" t="s">
        <v>473</v>
      </c>
      <c r="AB1144" t="s">
        <v>473</v>
      </c>
      <c r="AC1144" s="10">
        <v>3</v>
      </c>
      <c r="AD1144" s="10">
        <v>11</v>
      </c>
      <c r="AE1144" t="s">
        <v>473</v>
      </c>
    </row>
    <row r="1145" spans="1:31" x14ac:dyDescent="0.25">
      <c r="A1145">
        <v>8414</v>
      </c>
      <c r="B1145">
        <v>1962</v>
      </c>
      <c r="C1145" t="s">
        <v>33</v>
      </c>
      <c r="D1145" t="s">
        <v>30</v>
      </c>
      <c r="E1145" t="str">
        <f>IF(OR(Table1[[#This Row],[marital_status]]="Married", Table1[[#This Row],[marital_status]]="Together"), "Partnered", "Single")</f>
        <v>Single</v>
      </c>
      <c r="F1145" s="7">
        <v>33419</v>
      </c>
      <c r="G1145" s="8">
        <v>0</v>
      </c>
      <c r="H1145" s="8">
        <v>1</v>
      </c>
      <c r="I1145" s="8">
        <f>Table1[[#This Row],[kids]]+Table1[[#This Row],[teens]]</f>
        <v>1</v>
      </c>
      <c r="J1145" s="9">
        <v>41503</v>
      </c>
      <c r="K1145" s="8">
        <v>76</v>
      </c>
      <c r="L1145" s="6">
        <v>56</v>
      </c>
      <c r="M1145" s="5">
        <v>0</v>
      </c>
      <c r="N1145" s="5">
        <v>12</v>
      </c>
      <c r="O1145" s="5">
        <v>0</v>
      </c>
      <c r="P1145" s="5">
        <v>0</v>
      </c>
      <c r="Q1145" s="5">
        <v>18</v>
      </c>
      <c r="R1145" s="8">
        <v>2</v>
      </c>
      <c r="S1145" s="8">
        <v>2</v>
      </c>
      <c r="T1145" s="8">
        <v>0</v>
      </c>
      <c r="U1145" s="8">
        <v>4</v>
      </c>
      <c r="V1145" s="8">
        <v>7</v>
      </c>
      <c r="W1145" t="s">
        <v>473</v>
      </c>
      <c r="X1145" t="s">
        <v>473</v>
      </c>
      <c r="Y1145" t="s">
        <v>473</v>
      </c>
      <c r="Z1145" t="s">
        <v>473</v>
      </c>
      <c r="AA1145" t="s">
        <v>473</v>
      </c>
      <c r="AB1145" t="s">
        <v>473</v>
      </c>
      <c r="AC1145" s="10">
        <v>3</v>
      </c>
      <c r="AD1145" s="10">
        <v>11</v>
      </c>
      <c r="AE1145" t="s">
        <v>473</v>
      </c>
    </row>
    <row r="1146" spans="1:31" x14ac:dyDescent="0.25">
      <c r="A1146">
        <v>819</v>
      </c>
      <c r="B1146">
        <v>1945</v>
      </c>
      <c r="C1146" t="s">
        <v>466</v>
      </c>
      <c r="D1146" t="s">
        <v>57</v>
      </c>
      <c r="E1146" t="str">
        <f>IF(OR(Table1[[#This Row],[marital_status]]="Married", Table1[[#This Row],[marital_status]]="Together"), "Partnered", "Single")</f>
        <v>Single</v>
      </c>
      <c r="F1146" s="7">
        <v>63285</v>
      </c>
      <c r="G1146" s="8">
        <v>0</v>
      </c>
      <c r="H1146" s="8">
        <v>0</v>
      </c>
      <c r="I1146" s="8">
        <f>Table1[[#This Row],[kids]]+Table1[[#This Row],[teens]]</f>
        <v>0</v>
      </c>
      <c r="J1146" s="9">
        <v>41583</v>
      </c>
      <c r="K1146" s="8">
        <v>84</v>
      </c>
      <c r="L1146" s="6">
        <v>508</v>
      </c>
      <c r="M1146" s="5">
        <v>124</v>
      </c>
      <c r="N1146" s="5">
        <v>249</v>
      </c>
      <c r="O1146" s="5">
        <v>50</v>
      </c>
      <c r="P1146" s="5">
        <v>38</v>
      </c>
      <c r="Q1146" s="5">
        <v>134</v>
      </c>
      <c r="R1146" s="8">
        <v>1</v>
      </c>
      <c r="S1146" s="8">
        <v>6</v>
      </c>
      <c r="T1146" s="8">
        <v>5</v>
      </c>
      <c r="U1146" s="8">
        <v>13</v>
      </c>
      <c r="V1146" s="8">
        <v>3</v>
      </c>
      <c r="W1146" t="s">
        <v>473</v>
      </c>
      <c r="X1146" t="s">
        <v>473</v>
      </c>
      <c r="Y1146" t="s">
        <v>473</v>
      </c>
      <c r="Z1146" t="s">
        <v>473</v>
      </c>
      <c r="AA1146" t="s">
        <v>473</v>
      </c>
      <c r="AB1146" t="s">
        <v>473</v>
      </c>
      <c r="AC1146" s="10">
        <v>3</v>
      </c>
      <c r="AD1146" s="10">
        <v>11</v>
      </c>
      <c r="AE1146" t="s">
        <v>473</v>
      </c>
    </row>
    <row r="1147" spans="1:31" x14ac:dyDescent="0.25">
      <c r="A1147">
        <v>4961</v>
      </c>
      <c r="B1147">
        <v>1974</v>
      </c>
      <c r="C1147" t="s">
        <v>36</v>
      </c>
      <c r="D1147" t="s">
        <v>31</v>
      </c>
      <c r="E1147" t="str">
        <f>IF(OR(Table1[[#This Row],[marital_status]]="Married", Table1[[#This Row],[marital_status]]="Together"), "Partnered", "Single")</f>
        <v>Partnered</v>
      </c>
      <c r="F1147" s="7">
        <v>21255</v>
      </c>
      <c r="G1147" s="8">
        <v>1</v>
      </c>
      <c r="H1147" s="8">
        <v>0</v>
      </c>
      <c r="I1147" s="8">
        <f>Table1[[#This Row],[kids]]+Table1[[#This Row],[teens]]</f>
        <v>1</v>
      </c>
      <c r="J1147" s="9">
        <v>41660</v>
      </c>
      <c r="K1147" s="8">
        <v>56</v>
      </c>
      <c r="L1147" s="6">
        <v>29</v>
      </c>
      <c r="M1147" s="5">
        <v>0</v>
      </c>
      <c r="N1147" s="5">
        <v>25</v>
      </c>
      <c r="O1147" s="5">
        <v>2</v>
      </c>
      <c r="P1147" s="5">
        <v>2</v>
      </c>
      <c r="Q1147" s="5">
        <v>3</v>
      </c>
      <c r="R1147" s="8">
        <v>4</v>
      </c>
      <c r="S1147" s="8">
        <v>2</v>
      </c>
      <c r="T1147" s="8">
        <v>1</v>
      </c>
      <c r="U1147" s="8">
        <v>4</v>
      </c>
      <c r="V1147" s="8">
        <v>4</v>
      </c>
      <c r="W1147" t="s">
        <v>473</v>
      </c>
      <c r="X1147" t="s">
        <v>473</v>
      </c>
      <c r="Y1147" t="s">
        <v>473</v>
      </c>
      <c r="Z1147" t="s">
        <v>473</v>
      </c>
      <c r="AA1147" t="s">
        <v>473</v>
      </c>
      <c r="AB1147" t="s">
        <v>473</v>
      </c>
      <c r="AC1147" s="10">
        <v>3</v>
      </c>
      <c r="AD1147" s="10">
        <v>11</v>
      </c>
      <c r="AE1147" t="s">
        <v>473</v>
      </c>
    </row>
    <row r="1148" spans="1:31" x14ac:dyDescent="0.25">
      <c r="A1148">
        <v>749</v>
      </c>
      <c r="B1148">
        <v>1981</v>
      </c>
      <c r="C1148" t="s">
        <v>466</v>
      </c>
      <c r="D1148" t="s">
        <v>31</v>
      </c>
      <c r="E1148" t="str">
        <f>IF(OR(Table1[[#This Row],[marital_status]]="Married", Table1[[#This Row],[marital_status]]="Together"), "Partnered", "Single")</f>
        <v>Partnered</v>
      </c>
      <c r="F1148" s="7">
        <v>42162</v>
      </c>
      <c r="G1148" s="8">
        <v>1</v>
      </c>
      <c r="H1148" s="8">
        <v>0</v>
      </c>
      <c r="I1148" s="8">
        <f>Table1[[#This Row],[kids]]+Table1[[#This Row],[teens]]</f>
        <v>1</v>
      </c>
      <c r="J1148" s="9">
        <v>41597</v>
      </c>
      <c r="K1148" s="8">
        <v>31</v>
      </c>
      <c r="L1148" s="6">
        <v>46</v>
      </c>
      <c r="M1148" s="5">
        <v>7</v>
      </c>
      <c r="N1148" s="5">
        <v>59</v>
      </c>
      <c r="O1148" s="5">
        <v>2</v>
      </c>
      <c r="P1148" s="5">
        <v>4</v>
      </c>
      <c r="Q1148" s="5">
        <v>27</v>
      </c>
      <c r="R1148" s="8">
        <v>2</v>
      </c>
      <c r="S1148" s="8">
        <v>3</v>
      </c>
      <c r="T1148" s="8">
        <v>1</v>
      </c>
      <c r="U1148" s="8">
        <v>3</v>
      </c>
      <c r="V1148" s="8">
        <v>6</v>
      </c>
      <c r="W1148" t="s">
        <v>474</v>
      </c>
      <c r="X1148" t="s">
        <v>473</v>
      </c>
      <c r="Y1148" t="s">
        <v>473</v>
      </c>
      <c r="Z1148" t="s">
        <v>473</v>
      </c>
      <c r="AA1148" t="s">
        <v>473</v>
      </c>
      <c r="AB1148" t="s">
        <v>473</v>
      </c>
      <c r="AC1148" s="10">
        <v>3</v>
      </c>
      <c r="AD1148" s="10">
        <v>11</v>
      </c>
      <c r="AE1148" t="s">
        <v>474</v>
      </c>
    </row>
    <row r="1149" spans="1:31" x14ac:dyDescent="0.25">
      <c r="A1149">
        <v>5430</v>
      </c>
      <c r="B1149">
        <v>1956</v>
      </c>
      <c r="C1149" t="s">
        <v>466</v>
      </c>
      <c r="D1149" t="s">
        <v>31</v>
      </c>
      <c r="E1149" t="str">
        <f>IF(OR(Table1[[#This Row],[marital_status]]="Married", Table1[[#This Row],[marital_status]]="Together"), "Partnered", "Single")</f>
        <v>Partnered</v>
      </c>
      <c r="F1149" s="7">
        <v>54450</v>
      </c>
      <c r="G1149" s="8">
        <v>1</v>
      </c>
      <c r="H1149" s="8">
        <v>1</v>
      </c>
      <c r="I1149" s="8">
        <f>Table1[[#This Row],[kids]]+Table1[[#This Row],[teens]]</f>
        <v>2</v>
      </c>
      <c r="J1149" s="9">
        <v>41166</v>
      </c>
      <c r="K1149" s="8">
        <v>0</v>
      </c>
      <c r="L1149" s="6">
        <v>454</v>
      </c>
      <c r="M1149" s="5">
        <v>0</v>
      </c>
      <c r="N1149" s="5">
        <v>171</v>
      </c>
      <c r="O1149" s="5">
        <v>8</v>
      </c>
      <c r="P1149" s="5">
        <v>19</v>
      </c>
      <c r="Q1149" s="5">
        <v>32</v>
      </c>
      <c r="R1149" s="8">
        <v>12</v>
      </c>
      <c r="S1149" s="8">
        <v>9</v>
      </c>
      <c r="T1149" s="8">
        <v>2</v>
      </c>
      <c r="U1149" s="8">
        <v>8</v>
      </c>
      <c r="V1149" s="8">
        <v>8</v>
      </c>
      <c r="W1149" t="s">
        <v>473</v>
      </c>
      <c r="X1149" t="s">
        <v>473</v>
      </c>
      <c r="Y1149" t="s">
        <v>473</v>
      </c>
      <c r="Z1149" t="s">
        <v>473</v>
      </c>
      <c r="AA1149" t="s">
        <v>473</v>
      </c>
      <c r="AB1149" t="s">
        <v>473</v>
      </c>
      <c r="AC1149" s="10">
        <v>3</v>
      </c>
      <c r="AD1149" s="10">
        <v>11</v>
      </c>
      <c r="AE1149" t="s">
        <v>473</v>
      </c>
    </row>
    <row r="1150" spans="1:31" x14ac:dyDescent="0.25">
      <c r="A1150">
        <v>7755</v>
      </c>
      <c r="B1150">
        <v>1954</v>
      </c>
      <c r="C1150" t="s">
        <v>33</v>
      </c>
      <c r="D1150" t="s">
        <v>34</v>
      </c>
      <c r="E1150" t="str">
        <f>IF(OR(Table1[[#This Row],[marital_status]]="Married", Table1[[#This Row],[marital_status]]="Together"), "Partnered", "Single")</f>
        <v>Partnered</v>
      </c>
      <c r="F1150" s="7">
        <v>57744</v>
      </c>
      <c r="G1150" s="8">
        <v>0</v>
      </c>
      <c r="H1150" s="8">
        <v>1</v>
      </c>
      <c r="I1150" s="8">
        <f>Table1[[#This Row],[kids]]+Table1[[#This Row],[teens]]</f>
        <v>1</v>
      </c>
      <c r="J1150" s="9">
        <v>41590</v>
      </c>
      <c r="K1150" s="8">
        <v>91</v>
      </c>
      <c r="L1150" s="6">
        <v>350</v>
      </c>
      <c r="M1150" s="5">
        <v>3</v>
      </c>
      <c r="N1150" s="5">
        <v>39</v>
      </c>
      <c r="O1150" s="5">
        <v>0</v>
      </c>
      <c r="P1150" s="5">
        <v>0</v>
      </c>
      <c r="Q1150" s="5">
        <v>19</v>
      </c>
      <c r="R1150" s="8">
        <v>2</v>
      </c>
      <c r="S1150" s="8">
        <v>9</v>
      </c>
      <c r="T1150" s="8">
        <v>1</v>
      </c>
      <c r="U1150" s="8">
        <v>4</v>
      </c>
      <c r="V1150" s="8">
        <v>8</v>
      </c>
      <c r="W1150" t="s">
        <v>473</v>
      </c>
      <c r="X1150" t="s">
        <v>473</v>
      </c>
      <c r="Y1150" t="s">
        <v>473</v>
      </c>
      <c r="Z1150" t="s">
        <v>473</v>
      </c>
      <c r="AA1150" t="s">
        <v>473</v>
      </c>
      <c r="AB1150" t="s">
        <v>473</v>
      </c>
      <c r="AC1150" s="10">
        <v>3</v>
      </c>
      <c r="AD1150" s="10">
        <v>11</v>
      </c>
      <c r="AE1150" t="s">
        <v>473</v>
      </c>
    </row>
    <row r="1151" spans="1:31" x14ac:dyDescent="0.25">
      <c r="A1151">
        <v>10525</v>
      </c>
      <c r="B1151">
        <v>1986</v>
      </c>
      <c r="C1151" t="s">
        <v>466</v>
      </c>
      <c r="D1151" t="s">
        <v>30</v>
      </c>
      <c r="E1151" t="str">
        <f>IF(OR(Table1[[#This Row],[marital_status]]="Married", Table1[[#This Row],[marital_status]]="Together"), "Partnered", "Single")</f>
        <v>Single</v>
      </c>
      <c r="F1151" s="7">
        <v>26576</v>
      </c>
      <c r="G1151" s="8">
        <v>1</v>
      </c>
      <c r="H1151" s="8">
        <v>0</v>
      </c>
      <c r="I1151" s="8">
        <f>Table1[[#This Row],[kids]]+Table1[[#This Row],[teens]]</f>
        <v>1</v>
      </c>
      <c r="J1151" s="9">
        <v>41195</v>
      </c>
      <c r="K1151" s="8">
        <v>40</v>
      </c>
      <c r="L1151" s="6">
        <v>10</v>
      </c>
      <c r="M1151" s="5">
        <v>0</v>
      </c>
      <c r="N1151" s="5">
        <v>8</v>
      </c>
      <c r="O1151" s="5">
        <v>0</v>
      </c>
      <c r="P1151" s="5">
        <v>0</v>
      </c>
      <c r="Q1151" s="5">
        <v>9</v>
      </c>
      <c r="R1151" s="8">
        <v>1</v>
      </c>
      <c r="S1151" s="8">
        <v>1</v>
      </c>
      <c r="T1151" s="8">
        <v>0</v>
      </c>
      <c r="U1151" s="8">
        <v>2</v>
      </c>
      <c r="V1151" s="8">
        <v>9</v>
      </c>
      <c r="W1151" t="s">
        <v>474</v>
      </c>
      <c r="X1151" t="s">
        <v>473</v>
      </c>
      <c r="Y1151" t="s">
        <v>473</v>
      </c>
      <c r="Z1151" t="s">
        <v>473</v>
      </c>
      <c r="AA1151" t="s">
        <v>473</v>
      </c>
      <c r="AB1151" t="s">
        <v>473</v>
      </c>
      <c r="AC1151" s="10">
        <v>3</v>
      </c>
      <c r="AD1151" s="10">
        <v>11</v>
      </c>
      <c r="AE1151" t="s">
        <v>474</v>
      </c>
    </row>
    <row r="1152" spans="1:31" x14ac:dyDescent="0.25">
      <c r="A1152">
        <v>1453</v>
      </c>
      <c r="B1152">
        <v>1943</v>
      </c>
      <c r="C1152" t="s">
        <v>33</v>
      </c>
      <c r="D1152" t="s">
        <v>57</v>
      </c>
      <c r="E1152" t="str">
        <f>IF(OR(Table1[[#This Row],[marital_status]]="Married", Table1[[#This Row],[marital_status]]="Together"), "Partnered", "Single")</f>
        <v>Single</v>
      </c>
      <c r="F1152" s="7">
        <v>57513</v>
      </c>
      <c r="G1152" s="8">
        <v>0</v>
      </c>
      <c r="H1152" s="8">
        <v>0</v>
      </c>
      <c r="I1152" s="8">
        <f>Table1[[#This Row],[kids]]+Table1[[#This Row],[teens]]</f>
        <v>0</v>
      </c>
      <c r="J1152" s="9">
        <v>41461</v>
      </c>
      <c r="K1152" s="8">
        <v>59</v>
      </c>
      <c r="L1152" s="6">
        <v>735</v>
      </c>
      <c r="M1152" s="5">
        <v>40</v>
      </c>
      <c r="N1152" s="5">
        <v>183</v>
      </c>
      <c r="O1152" s="5">
        <v>52</v>
      </c>
      <c r="P1152" s="5">
        <v>20</v>
      </c>
      <c r="Q1152" s="5">
        <v>30</v>
      </c>
      <c r="R1152" s="8">
        <v>2</v>
      </c>
      <c r="S1152" s="8">
        <v>9</v>
      </c>
      <c r="T1152" s="8">
        <v>3</v>
      </c>
      <c r="U1152" s="8">
        <v>13</v>
      </c>
      <c r="V1152" s="8">
        <v>6</v>
      </c>
      <c r="W1152" t="s">
        <v>473</v>
      </c>
      <c r="X1152" t="s">
        <v>473</v>
      </c>
      <c r="Y1152" t="s">
        <v>473</v>
      </c>
      <c r="Z1152" t="s">
        <v>473</v>
      </c>
      <c r="AA1152" t="s">
        <v>473</v>
      </c>
      <c r="AB1152" t="s">
        <v>473</v>
      </c>
      <c r="AC1152" s="10">
        <v>3</v>
      </c>
      <c r="AD1152" s="10">
        <v>11</v>
      </c>
      <c r="AE1152" t="s">
        <v>473</v>
      </c>
    </row>
    <row r="1153" spans="1:31" x14ac:dyDescent="0.25">
      <c r="A1153">
        <v>8310</v>
      </c>
      <c r="B1153">
        <v>1964</v>
      </c>
      <c r="C1153" t="s">
        <v>466</v>
      </c>
      <c r="D1153" t="s">
        <v>31</v>
      </c>
      <c r="E1153" t="str">
        <f>IF(OR(Table1[[#This Row],[marital_status]]="Married", Table1[[#This Row],[marital_status]]="Together"), "Partnered", "Single")</f>
        <v>Partnered</v>
      </c>
      <c r="F1153" s="7">
        <v>68142</v>
      </c>
      <c r="G1153" s="8">
        <v>0</v>
      </c>
      <c r="H1153" s="8">
        <v>1</v>
      </c>
      <c r="I1153" s="8">
        <f>Table1[[#This Row],[kids]]+Table1[[#This Row],[teens]]</f>
        <v>1</v>
      </c>
      <c r="J1153" s="9">
        <v>41150</v>
      </c>
      <c r="K1153" s="8">
        <v>96</v>
      </c>
      <c r="L1153" s="6">
        <v>897</v>
      </c>
      <c r="M1153" s="5">
        <v>126</v>
      </c>
      <c r="N1153" s="5">
        <v>196</v>
      </c>
      <c r="O1153" s="5">
        <v>91</v>
      </c>
      <c r="P1153" s="5">
        <v>112</v>
      </c>
      <c r="Q1153" s="5">
        <v>37</v>
      </c>
      <c r="R1153" s="8">
        <v>3</v>
      </c>
      <c r="S1153" s="8">
        <v>10</v>
      </c>
      <c r="T1153" s="8">
        <v>4</v>
      </c>
      <c r="U1153" s="8">
        <v>7</v>
      </c>
      <c r="V1153" s="8">
        <v>6</v>
      </c>
      <c r="W1153" t="s">
        <v>473</v>
      </c>
      <c r="X1153" t="s">
        <v>473</v>
      </c>
      <c r="Y1153" t="s">
        <v>473</v>
      </c>
      <c r="Z1153" t="s">
        <v>473</v>
      </c>
      <c r="AA1153" t="s">
        <v>473</v>
      </c>
      <c r="AB1153" t="s">
        <v>473</v>
      </c>
      <c r="AC1153" s="10">
        <v>3</v>
      </c>
      <c r="AD1153" s="10">
        <v>11</v>
      </c>
      <c r="AE1153" t="s">
        <v>473</v>
      </c>
    </row>
    <row r="1154" spans="1:31" x14ac:dyDescent="0.25">
      <c r="A1154">
        <v>10710</v>
      </c>
      <c r="B1154">
        <v>1979</v>
      </c>
      <c r="C1154" t="s">
        <v>466</v>
      </c>
      <c r="D1154" t="s">
        <v>34</v>
      </c>
      <c r="E1154" t="str">
        <f>IF(OR(Table1[[#This Row],[marital_status]]="Married", Table1[[#This Row],[marital_status]]="Together"), "Partnered", "Single")</f>
        <v>Partnered</v>
      </c>
      <c r="F1154" s="7">
        <v>7500</v>
      </c>
      <c r="G1154" s="8">
        <v>0</v>
      </c>
      <c r="H1154" s="8">
        <v>1</v>
      </c>
      <c r="I1154" s="8">
        <f>Table1[[#This Row],[kids]]+Table1[[#This Row],[teens]]</f>
        <v>1</v>
      </c>
      <c r="J1154" s="9">
        <v>41150</v>
      </c>
      <c r="K1154" s="8">
        <v>61</v>
      </c>
      <c r="L1154" s="6">
        <v>5</v>
      </c>
      <c r="M1154" s="5">
        <v>2</v>
      </c>
      <c r="N1154" s="5">
        <v>3</v>
      </c>
      <c r="O1154" s="5">
        <v>3</v>
      </c>
      <c r="P1154" s="5">
        <v>0</v>
      </c>
      <c r="Q1154" s="5">
        <v>5</v>
      </c>
      <c r="R1154" s="8">
        <v>1</v>
      </c>
      <c r="S1154" s="8">
        <v>1</v>
      </c>
      <c r="T1154" s="8">
        <v>0</v>
      </c>
      <c r="U1154" s="8">
        <v>2</v>
      </c>
      <c r="V1154" s="8">
        <v>8</v>
      </c>
      <c r="W1154" t="s">
        <v>473</v>
      </c>
      <c r="X1154" t="s">
        <v>473</v>
      </c>
      <c r="Y1154" t="s">
        <v>473</v>
      </c>
      <c r="Z1154" t="s">
        <v>473</v>
      </c>
      <c r="AA1154" t="s">
        <v>473</v>
      </c>
      <c r="AB1154" t="s">
        <v>473</v>
      </c>
      <c r="AC1154" s="10">
        <v>3</v>
      </c>
      <c r="AD1154" s="10">
        <v>11</v>
      </c>
      <c r="AE1154" t="s">
        <v>473</v>
      </c>
    </row>
    <row r="1155" spans="1:31" x14ac:dyDescent="0.25">
      <c r="A1155">
        <v>5031</v>
      </c>
      <c r="B1155">
        <v>1974</v>
      </c>
      <c r="C1155" t="s">
        <v>466</v>
      </c>
      <c r="D1155" t="s">
        <v>31</v>
      </c>
      <c r="E1155" t="str">
        <f>IF(OR(Table1[[#This Row],[marital_status]]="Married", Table1[[#This Row],[marital_status]]="Together"), "Partnered", "Single")</f>
        <v>Partnered</v>
      </c>
      <c r="F1155" s="7">
        <v>83145</v>
      </c>
      <c r="G1155" s="8">
        <v>0</v>
      </c>
      <c r="H1155" s="8">
        <v>0</v>
      </c>
      <c r="I1155" s="8">
        <f>Table1[[#This Row],[kids]]+Table1[[#This Row],[teens]]</f>
        <v>0</v>
      </c>
      <c r="J1155" s="9">
        <v>41174</v>
      </c>
      <c r="K1155" s="8">
        <v>14</v>
      </c>
      <c r="L1155" s="6">
        <v>777</v>
      </c>
      <c r="M1155" s="5">
        <v>35</v>
      </c>
      <c r="N1155" s="5">
        <v>731</v>
      </c>
      <c r="O1155" s="5">
        <v>39</v>
      </c>
      <c r="P1155" s="5">
        <v>137</v>
      </c>
      <c r="Q1155" s="5">
        <v>114</v>
      </c>
      <c r="R1155" s="8">
        <v>1</v>
      </c>
      <c r="S1155" s="8">
        <v>5</v>
      </c>
      <c r="T1155" s="8">
        <v>9</v>
      </c>
      <c r="U1155" s="8">
        <v>11</v>
      </c>
      <c r="V1155" s="8">
        <v>2</v>
      </c>
      <c r="W1155" t="s">
        <v>473</v>
      </c>
      <c r="X1155" t="s">
        <v>473</v>
      </c>
      <c r="Y1155" t="s">
        <v>474</v>
      </c>
      <c r="Z1155" t="s">
        <v>473</v>
      </c>
      <c r="AA1155" t="s">
        <v>473</v>
      </c>
      <c r="AB1155" t="s">
        <v>473</v>
      </c>
      <c r="AC1155" s="10">
        <v>3</v>
      </c>
      <c r="AD1155" s="10">
        <v>11</v>
      </c>
      <c r="AE1155" t="s">
        <v>474</v>
      </c>
    </row>
    <row r="1156" spans="1:31" x14ac:dyDescent="0.25">
      <c r="A1156">
        <v>2613</v>
      </c>
      <c r="B1156">
        <v>1960</v>
      </c>
      <c r="C1156" t="s">
        <v>36</v>
      </c>
      <c r="D1156" t="s">
        <v>34</v>
      </c>
      <c r="E1156" t="str">
        <f>IF(OR(Table1[[#This Row],[marital_status]]="Married", Table1[[#This Row],[marital_status]]="Together"), "Partnered", "Single")</f>
        <v>Partnered</v>
      </c>
      <c r="F1156" s="7">
        <v>54197</v>
      </c>
      <c r="G1156" s="8">
        <v>0</v>
      </c>
      <c r="H1156" s="8">
        <v>1</v>
      </c>
      <c r="I1156" s="8">
        <f>Table1[[#This Row],[kids]]+Table1[[#This Row],[teens]]</f>
        <v>1</v>
      </c>
      <c r="J1156" s="9">
        <v>41732</v>
      </c>
      <c r="K1156" s="8">
        <v>16</v>
      </c>
      <c r="L1156" s="6">
        <v>162</v>
      </c>
      <c r="M1156" s="5">
        <v>6</v>
      </c>
      <c r="N1156" s="5">
        <v>37</v>
      </c>
      <c r="O1156" s="5">
        <v>6</v>
      </c>
      <c r="P1156" s="5">
        <v>13</v>
      </c>
      <c r="Q1156" s="5">
        <v>13</v>
      </c>
      <c r="R1156" s="8">
        <v>2</v>
      </c>
      <c r="S1156" s="8">
        <v>1</v>
      </c>
      <c r="T1156" s="8">
        <v>3</v>
      </c>
      <c r="U1156" s="8">
        <v>6</v>
      </c>
      <c r="V1156" s="8">
        <v>1</v>
      </c>
      <c r="W1156" t="s">
        <v>473</v>
      </c>
      <c r="X1156" t="s">
        <v>473</v>
      </c>
      <c r="Y1156" t="s">
        <v>473</v>
      </c>
      <c r="Z1156" t="s">
        <v>473</v>
      </c>
      <c r="AA1156" t="s">
        <v>473</v>
      </c>
      <c r="AB1156" t="s">
        <v>473</v>
      </c>
      <c r="AC1156" s="10">
        <v>3</v>
      </c>
      <c r="AD1156" s="10">
        <v>11</v>
      </c>
      <c r="AE1156" t="s">
        <v>473</v>
      </c>
    </row>
    <row r="1157" spans="1:31" x14ac:dyDescent="0.25">
      <c r="A1157">
        <v>213</v>
      </c>
      <c r="B1157">
        <v>1963</v>
      </c>
      <c r="C1157" t="s">
        <v>33</v>
      </c>
      <c r="D1157" t="s">
        <v>30</v>
      </c>
      <c r="E1157" t="str">
        <f>IF(OR(Table1[[#This Row],[marital_status]]="Married", Table1[[#This Row],[marital_status]]="Together"), "Partnered", "Single")</f>
        <v>Single</v>
      </c>
      <c r="F1157" s="7">
        <v>23091</v>
      </c>
      <c r="G1157" s="8">
        <v>1</v>
      </c>
      <c r="H1157" s="8">
        <v>1</v>
      </c>
      <c r="I1157" s="8">
        <f>Table1[[#This Row],[kids]]+Table1[[#This Row],[teens]]</f>
        <v>2</v>
      </c>
      <c r="J1157" s="9">
        <v>41787</v>
      </c>
      <c r="K1157" s="8">
        <v>98</v>
      </c>
      <c r="L1157" s="6">
        <v>35</v>
      </c>
      <c r="M1157" s="5">
        <v>0</v>
      </c>
      <c r="N1157" s="5">
        <v>11</v>
      </c>
      <c r="O1157" s="5">
        <v>0</v>
      </c>
      <c r="P1157" s="5">
        <v>0</v>
      </c>
      <c r="Q1157" s="5">
        <v>2</v>
      </c>
      <c r="R1157" s="8">
        <v>4</v>
      </c>
      <c r="S1157" s="8">
        <v>2</v>
      </c>
      <c r="T1157" s="8">
        <v>1</v>
      </c>
      <c r="U1157" s="8">
        <v>3</v>
      </c>
      <c r="V1157" s="8">
        <v>7</v>
      </c>
      <c r="W1157" t="s">
        <v>473</v>
      </c>
      <c r="X1157" t="s">
        <v>473</v>
      </c>
      <c r="Y1157" t="s">
        <v>473</v>
      </c>
      <c r="Z1157" t="s">
        <v>473</v>
      </c>
      <c r="AA1157" t="s">
        <v>473</v>
      </c>
      <c r="AB1157" t="s">
        <v>473</v>
      </c>
      <c r="AC1157" s="10">
        <v>3</v>
      </c>
      <c r="AD1157" s="10">
        <v>11</v>
      </c>
      <c r="AE1157" t="s">
        <v>473</v>
      </c>
    </row>
    <row r="1158" spans="1:31" x14ac:dyDescent="0.25">
      <c r="A1158">
        <v>967</v>
      </c>
      <c r="B1158">
        <v>1976</v>
      </c>
      <c r="C1158" t="s">
        <v>466</v>
      </c>
      <c r="D1158" t="s">
        <v>34</v>
      </c>
      <c r="E1158" t="str">
        <f>IF(OR(Table1[[#This Row],[marital_status]]="Married", Table1[[#This Row],[marital_status]]="Together"), "Partnered", "Single")</f>
        <v>Partnered</v>
      </c>
      <c r="F1158" s="7">
        <v>46049</v>
      </c>
      <c r="G1158" s="8">
        <v>1</v>
      </c>
      <c r="H1158" s="8">
        <v>1</v>
      </c>
      <c r="I1158" s="8">
        <f>Table1[[#This Row],[kids]]+Table1[[#This Row],[teens]]</f>
        <v>2</v>
      </c>
      <c r="J1158" s="9">
        <v>41476</v>
      </c>
      <c r="K1158" s="8">
        <v>11</v>
      </c>
      <c r="L1158" s="6">
        <v>342</v>
      </c>
      <c r="M1158" s="5">
        <v>9</v>
      </c>
      <c r="N1158" s="5">
        <v>112</v>
      </c>
      <c r="O1158" s="5">
        <v>19</v>
      </c>
      <c r="P1158" s="5">
        <v>14</v>
      </c>
      <c r="Q1158" s="5">
        <v>19</v>
      </c>
      <c r="R1158" s="8">
        <v>10</v>
      </c>
      <c r="S1158" s="8">
        <v>5</v>
      </c>
      <c r="T1158" s="8">
        <v>2</v>
      </c>
      <c r="U1158" s="8">
        <v>9</v>
      </c>
      <c r="V1158" s="8">
        <v>7</v>
      </c>
      <c r="W1158" t="s">
        <v>473</v>
      </c>
      <c r="X1158" t="s">
        <v>473</v>
      </c>
      <c r="Y1158" t="s">
        <v>473</v>
      </c>
      <c r="Z1158" t="s">
        <v>473</v>
      </c>
      <c r="AA1158" t="s">
        <v>473</v>
      </c>
      <c r="AB1158" t="s">
        <v>473</v>
      </c>
      <c r="AC1158" s="10">
        <v>3</v>
      </c>
      <c r="AD1158" s="10">
        <v>11</v>
      </c>
      <c r="AE1158" t="s">
        <v>474</v>
      </c>
    </row>
    <row r="1159" spans="1:31" x14ac:dyDescent="0.25">
      <c r="A1159">
        <v>1077</v>
      </c>
      <c r="B1159">
        <v>1974</v>
      </c>
      <c r="C1159" t="s">
        <v>466</v>
      </c>
      <c r="D1159" t="s">
        <v>31</v>
      </c>
      <c r="E1159" t="str">
        <f>IF(OR(Table1[[#This Row],[marital_status]]="Married", Table1[[#This Row],[marital_status]]="Together"), "Partnered", "Single")</f>
        <v>Partnered</v>
      </c>
      <c r="F1159" s="7">
        <v>56715</v>
      </c>
      <c r="G1159" s="8">
        <v>0</v>
      </c>
      <c r="H1159" s="8">
        <v>0</v>
      </c>
      <c r="I1159" s="8">
        <f>Table1[[#This Row],[kids]]+Table1[[#This Row],[teens]]</f>
        <v>0</v>
      </c>
      <c r="J1159" s="9">
        <v>41248</v>
      </c>
      <c r="K1159" s="8">
        <v>52</v>
      </c>
      <c r="L1159" s="6">
        <v>258</v>
      </c>
      <c r="M1159" s="5">
        <v>105</v>
      </c>
      <c r="N1159" s="5">
        <v>239</v>
      </c>
      <c r="O1159" s="5">
        <v>237</v>
      </c>
      <c r="P1159" s="5">
        <v>172</v>
      </c>
      <c r="Q1159" s="5">
        <v>9</v>
      </c>
      <c r="R1159" s="8">
        <v>1</v>
      </c>
      <c r="S1159" s="8">
        <v>7</v>
      </c>
      <c r="T1159" s="8">
        <v>3</v>
      </c>
      <c r="U1159" s="8">
        <v>4</v>
      </c>
      <c r="V1159" s="8">
        <v>4</v>
      </c>
      <c r="W1159" t="s">
        <v>473</v>
      </c>
      <c r="X1159" t="s">
        <v>473</v>
      </c>
      <c r="Y1159" t="s">
        <v>473</v>
      </c>
      <c r="Z1159" t="s">
        <v>473</v>
      </c>
      <c r="AA1159" t="s">
        <v>473</v>
      </c>
      <c r="AB1159" t="s">
        <v>473</v>
      </c>
      <c r="AC1159" s="10">
        <v>3</v>
      </c>
      <c r="AD1159" s="10">
        <v>11</v>
      </c>
      <c r="AE1159" t="s">
        <v>473</v>
      </c>
    </row>
    <row r="1160" spans="1:31" x14ac:dyDescent="0.25">
      <c r="A1160">
        <v>7959</v>
      </c>
      <c r="B1160">
        <v>1961</v>
      </c>
      <c r="C1160" t="s">
        <v>466</v>
      </c>
      <c r="D1160" t="s">
        <v>34</v>
      </c>
      <c r="E1160" t="str">
        <f>IF(OR(Table1[[#This Row],[marital_status]]="Married", Table1[[#This Row],[marital_status]]="Together"), "Partnered", "Single")</f>
        <v>Partnered</v>
      </c>
      <c r="F1160" s="7">
        <v>79410</v>
      </c>
      <c r="G1160" s="8">
        <v>0</v>
      </c>
      <c r="H1160" s="8">
        <v>0</v>
      </c>
      <c r="I1160" s="8">
        <f>Table1[[#This Row],[kids]]+Table1[[#This Row],[teens]]</f>
        <v>0</v>
      </c>
      <c r="J1160" s="9">
        <v>41788</v>
      </c>
      <c r="K1160" s="8">
        <v>19</v>
      </c>
      <c r="L1160" s="6">
        <v>658</v>
      </c>
      <c r="M1160" s="5">
        <v>80</v>
      </c>
      <c r="N1160" s="5">
        <v>483</v>
      </c>
      <c r="O1160" s="5">
        <v>123</v>
      </c>
      <c r="P1160" s="5">
        <v>13</v>
      </c>
      <c r="Q1160" s="5">
        <v>13</v>
      </c>
      <c r="R1160" s="8">
        <v>1</v>
      </c>
      <c r="S1160" s="8">
        <v>3</v>
      </c>
      <c r="T1160" s="8">
        <v>2</v>
      </c>
      <c r="U1160" s="8">
        <v>5</v>
      </c>
      <c r="V1160" s="8">
        <v>1</v>
      </c>
      <c r="W1160" t="s">
        <v>473</v>
      </c>
      <c r="X1160" t="s">
        <v>473</v>
      </c>
      <c r="Y1160" t="s">
        <v>473</v>
      </c>
      <c r="Z1160" t="s">
        <v>473</v>
      </c>
      <c r="AA1160" t="s">
        <v>473</v>
      </c>
      <c r="AB1160" t="s">
        <v>473</v>
      </c>
      <c r="AC1160" s="10">
        <v>3</v>
      </c>
      <c r="AD1160" s="10">
        <v>11</v>
      </c>
      <c r="AE1160" t="s">
        <v>473</v>
      </c>
    </row>
    <row r="1161" spans="1:31" x14ac:dyDescent="0.25">
      <c r="A1161">
        <v>640</v>
      </c>
      <c r="B1161">
        <v>1951</v>
      </c>
      <c r="C1161" t="s">
        <v>466</v>
      </c>
      <c r="D1161" t="s">
        <v>34</v>
      </c>
      <c r="E1161" t="str">
        <f>IF(OR(Table1[[#This Row],[marital_status]]="Married", Table1[[#This Row],[marital_status]]="Together"), "Partnered", "Single")</f>
        <v>Partnered</v>
      </c>
      <c r="F1161" s="7">
        <v>57304</v>
      </c>
      <c r="G1161" s="8">
        <v>0</v>
      </c>
      <c r="H1161" s="8">
        <v>1</v>
      </c>
      <c r="I1161" s="8">
        <f>Table1[[#This Row],[kids]]+Table1[[#This Row],[teens]]</f>
        <v>1</v>
      </c>
      <c r="J1161" s="9">
        <v>41344</v>
      </c>
      <c r="K1161" s="8">
        <v>61</v>
      </c>
      <c r="L1161" s="6">
        <v>356</v>
      </c>
      <c r="M1161" s="5">
        <v>80</v>
      </c>
      <c r="N1161" s="5">
        <v>329</v>
      </c>
      <c r="O1161" s="5">
        <v>138</v>
      </c>
      <c r="P1161" s="5">
        <v>17</v>
      </c>
      <c r="Q1161" s="5">
        <v>106</v>
      </c>
      <c r="R1161" s="8">
        <v>2</v>
      </c>
      <c r="S1161" s="8">
        <v>7</v>
      </c>
      <c r="T1161" s="8">
        <v>6</v>
      </c>
      <c r="U1161" s="8">
        <v>10</v>
      </c>
      <c r="V1161" s="8">
        <v>5</v>
      </c>
      <c r="W1161" t="s">
        <v>473</v>
      </c>
      <c r="X1161" t="s">
        <v>473</v>
      </c>
      <c r="Y1161" t="s">
        <v>473</v>
      </c>
      <c r="Z1161" t="s">
        <v>473</v>
      </c>
      <c r="AA1161" t="s">
        <v>473</v>
      </c>
      <c r="AB1161" t="s">
        <v>473</v>
      </c>
      <c r="AC1161" s="10">
        <v>3</v>
      </c>
      <c r="AD1161" s="10">
        <v>11</v>
      </c>
      <c r="AE1161" t="s">
        <v>473</v>
      </c>
    </row>
    <row r="1162" spans="1:31" x14ac:dyDescent="0.25">
      <c r="A1162">
        <v>4252</v>
      </c>
      <c r="B1162">
        <v>1965</v>
      </c>
      <c r="C1162" t="s">
        <v>466</v>
      </c>
      <c r="D1162" t="s">
        <v>34</v>
      </c>
      <c r="E1162" t="str">
        <f>IF(OR(Table1[[#This Row],[marital_status]]="Married", Table1[[#This Row],[marital_status]]="Together"), "Partnered", "Single")</f>
        <v>Partnered</v>
      </c>
      <c r="F1162" s="7">
        <v>44375</v>
      </c>
      <c r="G1162" s="8">
        <v>0</v>
      </c>
      <c r="H1162" s="8">
        <v>1</v>
      </c>
      <c r="I1162" s="8">
        <f>Table1[[#This Row],[kids]]+Table1[[#This Row],[teens]]</f>
        <v>1</v>
      </c>
      <c r="J1162" s="9">
        <v>41721</v>
      </c>
      <c r="K1162" s="8">
        <v>73</v>
      </c>
      <c r="L1162" s="6">
        <v>213</v>
      </c>
      <c r="M1162" s="5">
        <v>5</v>
      </c>
      <c r="N1162" s="5">
        <v>28</v>
      </c>
      <c r="O1162" s="5">
        <v>7</v>
      </c>
      <c r="P1162" s="5">
        <v>7</v>
      </c>
      <c r="Q1162" s="5">
        <v>41</v>
      </c>
      <c r="R1162" s="8">
        <v>1</v>
      </c>
      <c r="S1162" s="8">
        <v>4</v>
      </c>
      <c r="T1162" s="8">
        <v>1</v>
      </c>
      <c r="U1162" s="8">
        <v>6</v>
      </c>
      <c r="V1162" s="8">
        <v>5</v>
      </c>
      <c r="W1162" t="s">
        <v>473</v>
      </c>
      <c r="X1162" t="s">
        <v>473</v>
      </c>
      <c r="Y1162" t="s">
        <v>473</v>
      </c>
      <c r="Z1162" t="s">
        <v>473</v>
      </c>
      <c r="AA1162" t="s">
        <v>473</v>
      </c>
      <c r="AB1162" t="s">
        <v>473</v>
      </c>
      <c r="AC1162" s="10">
        <v>3</v>
      </c>
      <c r="AD1162" s="10">
        <v>11</v>
      </c>
      <c r="AE1162" t="s">
        <v>473</v>
      </c>
    </row>
    <row r="1163" spans="1:31" x14ac:dyDescent="0.25">
      <c r="A1163">
        <v>8432</v>
      </c>
      <c r="B1163">
        <v>1956</v>
      </c>
      <c r="C1163" t="s">
        <v>466</v>
      </c>
      <c r="D1163" t="s">
        <v>31</v>
      </c>
      <c r="E1163" t="str">
        <f>IF(OR(Table1[[#This Row],[marital_status]]="Married", Table1[[#This Row],[marital_status]]="Together"), "Partnered", "Single")</f>
        <v>Partnered</v>
      </c>
      <c r="F1163" s="7">
        <v>54450</v>
      </c>
      <c r="G1163" s="8">
        <v>1</v>
      </c>
      <c r="H1163" s="8">
        <v>1</v>
      </c>
      <c r="I1163" s="8">
        <f>Table1[[#This Row],[kids]]+Table1[[#This Row],[teens]]</f>
        <v>2</v>
      </c>
      <c r="J1163" s="9">
        <v>41166</v>
      </c>
      <c r="K1163" s="8">
        <v>0</v>
      </c>
      <c r="L1163" s="6">
        <v>454</v>
      </c>
      <c r="M1163" s="5">
        <v>0</v>
      </c>
      <c r="N1163" s="5">
        <v>171</v>
      </c>
      <c r="O1163" s="5">
        <v>8</v>
      </c>
      <c r="P1163" s="5">
        <v>19</v>
      </c>
      <c r="Q1163" s="5">
        <v>32</v>
      </c>
      <c r="R1163" s="8">
        <v>12</v>
      </c>
      <c r="S1163" s="8">
        <v>9</v>
      </c>
      <c r="T1163" s="8">
        <v>2</v>
      </c>
      <c r="U1163" s="8">
        <v>8</v>
      </c>
      <c r="V1163" s="8">
        <v>8</v>
      </c>
      <c r="W1163" t="s">
        <v>473</v>
      </c>
      <c r="X1163" t="s">
        <v>473</v>
      </c>
      <c r="Y1163" t="s">
        <v>473</v>
      </c>
      <c r="Z1163" t="s">
        <v>473</v>
      </c>
      <c r="AA1163" t="s">
        <v>473</v>
      </c>
      <c r="AB1163" t="s">
        <v>473</v>
      </c>
      <c r="AC1163" s="10">
        <v>3</v>
      </c>
      <c r="AD1163" s="10">
        <v>11</v>
      </c>
      <c r="AE1163" t="s">
        <v>473</v>
      </c>
    </row>
    <row r="1164" spans="1:31" x14ac:dyDescent="0.25">
      <c r="A1164">
        <v>6218</v>
      </c>
      <c r="B1164">
        <v>1965</v>
      </c>
      <c r="C1164" t="s">
        <v>466</v>
      </c>
      <c r="D1164" t="s">
        <v>34</v>
      </c>
      <c r="E1164" t="str">
        <f>IF(OR(Table1[[#This Row],[marital_status]]="Married", Table1[[#This Row],[marital_status]]="Together"), "Partnered", "Single")</f>
        <v>Partnered</v>
      </c>
      <c r="F1164" s="7">
        <v>59594</v>
      </c>
      <c r="G1164" s="8">
        <v>0</v>
      </c>
      <c r="H1164" s="8">
        <v>1</v>
      </c>
      <c r="I1164" s="8">
        <f>Table1[[#This Row],[kids]]+Table1[[#This Row],[teens]]</f>
        <v>1</v>
      </c>
      <c r="J1164" s="9">
        <v>41202</v>
      </c>
      <c r="K1164" s="8">
        <v>74</v>
      </c>
      <c r="L1164" s="6">
        <v>457</v>
      </c>
      <c r="M1164" s="5">
        <v>4</v>
      </c>
      <c r="N1164" s="5">
        <v>29</v>
      </c>
      <c r="O1164" s="5">
        <v>0</v>
      </c>
      <c r="P1164" s="5">
        <v>0</v>
      </c>
      <c r="Q1164" s="5">
        <v>9</v>
      </c>
      <c r="R1164" s="8">
        <v>1</v>
      </c>
      <c r="S1164" s="8">
        <v>8</v>
      </c>
      <c r="T1164" s="8">
        <v>1</v>
      </c>
      <c r="U1164" s="8">
        <v>7</v>
      </c>
      <c r="V1164" s="8">
        <v>7</v>
      </c>
      <c r="W1164" t="s">
        <v>473</v>
      </c>
      <c r="X1164" t="s">
        <v>474</v>
      </c>
      <c r="Y1164" t="s">
        <v>473</v>
      </c>
      <c r="Z1164" t="s">
        <v>473</v>
      </c>
      <c r="AA1164" t="s">
        <v>473</v>
      </c>
      <c r="AB1164" t="s">
        <v>473</v>
      </c>
      <c r="AC1164" s="10">
        <v>3</v>
      </c>
      <c r="AD1164" s="10">
        <v>11</v>
      </c>
      <c r="AE1164" t="s">
        <v>473</v>
      </c>
    </row>
    <row r="1165" spans="1:31" x14ac:dyDescent="0.25">
      <c r="A1165">
        <v>6905</v>
      </c>
      <c r="B1165">
        <v>1994</v>
      </c>
      <c r="C1165" t="s">
        <v>466</v>
      </c>
      <c r="D1165" t="s">
        <v>31</v>
      </c>
      <c r="E1165" t="str">
        <f>IF(OR(Table1[[#This Row],[marital_status]]="Married", Table1[[#This Row],[marital_status]]="Together"), "Partnered", "Single")</f>
        <v>Partnered</v>
      </c>
      <c r="F1165" s="7">
        <v>80685</v>
      </c>
      <c r="G1165" s="8">
        <v>0</v>
      </c>
      <c r="H1165" s="8">
        <v>0</v>
      </c>
      <c r="I1165" s="8">
        <f>Table1[[#This Row],[kids]]+Table1[[#This Row],[teens]]</f>
        <v>0</v>
      </c>
      <c r="J1165" s="9">
        <v>41143</v>
      </c>
      <c r="K1165" s="8">
        <v>55</v>
      </c>
      <c r="L1165" s="6">
        <v>241</v>
      </c>
      <c r="M1165" s="5">
        <v>45</v>
      </c>
      <c r="N1165" s="5">
        <v>604</v>
      </c>
      <c r="O1165" s="5">
        <v>34</v>
      </c>
      <c r="P1165" s="5">
        <v>26</v>
      </c>
      <c r="Q1165" s="5">
        <v>54</v>
      </c>
      <c r="R1165" s="8">
        <v>1</v>
      </c>
      <c r="S1165" s="8">
        <v>6</v>
      </c>
      <c r="T1165" s="8">
        <v>4</v>
      </c>
      <c r="U1165" s="8">
        <v>10</v>
      </c>
      <c r="V1165" s="8">
        <v>2</v>
      </c>
      <c r="W1165" t="s">
        <v>473</v>
      </c>
      <c r="X1165" t="s">
        <v>473</v>
      </c>
      <c r="Y1165" t="s">
        <v>473</v>
      </c>
      <c r="Z1165" t="s">
        <v>473</v>
      </c>
      <c r="AA1165" t="s">
        <v>473</v>
      </c>
      <c r="AB1165" t="s">
        <v>473</v>
      </c>
      <c r="AC1165" s="10">
        <v>3</v>
      </c>
      <c r="AD1165" s="10">
        <v>11</v>
      </c>
      <c r="AE1165" t="s">
        <v>473</v>
      </c>
    </row>
    <row r="1166" spans="1:31" x14ac:dyDescent="0.25">
      <c r="A1166">
        <v>5922</v>
      </c>
      <c r="B1166">
        <v>1974</v>
      </c>
      <c r="C1166" t="s">
        <v>33</v>
      </c>
      <c r="D1166" t="s">
        <v>34</v>
      </c>
      <c r="E1166" t="str">
        <f>IF(OR(Table1[[#This Row],[marital_status]]="Married", Table1[[#This Row],[marital_status]]="Together"), "Partnered", "Single")</f>
        <v>Partnered</v>
      </c>
      <c r="F1166" s="7">
        <v>40344</v>
      </c>
      <c r="G1166" s="8">
        <v>0</v>
      </c>
      <c r="H1166" s="8">
        <v>1</v>
      </c>
      <c r="I1166" s="8">
        <f>Table1[[#This Row],[kids]]+Table1[[#This Row],[teens]]</f>
        <v>1</v>
      </c>
      <c r="J1166" s="9">
        <v>41560</v>
      </c>
      <c r="K1166" s="8">
        <v>48</v>
      </c>
      <c r="L1166" s="6">
        <v>210</v>
      </c>
      <c r="M1166" s="5">
        <v>0</v>
      </c>
      <c r="N1166" s="5">
        <v>6</v>
      </c>
      <c r="O1166" s="5">
        <v>0</v>
      </c>
      <c r="P1166" s="5">
        <v>0</v>
      </c>
      <c r="Q1166" s="5">
        <v>2</v>
      </c>
      <c r="R1166" s="8">
        <v>2</v>
      </c>
      <c r="S1166" s="8">
        <v>4</v>
      </c>
      <c r="T1166" s="8">
        <v>1</v>
      </c>
      <c r="U1166" s="8">
        <v>5</v>
      </c>
      <c r="V1166" s="8">
        <v>7</v>
      </c>
      <c r="W1166" t="s">
        <v>473</v>
      </c>
      <c r="X1166" t="s">
        <v>473</v>
      </c>
      <c r="Y1166" t="s">
        <v>473</v>
      </c>
      <c r="Z1166" t="s">
        <v>473</v>
      </c>
      <c r="AA1166" t="s">
        <v>473</v>
      </c>
      <c r="AB1166" t="s">
        <v>473</v>
      </c>
      <c r="AC1166" s="10">
        <v>3</v>
      </c>
      <c r="AD1166" s="10">
        <v>11</v>
      </c>
      <c r="AE1166" t="s">
        <v>473</v>
      </c>
    </row>
    <row r="1167" spans="1:31" x14ac:dyDescent="0.25">
      <c r="A1167">
        <v>3598</v>
      </c>
      <c r="B1167">
        <v>1972</v>
      </c>
      <c r="C1167" t="s">
        <v>466</v>
      </c>
      <c r="D1167" t="s">
        <v>34</v>
      </c>
      <c r="E1167" t="str">
        <f>IF(OR(Table1[[#This Row],[marital_status]]="Married", Table1[[#This Row],[marital_status]]="Together"), "Partnered", "Single")</f>
        <v>Partnered</v>
      </c>
      <c r="F1167" s="7">
        <v>62710</v>
      </c>
      <c r="G1167" s="8">
        <v>0</v>
      </c>
      <c r="H1167" s="8">
        <v>1</v>
      </c>
      <c r="I1167" s="8">
        <f>Table1[[#This Row],[kids]]+Table1[[#This Row],[teens]]</f>
        <v>1</v>
      </c>
      <c r="J1167" s="9">
        <v>41417</v>
      </c>
      <c r="K1167" s="8">
        <v>53</v>
      </c>
      <c r="L1167" s="6">
        <v>441</v>
      </c>
      <c r="M1167" s="5">
        <v>35</v>
      </c>
      <c r="N1167" s="5">
        <v>83</v>
      </c>
      <c r="O1167" s="5">
        <v>7</v>
      </c>
      <c r="P1167" s="5">
        <v>29</v>
      </c>
      <c r="Q1167" s="5">
        <v>11</v>
      </c>
      <c r="R1167" s="8">
        <v>4</v>
      </c>
      <c r="S1167" s="8">
        <v>4</v>
      </c>
      <c r="T1167" s="8">
        <v>2</v>
      </c>
      <c r="U1167" s="8">
        <v>12</v>
      </c>
      <c r="V1167" s="8">
        <v>4</v>
      </c>
      <c r="W1167" t="s">
        <v>473</v>
      </c>
      <c r="X1167" t="s">
        <v>473</v>
      </c>
      <c r="Y1167" t="s">
        <v>473</v>
      </c>
      <c r="Z1167" t="s">
        <v>473</v>
      </c>
      <c r="AA1167" t="s">
        <v>473</v>
      </c>
      <c r="AB1167" t="s">
        <v>473</v>
      </c>
      <c r="AC1167" s="10">
        <v>3</v>
      </c>
      <c r="AD1167" s="10">
        <v>11</v>
      </c>
      <c r="AE1167" t="s">
        <v>473</v>
      </c>
    </row>
    <row r="1168" spans="1:31" x14ac:dyDescent="0.25">
      <c r="A1168">
        <v>6116</v>
      </c>
      <c r="B1168">
        <v>1968</v>
      </c>
      <c r="C1168" t="s">
        <v>46</v>
      </c>
      <c r="D1168" t="s">
        <v>34</v>
      </c>
      <c r="E1168" t="str">
        <f>IF(OR(Table1[[#This Row],[marital_status]]="Married", Table1[[#This Row],[marital_status]]="Together"), "Partnered", "Single")</f>
        <v>Partnered</v>
      </c>
      <c r="F1168" s="7">
        <v>48985</v>
      </c>
      <c r="G1168" s="8">
        <v>0</v>
      </c>
      <c r="H1168" s="8">
        <v>1</v>
      </c>
      <c r="I1168" s="8">
        <f>Table1[[#This Row],[kids]]+Table1[[#This Row],[teens]]</f>
        <v>1</v>
      </c>
      <c r="J1168" s="9">
        <v>41460</v>
      </c>
      <c r="K1168" s="8">
        <v>13</v>
      </c>
      <c r="L1168" s="6">
        <v>19</v>
      </c>
      <c r="M1168" s="5">
        <v>13</v>
      </c>
      <c r="N1168" s="5">
        <v>18</v>
      </c>
      <c r="O1168" s="5">
        <v>10</v>
      </c>
      <c r="P1168" s="5">
        <v>7</v>
      </c>
      <c r="Q1168" s="5">
        <v>8</v>
      </c>
      <c r="R1168" s="8">
        <v>1</v>
      </c>
      <c r="S1168" s="8">
        <v>1</v>
      </c>
      <c r="T1168" s="8">
        <v>1</v>
      </c>
      <c r="U1168" s="8">
        <v>3</v>
      </c>
      <c r="V1168" s="8">
        <v>3</v>
      </c>
      <c r="W1168" t="s">
        <v>473</v>
      </c>
      <c r="X1168" t="s">
        <v>473</v>
      </c>
      <c r="Y1168" t="s">
        <v>473</v>
      </c>
      <c r="Z1168" t="s">
        <v>473</v>
      </c>
      <c r="AA1168" t="s">
        <v>473</v>
      </c>
      <c r="AB1168" t="s">
        <v>473</v>
      </c>
      <c r="AC1168" s="10">
        <v>3</v>
      </c>
      <c r="AD1168" s="10">
        <v>11</v>
      </c>
      <c r="AE1168" t="s">
        <v>473</v>
      </c>
    </row>
    <row r="1169" spans="1:31" x14ac:dyDescent="0.25">
      <c r="A1169">
        <v>6263</v>
      </c>
      <c r="B1169">
        <v>1968</v>
      </c>
      <c r="C1169" t="s">
        <v>466</v>
      </c>
      <c r="D1169" t="s">
        <v>31</v>
      </c>
      <c r="E1169" t="str">
        <f>IF(OR(Table1[[#This Row],[marital_status]]="Married", Table1[[#This Row],[marital_status]]="Together"), "Partnered", "Single")</f>
        <v>Partnered</v>
      </c>
      <c r="F1169" s="7">
        <v>35322</v>
      </c>
      <c r="G1169" s="8">
        <v>1</v>
      </c>
      <c r="H1169" s="8">
        <v>2</v>
      </c>
      <c r="I1169" s="8">
        <f>Table1[[#This Row],[kids]]+Table1[[#This Row],[teens]]</f>
        <v>3</v>
      </c>
      <c r="J1169" s="9">
        <v>41143</v>
      </c>
      <c r="K1169" s="8">
        <v>34</v>
      </c>
      <c r="L1169" s="6">
        <v>28</v>
      </c>
      <c r="M1169" s="5">
        <v>9</v>
      </c>
      <c r="N1169" s="5">
        <v>37</v>
      </c>
      <c r="O1169" s="5">
        <v>12</v>
      </c>
      <c r="P1169" s="5">
        <v>7</v>
      </c>
      <c r="Q1169" s="5">
        <v>13</v>
      </c>
      <c r="R1169" s="8">
        <v>3</v>
      </c>
      <c r="S1169" s="8">
        <v>2</v>
      </c>
      <c r="T1169" s="8">
        <v>0</v>
      </c>
      <c r="U1169" s="8">
        <v>4</v>
      </c>
      <c r="V1169" s="8">
        <v>8</v>
      </c>
      <c r="W1169" t="s">
        <v>473</v>
      </c>
      <c r="X1169" t="s">
        <v>473</v>
      </c>
      <c r="Y1169" t="s">
        <v>473</v>
      </c>
      <c r="Z1169" t="s">
        <v>473</v>
      </c>
      <c r="AA1169" t="s">
        <v>473</v>
      </c>
      <c r="AB1169" t="s">
        <v>473</v>
      </c>
      <c r="AC1169" s="10">
        <v>3</v>
      </c>
      <c r="AD1169" s="10">
        <v>11</v>
      </c>
      <c r="AE1169" t="s">
        <v>473</v>
      </c>
    </row>
    <row r="1170" spans="1:31" x14ac:dyDescent="0.25">
      <c r="A1170">
        <v>10486</v>
      </c>
      <c r="B1170">
        <v>1948</v>
      </c>
      <c r="C1170" t="s">
        <v>466</v>
      </c>
      <c r="D1170" t="s">
        <v>34</v>
      </c>
      <c r="E1170" t="str">
        <f>IF(OR(Table1[[#This Row],[marital_status]]="Married", Table1[[#This Row],[marital_status]]="Together"), "Partnered", "Single")</f>
        <v>Partnered</v>
      </c>
      <c r="F1170" s="7">
        <v>77142</v>
      </c>
      <c r="G1170" s="8">
        <v>0</v>
      </c>
      <c r="H1170" s="8">
        <v>0</v>
      </c>
      <c r="I1170" s="8">
        <f>Table1[[#This Row],[kids]]+Table1[[#This Row],[teens]]</f>
        <v>0</v>
      </c>
      <c r="J1170" s="9">
        <v>41423</v>
      </c>
      <c r="K1170" s="8">
        <v>54</v>
      </c>
      <c r="L1170" s="6">
        <v>476</v>
      </c>
      <c r="M1170" s="5">
        <v>75</v>
      </c>
      <c r="N1170" s="5">
        <v>162</v>
      </c>
      <c r="O1170" s="5">
        <v>29</v>
      </c>
      <c r="P1170" s="5">
        <v>151</v>
      </c>
      <c r="Q1170" s="5">
        <v>97</v>
      </c>
      <c r="R1170" s="8">
        <v>1</v>
      </c>
      <c r="S1170" s="8">
        <v>4</v>
      </c>
      <c r="T1170" s="8">
        <v>4</v>
      </c>
      <c r="U1170" s="8">
        <v>8</v>
      </c>
      <c r="V1170" s="8">
        <v>2</v>
      </c>
      <c r="W1170" t="s">
        <v>473</v>
      </c>
      <c r="X1170" t="s">
        <v>473</v>
      </c>
      <c r="Y1170" t="s">
        <v>473</v>
      </c>
      <c r="Z1170" t="s">
        <v>473</v>
      </c>
      <c r="AA1170" t="s">
        <v>473</v>
      </c>
      <c r="AB1170" t="s">
        <v>473</v>
      </c>
      <c r="AC1170" s="10">
        <v>3</v>
      </c>
      <c r="AD1170" s="10">
        <v>11</v>
      </c>
      <c r="AE1170" t="s">
        <v>473</v>
      </c>
    </row>
    <row r="1171" spans="1:31" x14ac:dyDescent="0.25">
      <c r="A1171">
        <v>2410</v>
      </c>
      <c r="B1171">
        <v>1969</v>
      </c>
      <c r="C1171" t="s">
        <v>466</v>
      </c>
      <c r="D1171" t="s">
        <v>30</v>
      </c>
      <c r="E1171" t="str">
        <f>IF(OR(Table1[[#This Row],[marital_status]]="Married", Table1[[#This Row],[marital_status]]="Together"), "Partnered", "Single")</f>
        <v>Single</v>
      </c>
      <c r="F1171" s="7">
        <v>81657</v>
      </c>
      <c r="G1171" s="8">
        <v>0</v>
      </c>
      <c r="H1171" s="8">
        <v>0</v>
      </c>
      <c r="I1171" s="8">
        <f>Table1[[#This Row],[kids]]+Table1[[#This Row],[teens]]</f>
        <v>0</v>
      </c>
      <c r="J1171" s="9">
        <v>41661</v>
      </c>
      <c r="K1171" s="8">
        <v>69</v>
      </c>
      <c r="L1171" s="6">
        <v>364</v>
      </c>
      <c r="M1171" s="5">
        <v>40</v>
      </c>
      <c r="N1171" s="5">
        <v>425</v>
      </c>
      <c r="O1171" s="5">
        <v>158</v>
      </c>
      <c r="P1171" s="5">
        <v>60</v>
      </c>
      <c r="Q1171" s="5">
        <v>50</v>
      </c>
      <c r="R1171" s="8">
        <v>1</v>
      </c>
      <c r="S1171" s="8">
        <v>3</v>
      </c>
      <c r="T1171" s="8">
        <v>4</v>
      </c>
      <c r="U1171" s="8">
        <v>8</v>
      </c>
      <c r="V1171" s="8">
        <v>1</v>
      </c>
      <c r="W1171" t="s">
        <v>473</v>
      </c>
      <c r="X1171" t="s">
        <v>473</v>
      </c>
      <c r="Y1171" t="s">
        <v>473</v>
      </c>
      <c r="Z1171" t="s">
        <v>473</v>
      </c>
      <c r="AA1171" t="s">
        <v>473</v>
      </c>
      <c r="AB1171" t="s">
        <v>473</v>
      </c>
      <c r="AC1171" s="10">
        <v>3</v>
      </c>
      <c r="AD1171" s="10">
        <v>11</v>
      </c>
      <c r="AE1171" t="s">
        <v>473</v>
      </c>
    </row>
    <row r="1172" spans="1:31" x14ac:dyDescent="0.25">
      <c r="A1172">
        <v>193</v>
      </c>
      <c r="B1172">
        <v>1996</v>
      </c>
      <c r="C1172" t="s">
        <v>41</v>
      </c>
      <c r="D1172" t="s">
        <v>34</v>
      </c>
      <c r="E1172" t="str">
        <f>IF(OR(Table1[[#This Row],[marital_status]]="Married", Table1[[#This Row],[marital_status]]="Together"), "Partnered", "Single")</f>
        <v>Partnered</v>
      </c>
      <c r="F1172" s="7">
        <v>14421</v>
      </c>
      <c r="G1172" s="8">
        <v>0</v>
      </c>
      <c r="H1172" s="8">
        <v>0</v>
      </c>
      <c r="I1172" s="8">
        <f>Table1[[#This Row],[kids]]+Table1[[#This Row],[teens]]</f>
        <v>0</v>
      </c>
      <c r="J1172" s="9">
        <v>41687</v>
      </c>
      <c r="K1172" s="8">
        <v>81</v>
      </c>
      <c r="L1172" s="6">
        <v>0</v>
      </c>
      <c r="M1172" s="5">
        <v>0</v>
      </c>
      <c r="N1172" s="5">
        <v>2</v>
      </c>
      <c r="O1172" s="5">
        <v>3</v>
      </c>
      <c r="P1172" s="5">
        <v>3</v>
      </c>
      <c r="Q1172" s="5">
        <v>8</v>
      </c>
      <c r="R1172" s="8">
        <v>1</v>
      </c>
      <c r="S1172" s="8">
        <v>1</v>
      </c>
      <c r="T1172" s="8">
        <v>0</v>
      </c>
      <c r="U1172" s="8">
        <v>2</v>
      </c>
      <c r="V1172" s="8">
        <v>5</v>
      </c>
      <c r="W1172" t="s">
        <v>474</v>
      </c>
      <c r="X1172" t="s">
        <v>473</v>
      </c>
      <c r="Y1172" t="s">
        <v>473</v>
      </c>
      <c r="Z1172" t="s">
        <v>473</v>
      </c>
      <c r="AA1172" t="s">
        <v>473</v>
      </c>
      <c r="AB1172" t="s">
        <v>473</v>
      </c>
      <c r="AC1172" s="10">
        <v>3</v>
      </c>
      <c r="AD1172" s="10">
        <v>11</v>
      </c>
      <c r="AE1172" t="s">
        <v>473</v>
      </c>
    </row>
    <row r="1173" spans="1:31" x14ac:dyDescent="0.25">
      <c r="A1173">
        <v>3363</v>
      </c>
      <c r="B1173">
        <v>1974</v>
      </c>
      <c r="C1173" t="s">
        <v>46</v>
      </c>
      <c r="D1173" t="s">
        <v>34</v>
      </c>
      <c r="E1173" t="str">
        <f>IF(OR(Table1[[#This Row],[marital_status]]="Married", Table1[[#This Row],[marital_status]]="Together"), "Partnered", "Single")</f>
        <v>Partnered</v>
      </c>
      <c r="F1173" s="7">
        <v>20130</v>
      </c>
      <c r="G1173" s="8">
        <v>0</v>
      </c>
      <c r="H1173" s="8">
        <v>0</v>
      </c>
      <c r="I1173" s="8">
        <f>Table1[[#This Row],[kids]]+Table1[[#This Row],[teens]]</f>
        <v>0</v>
      </c>
      <c r="J1173" s="9">
        <v>41715</v>
      </c>
      <c r="K1173" s="8">
        <v>99</v>
      </c>
      <c r="L1173" s="6">
        <v>0</v>
      </c>
      <c r="M1173" s="5">
        <v>6</v>
      </c>
      <c r="N1173" s="5">
        <v>3</v>
      </c>
      <c r="O1173" s="5">
        <v>7</v>
      </c>
      <c r="P1173" s="5">
        <v>6</v>
      </c>
      <c r="Q1173" s="5">
        <v>12</v>
      </c>
      <c r="R1173" s="8">
        <v>1</v>
      </c>
      <c r="S1173" s="8">
        <v>1</v>
      </c>
      <c r="T1173" s="8">
        <v>0</v>
      </c>
      <c r="U1173" s="8">
        <v>3</v>
      </c>
      <c r="V1173" s="8">
        <v>8</v>
      </c>
      <c r="W1173" t="s">
        <v>473</v>
      </c>
      <c r="X1173" t="s">
        <v>473</v>
      </c>
      <c r="Y1173" t="s">
        <v>473</v>
      </c>
      <c r="Z1173" t="s">
        <v>473</v>
      </c>
      <c r="AA1173" t="s">
        <v>473</v>
      </c>
      <c r="AB1173" t="s">
        <v>473</v>
      </c>
      <c r="AC1173" s="10">
        <v>3</v>
      </c>
      <c r="AD1173" s="10">
        <v>11</v>
      </c>
      <c r="AE1173" t="s">
        <v>473</v>
      </c>
    </row>
    <row r="1174" spans="1:31" x14ac:dyDescent="0.25">
      <c r="A1174">
        <v>8278</v>
      </c>
      <c r="B1174">
        <v>1990</v>
      </c>
      <c r="C1174" t="s">
        <v>33</v>
      </c>
      <c r="D1174" t="s">
        <v>34</v>
      </c>
      <c r="E1174" t="str">
        <f>IF(OR(Table1[[#This Row],[marital_status]]="Married", Table1[[#This Row],[marital_status]]="Together"), "Partnered", "Single")</f>
        <v>Partnered</v>
      </c>
      <c r="F1174" s="7">
        <v>74214</v>
      </c>
      <c r="G1174" s="8">
        <v>0</v>
      </c>
      <c r="H1174" s="8">
        <v>0</v>
      </c>
      <c r="I1174" s="8">
        <f>Table1[[#This Row],[kids]]+Table1[[#This Row],[teens]]</f>
        <v>0</v>
      </c>
      <c r="J1174" s="9">
        <v>41147</v>
      </c>
      <c r="K1174" s="8">
        <v>3</v>
      </c>
      <c r="L1174" s="6">
        <v>863</v>
      </c>
      <c r="M1174" s="5">
        <v>83</v>
      </c>
      <c r="N1174" s="5">
        <v>547</v>
      </c>
      <c r="O1174" s="5">
        <v>86</v>
      </c>
      <c r="P1174" s="5">
        <v>99</v>
      </c>
      <c r="Q1174" s="5">
        <v>33</v>
      </c>
      <c r="R1174" s="8">
        <v>1</v>
      </c>
      <c r="S1174" s="8">
        <v>8</v>
      </c>
      <c r="T1174" s="8">
        <v>2</v>
      </c>
      <c r="U1174" s="8">
        <v>5</v>
      </c>
      <c r="V1174" s="8">
        <v>5</v>
      </c>
      <c r="W1174" t="s">
        <v>473</v>
      </c>
      <c r="X1174" t="s">
        <v>473</v>
      </c>
      <c r="Y1174" t="s">
        <v>473</v>
      </c>
      <c r="Z1174" t="s">
        <v>473</v>
      </c>
      <c r="AA1174" t="s">
        <v>473</v>
      </c>
      <c r="AB1174" t="s">
        <v>473</v>
      </c>
      <c r="AC1174" s="10">
        <v>3</v>
      </c>
      <c r="AD1174" s="10">
        <v>11</v>
      </c>
      <c r="AE1174" t="s">
        <v>473</v>
      </c>
    </row>
    <row r="1175" spans="1:31" x14ac:dyDescent="0.25">
      <c r="A1175">
        <v>10660</v>
      </c>
      <c r="B1175">
        <v>1957</v>
      </c>
      <c r="C1175" t="s">
        <v>36</v>
      </c>
      <c r="D1175" t="s">
        <v>34</v>
      </c>
      <c r="E1175" t="str">
        <f>IF(OR(Table1[[#This Row],[marital_status]]="Married", Table1[[#This Row],[marital_status]]="Together"), "Partnered", "Single")</f>
        <v>Partnered</v>
      </c>
      <c r="F1175" s="7">
        <v>66726</v>
      </c>
      <c r="G1175" s="8">
        <v>1</v>
      </c>
      <c r="H1175" s="8">
        <v>1</v>
      </c>
      <c r="I1175" s="8">
        <f>Table1[[#This Row],[kids]]+Table1[[#This Row],[teens]]</f>
        <v>2</v>
      </c>
      <c r="J1175" s="9">
        <v>41651</v>
      </c>
      <c r="K1175" s="8">
        <v>61</v>
      </c>
      <c r="L1175" s="6">
        <v>349</v>
      </c>
      <c r="M1175" s="5">
        <v>7</v>
      </c>
      <c r="N1175" s="5">
        <v>35</v>
      </c>
      <c r="O1175" s="5">
        <v>0</v>
      </c>
      <c r="P1175" s="5">
        <v>0</v>
      </c>
      <c r="Q1175" s="5">
        <v>47</v>
      </c>
      <c r="R1175" s="8">
        <v>3</v>
      </c>
      <c r="S1175" s="8">
        <v>8</v>
      </c>
      <c r="T1175" s="8">
        <v>2</v>
      </c>
      <c r="U1175" s="8">
        <v>4</v>
      </c>
      <c r="V1175" s="8">
        <v>7</v>
      </c>
      <c r="W1175" t="s">
        <v>473</v>
      </c>
      <c r="X1175" t="s">
        <v>474</v>
      </c>
      <c r="Y1175" t="s">
        <v>473</v>
      </c>
      <c r="Z1175" t="s">
        <v>473</v>
      </c>
      <c r="AA1175" t="s">
        <v>473</v>
      </c>
      <c r="AB1175" t="s">
        <v>473</v>
      </c>
      <c r="AC1175" s="10">
        <v>3</v>
      </c>
      <c r="AD1175" s="10">
        <v>11</v>
      </c>
      <c r="AE1175" t="s">
        <v>473</v>
      </c>
    </row>
    <row r="1176" spans="1:31" x14ac:dyDescent="0.25">
      <c r="A1176">
        <v>8686</v>
      </c>
      <c r="B1176">
        <v>1979</v>
      </c>
      <c r="C1176" t="s">
        <v>41</v>
      </c>
      <c r="D1176" t="s">
        <v>31</v>
      </c>
      <c r="E1176" t="str">
        <f>IF(OR(Table1[[#This Row],[marital_status]]="Married", Table1[[#This Row],[marital_status]]="Together"), "Partnered", "Single")</f>
        <v>Partnered</v>
      </c>
      <c r="F1176" s="7">
        <v>23724</v>
      </c>
      <c r="G1176" s="8">
        <v>1</v>
      </c>
      <c r="H1176" s="8">
        <v>0</v>
      </c>
      <c r="I1176" s="8">
        <f>Table1[[#This Row],[kids]]+Table1[[#This Row],[teens]]</f>
        <v>1</v>
      </c>
      <c r="J1176" s="9">
        <v>41282</v>
      </c>
      <c r="K1176" s="8">
        <v>65</v>
      </c>
      <c r="L1176" s="6">
        <v>5</v>
      </c>
      <c r="M1176" s="5">
        <v>23</v>
      </c>
      <c r="N1176" s="5">
        <v>15</v>
      </c>
      <c r="O1176" s="5">
        <v>0</v>
      </c>
      <c r="P1176" s="5">
        <v>18</v>
      </c>
      <c r="Q1176" s="5">
        <v>14</v>
      </c>
      <c r="R1176" s="8">
        <v>2</v>
      </c>
      <c r="S1176" s="8">
        <v>2</v>
      </c>
      <c r="T1176" s="8">
        <v>0</v>
      </c>
      <c r="U1176" s="8">
        <v>3</v>
      </c>
      <c r="V1176" s="8">
        <v>8</v>
      </c>
      <c r="W1176" t="s">
        <v>473</v>
      </c>
      <c r="X1176" t="s">
        <v>473</v>
      </c>
      <c r="Y1176" t="s">
        <v>473</v>
      </c>
      <c r="Z1176" t="s">
        <v>473</v>
      </c>
      <c r="AA1176" t="s">
        <v>473</v>
      </c>
      <c r="AB1176" t="s">
        <v>473</v>
      </c>
      <c r="AC1176" s="10">
        <v>3</v>
      </c>
      <c r="AD1176" s="10">
        <v>11</v>
      </c>
      <c r="AE1176" t="s">
        <v>473</v>
      </c>
    </row>
    <row r="1177" spans="1:31" x14ac:dyDescent="0.25">
      <c r="A1177">
        <v>1604</v>
      </c>
      <c r="B1177">
        <v>1960</v>
      </c>
      <c r="C1177" t="s">
        <v>36</v>
      </c>
      <c r="D1177" t="s">
        <v>34</v>
      </c>
      <c r="E1177" t="str">
        <f>IF(OR(Table1[[#This Row],[marital_status]]="Married", Table1[[#This Row],[marital_status]]="Together"), "Partnered", "Single")</f>
        <v>Partnered</v>
      </c>
      <c r="F1177" s="7">
        <v>47353</v>
      </c>
      <c r="G1177" s="8">
        <v>0</v>
      </c>
      <c r="H1177" s="8">
        <v>1</v>
      </c>
      <c r="I1177" s="8">
        <f>Table1[[#This Row],[kids]]+Table1[[#This Row],[teens]]</f>
        <v>1</v>
      </c>
      <c r="J1177" s="9">
        <v>41591</v>
      </c>
      <c r="K1177" s="8">
        <v>93</v>
      </c>
      <c r="L1177" s="6">
        <v>184</v>
      </c>
      <c r="M1177" s="5">
        <v>2</v>
      </c>
      <c r="N1177" s="5">
        <v>19</v>
      </c>
      <c r="O1177" s="5">
        <v>8</v>
      </c>
      <c r="P1177" s="5">
        <v>8</v>
      </c>
      <c r="Q1177" s="5">
        <v>4</v>
      </c>
      <c r="R1177" s="8">
        <v>3</v>
      </c>
      <c r="S1177" s="8">
        <v>2</v>
      </c>
      <c r="T1177" s="8">
        <v>2</v>
      </c>
      <c r="U1177" s="8">
        <v>6</v>
      </c>
      <c r="V1177" s="8">
        <v>5</v>
      </c>
      <c r="W1177" t="s">
        <v>473</v>
      </c>
      <c r="X1177" t="s">
        <v>473</v>
      </c>
      <c r="Y1177" t="s">
        <v>473</v>
      </c>
      <c r="Z1177" t="s">
        <v>473</v>
      </c>
      <c r="AA1177" t="s">
        <v>473</v>
      </c>
      <c r="AB1177" t="s">
        <v>473</v>
      </c>
      <c r="AC1177" s="10">
        <v>3</v>
      </c>
      <c r="AD1177" s="10">
        <v>11</v>
      </c>
      <c r="AE1177" t="s">
        <v>473</v>
      </c>
    </row>
    <row r="1178" spans="1:31" x14ac:dyDescent="0.25">
      <c r="A1178">
        <v>5907</v>
      </c>
      <c r="B1178">
        <v>1952</v>
      </c>
      <c r="C1178" t="s">
        <v>36</v>
      </c>
      <c r="D1178" t="s">
        <v>34</v>
      </c>
      <c r="E1178" t="str">
        <f>IF(OR(Table1[[#This Row],[marital_status]]="Married", Table1[[#This Row],[marital_status]]="Together"), "Partnered", "Single")</f>
        <v>Partnered</v>
      </c>
      <c r="F1178" s="7">
        <v>33444</v>
      </c>
      <c r="G1178" s="8">
        <v>1</v>
      </c>
      <c r="H1178" s="8">
        <v>1</v>
      </c>
      <c r="I1178" s="8">
        <f>Table1[[#This Row],[kids]]+Table1[[#This Row],[teens]]</f>
        <v>2</v>
      </c>
      <c r="J1178" s="9">
        <v>41216</v>
      </c>
      <c r="K1178" s="8">
        <v>24</v>
      </c>
      <c r="L1178" s="6">
        <v>8</v>
      </c>
      <c r="M1178" s="5">
        <v>0</v>
      </c>
      <c r="N1178" s="5">
        <v>8</v>
      </c>
      <c r="O1178" s="5">
        <v>0</v>
      </c>
      <c r="P1178" s="5">
        <v>0</v>
      </c>
      <c r="Q1178" s="5">
        <v>2</v>
      </c>
      <c r="R1178" s="8">
        <v>1</v>
      </c>
      <c r="S1178" s="8">
        <v>1</v>
      </c>
      <c r="T1178" s="8">
        <v>0</v>
      </c>
      <c r="U1178" s="8">
        <v>2</v>
      </c>
      <c r="V1178" s="8">
        <v>8</v>
      </c>
      <c r="W1178" t="s">
        <v>473</v>
      </c>
      <c r="X1178" t="s">
        <v>473</v>
      </c>
      <c r="Y1178" t="s">
        <v>473</v>
      </c>
      <c r="Z1178" t="s">
        <v>473</v>
      </c>
      <c r="AA1178" t="s">
        <v>473</v>
      </c>
      <c r="AB1178" t="s">
        <v>473</v>
      </c>
      <c r="AC1178" s="10">
        <v>3</v>
      </c>
      <c r="AD1178" s="10">
        <v>11</v>
      </c>
      <c r="AE1178" t="s">
        <v>473</v>
      </c>
    </row>
    <row r="1179" spans="1:31" x14ac:dyDescent="0.25">
      <c r="A1179">
        <v>10669</v>
      </c>
      <c r="B1179">
        <v>1981</v>
      </c>
      <c r="C1179" t="s">
        <v>466</v>
      </c>
      <c r="D1179" t="s">
        <v>34</v>
      </c>
      <c r="E1179" t="str">
        <f>IF(OR(Table1[[#This Row],[marital_status]]="Married", Table1[[#This Row],[marital_status]]="Together"), "Partnered", "Single")</f>
        <v>Partnered</v>
      </c>
      <c r="F1179" s="7">
        <v>54386</v>
      </c>
      <c r="G1179" s="8">
        <v>0</v>
      </c>
      <c r="H1179" s="8">
        <v>1</v>
      </c>
      <c r="I1179" s="8">
        <f>Table1[[#This Row],[kids]]+Table1[[#This Row],[teens]]</f>
        <v>1</v>
      </c>
      <c r="J1179" s="9">
        <v>41411</v>
      </c>
      <c r="K1179" s="8">
        <v>8</v>
      </c>
      <c r="L1179" s="6">
        <v>277</v>
      </c>
      <c r="M1179" s="5">
        <v>21</v>
      </c>
      <c r="N1179" s="5">
        <v>64</v>
      </c>
      <c r="O1179" s="5">
        <v>62</v>
      </c>
      <c r="P1179" s="5">
        <v>21</v>
      </c>
      <c r="Q1179" s="5">
        <v>25</v>
      </c>
      <c r="R1179" s="8">
        <v>2</v>
      </c>
      <c r="S1179" s="8">
        <v>3</v>
      </c>
      <c r="T1179" s="8">
        <v>2</v>
      </c>
      <c r="U1179" s="8">
        <v>10</v>
      </c>
      <c r="V1179" s="8">
        <v>3</v>
      </c>
      <c r="W1179" t="s">
        <v>473</v>
      </c>
      <c r="X1179" t="s">
        <v>473</v>
      </c>
      <c r="Y1179" t="s">
        <v>473</v>
      </c>
      <c r="Z1179" t="s">
        <v>473</v>
      </c>
      <c r="AA1179" t="s">
        <v>473</v>
      </c>
      <c r="AB1179" t="s">
        <v>473</v>
      </c>
      <c r="AC1179" s="10">
        <v>3</v>
      </c>
      <c r="AD1179" s="10">
        <v>11</v>
      </c>
      <c r="AE1179" t="s">
        <v>473</v>
      </c>
    </row>
    <row r="1180" spans="1:31" x14ac:dyDescent="0.25">
      <c r="A1180">
        <v>2918</v>
      </c>
      <c r="B1180">
        <v>1981</v>
      </c>
      <c r="C1180" t="s">
        <v>466</v>
      </c>
      <c r="D1180" t="s">
        <v>37</v>
      </c>
      <c r="E1180" t="str">
        <f>IF(OR(Table1[[#This Row],[marital_status]]="Married", Table1[[#This Row],[marital_status]]="Together"), "Partnered", "Single")</f>
        <v>Single</v>
      </c>
      <c r="F1180" s="7">
        <v>28510</v>
      </c>
      <c r="G1180" s="8">
        <v>1</v>
      </c>
      <c r="H1180" s="8">
        <v>1</v>
      </c>
      <c r="I1180" s="8">
        <f>Table1[[#This Row],[kids]]+Table1[[#This Row],[teens]]</f>
        <v>2</v>
      </c>
      <c r="J1180" s="9">
        <v>41377</v>
      </c>
      <c r="K1180" s="8">
        <v>72</v>
      </c>
      <c r="L1180" s="6">
        <v>44</v>
      </c>
      <c r="M1180" s="5">
        <v>5</v>
      </c>
      <c r="N1180" s="5">
        <v>19</v>
      </c>
      <c r="O1180" s="5">
        <v>0</v>
      </c>
      <c r="P1180" s="5">
        <v>4</v>
      </c>
      <c r="Q1180" s="5">
        <v>19</v>
      </c>
      <c r="R1180" s="8">
        <v>3</v>
      </c>
      <c r="S1180" s="8">
        <v>2</v>
      </c>
      <c r="T1180" s="8">
        <v>0</v>
      </c>
      <c r="U1180" s="8">
        <v>4</v>
      </c>
      <c r="V1180" s="8">
        <v>5</v>
      </c>
      <c r="W1180" t="s">
        <v>473</v>
      </c>
      <c r="X1180" t="s">
        <v>473</v>
      </c>
      <c r="Y1180" t="s">
        <v>473</v>
      </c>
      <c r="Z1180" t="s">
        <v>473</v>
      </c>
      <c r="AA1180" t="s">
        <v>473</v>
      </c>
      <c r="AB1180" t="s">
        <v>473</v>
      </c>
      <c r="AC1180" s="10">
        <v>3</v>
      </c>
      <c r="AD1180" s="10">
        <v>11</v>
      </c>
      <c r="AE1180" t="s">
        <v>473</v>
      </c>
    </row>
    <row r="1181" spans="1:31" x14ac:dyDescent="0.25">
      <c r="A1181">
        <v>5735</v>
      </c>
      <c r="B1181">
        <v>1991</v>
      </c>
      <c r="C1181" t="s">
        <v>36</v>
      </c>
      <c r="D1181" t="s">
        <v>30</v>
      </c>
      <c r="E1181" t="str">
        <f>IF(OR(Table1[[#This Row],[marital_status]]="Married", Table1[[#This Row],[marital_status]]="Together"), "Partnered", "Single")</f>
        <v>Single</v>
      </c>
      <c r="F1181" s="7">
        <v>90638</v>
      </c>
      <c r="G1181" s="8">
        <v>0</v>
      </c>
      <c r="H1181" s="8">
        <v>0</v>
      </c>
      <c r="I1181" s="8">
        <f>Table1[[#This Row],[kids]]+Table1[[#This Row],[teens]]</f>
        <v>0</v>
      </c>
      <c r="J1181" s="9">
        <v>41683</v>
      </c>
      <c r="K1181" s="8">
        <v>29</v>
      </c>
      <c r="L1181" s="6">
        <v>1156</v>
      </c>
      <c r="M1181" s="5">
        <v>120</v>
      </c>
      <c r="N1181" s="5">
        <v>915</v>
      </c>
      <c r="O1181" s="5">
        <v>94</v>
      </c>
      <c r="P1181" s="5">
        <v>144</v>
      </c>
      <c r="Q1181" s="5">
        <v>96</v>
      </c>
      <c r="R1181" s="8">
        <v>1</v>
      </c>
      <c r="S1181" s="8">
        <v>3</v>
      </c>
      <c r="T1181" s="8">
        <v>4</v>
      </c>
      <c r="U1181" s="8">
        <v>10</v>
      </c>
      <c r="V1181" s="8">
        <v>1</v>
      </c>
      <c r="W1181" t="s">
        <v>473</v>
      </c>
      <c r="X1181" t="s">
        <v>473</v>
      </c>
      <c r="Y1181" t="s">
        <v>474</v>
      </c>
      <c r="Z1181" t="s">
        <v>473</v>
      </c>
      <c r="AA1181" t="s">
        <v>473</v>
      </c>
      <c r="AB1181" t="s">
        <v>473</v>
      </c>
      <c r="AC1181" s="10">
        <v>3</v>
      </c>
      <c r="AD1181" s="10">
        <v>11</v>
      </c>
      <c r="AE1181" t="s">
        <v>473</v>
      </c>
    </row>
    <row r="1182" spans="1:31" x14ac:dyDescent="0.25">
      <c r="A1182">
        <v>359</v>
      </c>
      <c r="B1182">
        <v>1950</v>
      </c>
      <c r="C1182" t="s">
        <v>466</v>
      </c>
      <c r="D1182" t="s">
        <v>31</v>
      </c>
      <c r="E1182" t="str">
        <f>IF(OR(Table1[[#This Row],[marital_status]]="Married", Table1[[#This Row],[marital_status]]="Together"), "Partnered", "Single")</f>
        <v>Partnered</v>
      </c>
      <c r="F1182" s="7">
        <v>48070</v>
      </c>
      <c r="G1182" s="8">
        <v>0</v>
      </c>
      <c r="H1182" s="8">
        <v>1</v>
      </c>
      <c r="I1182" s="8">
        <f>Table1[[#This Row],[kids]]+Table1[[#This Row],[teens]]</f>
        <v>1</v>
      </c>
      <c r="J1182" s="9">
        <v>41287</v>
      </c>
      <c r="K1182" s="8">
        <v>33</v>
      </c>
      <c r="L1182" s="6">
        <v>373</v>
      </c>
      <c r="M1182" s="5">
        <v>14</v>
      </c>
      <c r="N1182" s="5">
        <v>83</v>
      </c>
      <c r="O1182" s="5">
        <v>6</v>
      </c>
      <c r="P1182" s="5">
        <v>9</v>
      </c>
      <c r="Q1182" s="5">
        <v>19</v>
      </c>
      <c r="R1182" s="8">
        <v>3</v>
      </c>
      <c r="S1182" s="8">
        <v>8</v>
      </c>
      <c r="T1182" s="8">
        <v>2</v>
      </c>
      <c r="U1182" s="8">
        <v>6</v>
      </c>
      <c r="V1182" s="8">
        <v>7</v>
      </c>
      <c r="W1182" t="s">
        <v>473</v>
      </c>
      <c r="X1182" t="s">
        <v>473</v>
      </c>
      <c r="Y1182" t="s">
        <v>473</v>
      </c>
      <c r="Z1182" t="s">
        <v>473</v>
      </c>
      <c r="AA1182" t="s">
        <v>473</v>
      </c>
      <c r="AB1182" t="s">
        <v>474</v>
      </c>
      <c r="AC1182" s="10">
        <v>3</v>
      </c>
      <c r="AD1182" s="10">
        <v>11</v>
      </c>
      <c r="AE1182" t="s">
        <v>473</v>
      </c>
    </row>
    <row r="1183" spans="1:31" x14ac:dyDescent="0.25">
      <c r="A1183">
        <v>8387</v>
      </c>
      <c r="B1183">
        <v>1957</v>
      </c>
      <c r="C1183" t="s">
        <v>466</v>
      </c>
      <c r="D1183" t="s">
        <v>34</v>
      </c>
      <c r="E1183" t="str">
        <f>IF(OR(Table1[[#This Row],[marital_status]]="Married", Table1[[#This Row],[marital_status]]="Together"), "Partnered", "Single")</f>
        <v>Partnered</v>
      </c>
      <c r="F1183" s="7">
        <v>43140</v>
      </c>
      <c r="G1183" s="8">
        <v>0</v>
      </c>
      <c r="H1183" s="8">
        <v>1</v>
      </c>
      <c r="I1183" s="8">
        <f>Table1[[#This Row],[kids]]+Table1[[#This Row],[teens]]</f>
        <v>1</v>
      </c>
      <c r="J1183" s="9">
        <v>41279</v>
      </c>
      <c r="K1183" s="8">
        <v>68</v>
      </c>
      <c r="L1183" s="6">
        <v>134</v>
      </c>
      <c r="M1183" s="5">
        <v>8</v>
      </c>
      <c r="N1183" s="5">
        <v>76</v>
      </c>
      <c r="O1183" s="5">
        <v>6</v>
      </c>
      <c r="P1183" s="5">
        <v>0</v>
      </c>
      <c r="Q1183" s="5">
        <v>11</v>
      </c>
      <c r="R1183" s="8">
        <v>1</v>
      </c>
      <c r="S1183" s="8">
        <v>4</v>
      </c>
      <c r="T1183" s="8">
        <v>1</v>
      </c>
      <c r="U1183" s="8">
        <v>5</v>
      </c>
      <c r="V1183" s="8">
        <v>6</v>
      </c>
      <c r="W1183" t="s">
        <v>473</v>
      </c>
      <c r="X1183" t="s">
        <v>473</v>
      </c>
      <c r="Y1183" t="s">
        <v>473</v>
      </c>
      <c r="Z1183" t="s">
        <v>473</v>
      </c>
      <c r="AA1183" t="s">
        <v>473</v>
      </c>
      <c r="AB1183" t="s">
        <v>473</v>
      </c>
      <c r="AC1183" s="10">
        <v>3</v>
      </c>
      <c r="AD1183" s="10">
        <v>11</v>
      </c>
      <c r="AE1183" t="s">
        <v>473</v>
      </c>
    </row>
    <row r="1184" spans="1:31" x14ac:dyDescent="0.25">
      <c r="A1184">
        <v>1829</v>
      </c>
      <c r="B1184">
        <v>1961</v>
      </c>
      <c r="C1184" t="s">
        <v>33</v>
      </c>
      <c r="D1184" t="s">
        <v>37</v>
      </c>
      <c r="E1184" t="str">
        <f>IF(OR(Table1[[#This Row],[marital_status]]="Married", Table1[[#This Row],[marital_status]]="Together"), "Partnered", "Single")</f>
        <v>Single</v>
      </c>
      <c r="F1184" s="7">
        <v>54959</v>
      </c>
      <c r="G1184" s="8">
        <v>0</v>
      </c>
      <c r="H1184" s="8">
        <v>1</v>
      </c>
      <c r="I1184" s="8">
        <f>Table1[[#This Row],[kids]]+Table1[[#This Row],[teens]]</f>
        <v>1</v>
      </c>
      <c r="J1184" s="9">
        <v>41293</v>
      </c>
      <c r="K1184" s="8">
        <v>55</v>
      </c>
      <c r="L1184" s="6">
        <v>1148</v>
      </c>
      <c r="M1184" s="5">
        <v>0</v>
      </c>
      <c r="N1184" s="5">
        <v>60</v>
      </c>
      <c r="O1184" s="5">
        <v>0</v>
      </c>
      <c r="P1184" s="5">
        <v>0</v>
      </c>
      <c r="Q1184" s="5">
        <v>24</v>
      </c>
      <c r="R1184" s="8">
        <v>3</v>
      </c>
      <c r="S1184" s="8">
        <v>9</v>
      </c>
      <c r="T1184" s="8">
        <v>5</v>
      </c>
      <c r="U1184" s="8">
        <v>4</v>
      </c>
      <c r="V1184" s="8">
        <v>7</v>
      </c>
      <c r="W1184" t="s">
        <v>473</v>
      </c>
      <c r="X1184" t="s">
        <v>474</v>
      </c>
      <c r="Y1184" t="s">
        <v>473</v>
      </c>
      <c r="Z1184" t="s">
        <v>473</v>
      </c>
      <c r="AA1184" t="s">
        <v>473</v>
      </c>
      <c r="AB1184" t="s">
        <v>473</v>
      </c>
      <c r="AC1184" s="10">
        <v>3</v>
      </c>
      <c r="AD1184" s="10">
        <v>11</v>
      </c>
      <c r="AE1184" t="s">
        <v>474</v>
      </c>
    </row>
    <row r="1185" spans="1:31" x14ac:dyDescent="0.25">
      <c r="A1185">
        <v>3839</v>
      </c>
      <c r="B1185">
        <v>1958</v>
      </c>
      <c r="C1185" t="s">
        <v>41</v>
      </c>
      <c r="D1185" t="s">
        <v>30</v>
      </c>
      <c r="E1185" t="str">
        <f>IF(OR(Table1[[#This Row],[marital_status]]="Married", Table1[[#This Row],[marital_status]]="Together"), "Partnered", "Single")</f>
        <v>Single</v>
      </c>
      <c r="F1185" s="7">
        <v>15056</v>
      </c>
      <c r="G1185" s="8">
        <v>1</v>
      </c>
      <c r="H1185" s="8">
        <v>1</v>
      </c>
      <c r="I1185" s="8">
        <f>Table1[[#This Row],[kids]]+Table1[[#This Row],[teens]]</f>
        <v>2</v>
      </c>
      <c r="J1185" s="9">
        <v>41397</v>
      </c>
      <c r="K1185" s="8">
        <v>76</v>
      </c>
      <c r="L1185" s="6">
        <v>6</v>
      </c>
      <c r="M1185" s="5">
        <v>12</v>
      </c>
      <c r="N1185" s="5">
        <v>3</v>
      </c>
      <c r="O1185" s="5">
        <v>21</v>
      </c>
      <c r="P1185" s="5">
        <v>6</v>
      </c>
      <c r="Q1185" s="5">
        <v>40</v>
      </c>
      <c r="R1185" s="8">
        <v>5</v>
      </c>
      <c r="S1185" s="8">
        <v>2</v>
      </c>
      <c r="T1185" s="8">
        <v>2</v>
      </c>
      <c r="U1185" s="8">
        <v>3</v>
      </c>
      <c r="V1185" s="8">
        <v>5</v>
      </c>
      <c r="W1185" t="s">
        <v>473</v>
      </c>
      <c r="X1185" t="s">
        <v>473</v>
      </c>
      <c r="Y1185" t="s">
        <v>473</v>
      </c>
      <c r="Z1185" t="s">
        <v>473</v>
      </c>
      <c r="AA1185" t="s">
        <v>473</v>
      </c>
      <c r="AB1185" t="s">
        <v>473</v>
      </c>
      <c r="AC1185" s="10">
        <v>3</v>
      </c>
      <c r="AD1185" s="10">
        <v>11</v>
      </c>
      <c r="AE1185" t="s">
        <v>473</v>
      </c>
    </row>
    <row r="1186" spans="1:31" x14ac:dyDescent="0.25">
      <c r="A1186">
        <v>9392</v>
      </c>
      <c r="B1186">
        <v>1971</v>
      </c>
      <c r="C1186" t="s">
        <v>466</v>
      </c>
      <c r="D1186" t="s">
        <v>30</v>
      </c>
      <c r="E1186" t="str">
        <f>IF(OR(Table1[[#This Row],[marital_status]]="Married", Table1[[#This Row],[marital_status]]="Together"), "Partnered", "Single")</f>
        <v>Single</v>
      </c>
      <c r="F1186" s="7">
        <v>26954</v>
      </c>
      <c r="G1186" s="8">
        <v>1</v>
      </c>
      <c r="H1186" s="8">
        <v>0</v>
      </c>
      <c r="I1186" s="8">
        <f>Table1[[#This Row],[kids]]+Table1[[#This Row],[teens]]</f>
        <v>1</v>
      </c>
      <c r="J1186" s="9">
        <v>41767</v>
      </c>
      <c r="K1186" s="8">
        <v>17</v>
      </c>
      <c r="L1186" s="6">
        <v>4</v>
      </c>
      <c r="M1186" s="5">
        <v>1</v>
      </c>
      <c r="N1186" s="5">
        <v>11</v>
      </c>
      <c r="O1186" s="5">
        <v>0</v>
      </c>
      <c r="P1186" s="5">
        <v>0</v>
      </c>
      <c r="Q1186" s="5">
        <v>1</v>
      </c>
      <c r="R1186" s="8">
        <v>1</v>
      </c>
      <c r="S1186" s="8">
        <v>1</v>
      </c>
      <c r="T1186" s="8">
        <v>0</v>
      </c>
      <c r="U1186" s="8">
        <v>2</v>
      </c>
      <c r="V1186" s="8">
        <v>7</v>
      </c>
      <c r="W1186" t="s">
        <v>473</v>
      </c>
      <c r="X1186" t="s">
        <v>473</v>
      </c>
      <c r="Y1186" t="s">
        <v>473</v>
      </c>
      <c r="Z1186" t="s">
        <v>473</v>
      </c>
      <c r="AA1186" t="s">
        <v>473</v>
      </c>
      <c r="AB1186" t="s">
        <v>473</v>
      </c>
      <c r="AC1186" s="10">
        <v>3</v>
      </c>
      <c r="AD1186" s="10">
        <v>11</v>
      </c>
      <c r="AE1186" t="s">
        <v>473</v>
      </c>
    </row>
    <row r="1187" spans="1:31" x14ac:dyDescent="0.25">
      <c r="A1187">
        <v>2292</v>
      </c>
      <c r="B1187">
        <v>1985</v>
      </c>
      <c r="C1187" t="s">
        <v>466</v>
      </c>
      <c r="D1187" t="s">
        <v>30</v>
      </c>
      <c r="E1187" t="str">
        <f>IF(OR(Table1[[#This Row],[marital_status]]="Married", Table1[[#This Row],[marital_status]]="Together"), "Partnered", "Single")</f>
        <v>Single</v>
      </c>
      <c r="F1187" s="7">
        <v>22327</v>
      </c>
      <c r="G1187" s="8">
        <v>1</v>
      </c>
      <c r="H1187" s="8">
        <v>0</v>
      </c>
      <c r="I1187" s="8">
        <f>Table1[[#This Row],[kids]]+Table1[[#This Row],[teens]]</f>
        <v>1</v>
      </c>
      <c r="J1187" s="9">
        <v>41488</v>
      </c>
      <c r="K1187" s="8">
        <v>94</v>
      </c>
      <c r="L1187" s="6">
        <v>5</v>
      </c>
      <c r="M1187" s="5">
        <v>4</v>
      </c>
      <c r="N1187" s="5">
        <v>8</v>
      </c>
      <c r="O1187" s="5">
        <v>2</v>
      </c>
      <c r="P1187" s="5">
        <v>0</v>
      </c>
      <c r="Q1187" s="5">
        <v>5</v>
      </c>
      <c r="R1187" s="8">
        <v>1</v>
      </c>
      <c r="S1187" s="8">
        <v>1</v>
      </c>
      <c r="T1187" s="8">
        <v>0</v>
      </c>
      <c r="U1187" s="8">
        <v>3</v>
      </c>
      <c r="V1187" s="8">
        <v>5</v>
      </c>
      <c r="W1187" t="s">
        <v>473</v>
      </c>
      <c r="X1187" t="s">
        <v>473</v>
      </c>
      <c r="Y1187" t="s">
        <v>473</v>
      </c>
      <c r="Z1187" t="s">
        <v>473</v>
      </c>
      <c r="AA1187" t="s">
        <v>473</v>
      </c>
      <c r="AB1187" t="s">
        <v>473</v>
      </c>
      <c r="AC1187" s="10">
        <v>3</v>
      </c>
      <c r="AD1187" s="10">
        <v>11</v>
      </c>
      <c r="AE1187" t="s">
        <v>473</v>
      </c>
    </row>
    <row r="1188" spans="1:31" x14ac:dyDescent="0.25">
      <c r="A1188">
        <v>10466</v>
      </c>
      <c r="B1188">
        <v>1965</v>
      </c>
      <c r="C1188" t="s">
        <v>466</v>
      </c>
      <c r="D1188" t="s">
        <v>34</v>
      </c>
      <c r="E1188" t="str">
        <f>IF(OR(Table1[[#This Row],[marital_status]]="Married", Table1[[#This Row],[marital_status]]="Together"), "Partnered", "Single")</f>
        <v>Partnered</v>
      </c>
      <c r="F1188" s="7">
        <v>44393</v>
      </c>
      <c r="G1188" s="8">
        <v>1</v>
      </c>
      <c r="H1188" s="8">
        <v>1</v>
      </c>
      <c r="I1188" s="8">
        <f>Table1[[#This Row],[kids]]+Table1[[#This Row],[teens]]</f>
        <v>2</v>
      </c>
      <c r="J1188" s="9">
        <v>41508</v>
      </c>
      <c r="K1188" s="8">
        <v>86</v>
      </c>
      <c r="L1188" s="6">
        <v>24</v>
      </c>
      <c r="M1188" s="5">
        <v>2</v>
      </c>
      <c r="N1188" s="5">
        <v>20</v>
      </c>
      <c r="O1188" s="5">
        <v>2</v>
      </c>
      <c r="P1188" s="5">
        <v>2</v>
      </c>
      <c r="Q1188" s="5">
        <v>10</v>
      </c>
      <c r="R1188" s="8">
        <v>2</v>
      </c>
      <c r="S1188" s="8">
        <v>1</v>
      </c>
      <c r="T1188" s="8">
        <v>0</v>
      </c>
      <c r="U1188" s="8">
        <v>4</v>
      </c>
      <c r="V1188" s="8">
        <v>4</v>
      </c>
      <c r="W1188" t="s">
        <v>473</v>
      </c>
      <c r="X1188" t="s">
        <v>473</v>
      </c>
      <c r="Y1188" t="s">
        <v>473</v>
      </c>
      <c r="Z1188" t="s">
        <v>473</v>
      </c>
      <c r="AA1188" t="s">
        <v>473</v>
      </c>
      <c r="AB1188" t="s">
        <v>473</v>
      </c>
      <c r="AC1188" s="10">
        <v>3</v>
      </c>
      <c r="AD1188" s="10">
        <v>11</v>
      </c>
      <c r="AE1188" t="s">
        <v>473</v>
      </c>
    </row>
    <row r="1189" spans="1:31" x14ac:dyDescent="0.25">
      <c r="A1189">
        <v>9855</v>
      </c>
      <c r="B1189">
        <v>1952</v>
      </c>
      <c r="C1189" t="s">
        <v>33</v>
      </c>
      <c r="D1189" t="s">
        <v>30</v>
      </c>
      <c r="E1189" t="str">
        <f>IF(OR(Table1[[#This Row],[marital_status]]="Married", Table1[[#This Row],[marital_status]]="Together"), "Partnered", "Single")</f>
        <v>Single</v>
      </c>
      <c r="F1189" s="7">
        <v>62000</v>
      </c>
      <c r="G1189" s="8">
        <v>0</v>
      </c>
      <c r="H1189" s="8">
        <v>1</v>
      </c>
      <c r="I1189" s="8">
        <f>Table1[[#This Row],[kids]]+Table1[[#This Row],[teens]]</f>
        <v>1</v>
      </c>
      <c r="J1189" s="9">
        <v>41511</v>
      </c>
      <c r="K1189" s="8">
        <v>25</v>
      </c>
      <c r="L1189" s="6">
        <v>899</v>
      </c>
      <c r="M1189" s="5">
        <v>0</v>
      </c>
      <c r="N1189" s="5">
        <v>101</v>
      </c>
      <c r="O1189" s="5">
        <v>0</v>
      </c>
      <c r="P1189" s="5">
        <v>0</v>
      </c>
      <c r="Q1189" s="5">
        <v>20</v>
      </c>
      <c r="R1189" s="8">
        <v>1</v>
      </c>
      <c r="S1189" s="8">
        <v>6</v>
      </c>
      <c r="T1189" s="8">
        <v>6</v>
      </c>
      <c r="U1189" s="8">
        <v>13</v>
      </c>
      <c r="V1189" s="8">
        <v>4</v>
      </c>
      <c r="W1189" t="s">
        <v>473</v>
      </c>
      <c r="X1189" t="s">
        <v>473</v>
      </c>
      <c r="Y1189" t="s">
        <v>473</v>
      </c>
      <c r="Z1189" t="s">
        <v>474</v>
      </c>
      <c r="AA1189" t="s">
        <v>473</v>
      </c>
      <c r="AB1189" t="s">
        <v>473</v>
      </c>
      <c r="AC1189" s="10">
        <v>3</v>
      </c>
      <c r="AD1189" s="10">
        <v>11</v>
      </c>
      <c r="AE1189" t="s">
        <v>473</v>
      </c>
    </row>
    <row r="1190" spans="1:31" x14ac:dyDescent="0.25">
      <c r="A1190">
        <v>4088</v>
      </c>
      <c r="B1190">
        <v>1962</v>
      </c>
      <c r="C1190" t="s">
        <v>33</v>
      </c>
      <c r="D1190" t="s">
        <v>31</v>
      </c>
      <c r="E1190" t="str">
        <f>IF(OR(Table1[[#This Row],[marital_status]]="Married", Table1[[#This Row],[marital_status]]="Together"), "Partnered", "Single")</f>
        <v>Partnered</v>
      </c>
      <c r="F1190" s="7">
        <v>31497</v>
      </c>
      <c r="G1190" s="8">
        <v>0</v>
      </c>
      <c r="H1190" s="8">
        <v>1</v>
      </c>
      <c r="I1190" s="8">
        <f>Table1[[#This Row],[kids]]+Table1[[#This Row],[teens]]</f>
        <v>1</v>
      </c>
      <c r="J1190" s="9">
        <v>41249</v>
      </c>
      <c r="K1190" s="8">
        <v>22</v>
      </c>
      <c r="L1190" s="6">
        <v>108</v>
      </c>
      <c r="M1190" s="5">
        <v>1</v>
      </c>
      <c r="N1190" s="5">
        <v>28</v>
      </c>
      <c r="O1190" s="5">
        <v>13</v>
      </c>
      <c r="P1190" s="5">
        <v>1</v>
      </c>
      <c r="Q1190" s="5">
        <v>4</v>
      </c>
      <c r="R1190" s="8">
        <v>2</v>
      </c>
      <c r="S1190" s="8">
        <v>3</v>
      </c>
      <c r="T1190" s="8">
        <v>1</v>
      </c>
      <c r="U1190" s="8">
        <v>4</v>
      </c>
      <c r="V1190" s="8">
        <v>8</v>
      </c>
      <c r="W1190" t="s">
        <v>473</v>
      </c>
      <c r="X1190" t="s">
        <v>473</v>
      </c>
      <c r="Y1190" t="s">
        <v>473</v>
      </c>
      <c r="Z1190" t="s">
        <v>473</v>
      </c>
      <c r="AA1190" t="s">
        <v>473</v>
      </c>
      <c r="AB1190" t="s">
        <v>473</v>
      </c>
      <c r="AC1190" s="10">
        <v>3</v>
      </c>
      <c r="AD1190" s="10">
        <v>11</v>
      </c>
      <c r="AE1190" t="s">
        <v>473</v>
      </c>
    </row>
    <row r="1191" spans="1:31" x14ac:dyDescent="0.25">
      <c r="A1191">
        <v>5231</v>
      </c>
      <c r="B1191">
        <v>1974</v>
      </c>
      <c r="C1191" t="s">
        <v>46</v>
      </c>
      <c r="D1191" t="s">
        <v>34</v>
      </c>
      <c r="E1191" t="str">
        <f>IF(OR(Table1[[#This Row],[marital_status]]="Married", Table1[[#This Row],[marital_status]]="Together"), "Partnered", "Single")</f>
        <v>Partnered</v>
      </c>
      <c r="F1191" s="7">
        <v>45894</v>
      </c>
      <c r="G1191" s="8">
        <v>0</v>
      </c>
      <c r="H1191" s="8">
        <v>2</v>
      </c>
      <c r="I1191" s="8">
        <f>Table1[[#This Row],[kids]]+Table1[[#This Row],[teens]]</f>
        <v>2</v>
      </c>
      <c r="J1191" s="9">
        <v>41697</v>
      </c>
      <c r="K1191" s="8">
        <v>15</v>
      </c>
      <c r="L1191" s="6">
        <v>27</v>
      </c>
      <c r="M1191" s="5">
        <v>2</v>
      </c>
      <c r="N1191" s="5">
        <v>7</v>
      </c>
      <c r="O1191" s="5">
        <v>0</v>
      </c>
      <c r="P1191" s="5">
        <v>2</v>
      </c>
      <c r="Q1191" s="5">
        <v>13</v>
      </c>
      <c r="R1191" s="8">
        <v>1</v>
      </c>
      <c r="S1191" s="8">
        <v>1</v>
      </c>
      <c r="T1191" s="8">
        <v>0</v>
      </c>
      <c r="U1191" s="8">
        <v>3</v>
      </c>
      <c r="V1191" s="8">
        <v>5</v>
      </c>
      <c r="W1191" t="s">
        <v>473</v>
      </c>
      <c r="X1191" t="s">
        <v>473</v>
      </c>
      <c r="Y1191" t="s">
        <v>473</v>
      </c>
      <c r="Z1191" t="s">
        <v>473</v>
      </c>
      <c r="AA1191" t="s">
        <v>473</v>
      </c>
      <c r="AB1191" t="s">
        <v>473</v>
      </c>
      <c r="AC1191" s="10">
        <v>3</v>
      </c>
      <c r="AD1191" s="10">
        <v>11</v>
      </c>
      <c r="AE1191" t="s">
        <v>473</v>
      </c>
    </row>
    <row r="1192" spans="1:31" x14ac:dyDescent="0.25">
      <c r="A1192">
        <v>590</v>
      </c>
      <c r="B1192">
        <v>1970</v>
      </c>
      <c r="C1192" t="s">
        <v>36</v>
      </c>
      <c r="D1192" t="s">
        <v>37</v>
      </c>
      <c r="E1192" t="str">
        <f>IF(OR(Table1[[#This Row],[marital_status]]="Married", Table1[[#This Row],[marital_status]]="Together"), "Partnered", "Single")</f>
        <v>Single</v>
      </c>
      <c r="F1192" s="7">
        <v>78579</v>
      </c>
      <c r="G1192" s="8">
        <v>0</v>
      </c>
      <c r="H1192" s="8">
        <v>0</v>
      </c>
      <c r="I1192" s="8">
        <f>Table1[[#This Row],[kids]]+Table1[[#This Row],[teens]]</f>
        <v>0</v>
      </c>
      <c r="J1192" s="9">
        <v>41265</v>
      </c>
      <c r="K1192" s="8">
        <v>35</v>
      </c>
      <c r="L1192" s="6">
        <v>816</v>
      </c>
      <c r="M1192" s="5">
        <v>66</v>
      </c>
      <c r="N1192" s="5">
        <v>549</v>
      </c>
      <c r="O1192" s="5">
        <v>216</v>
      </c>
      <c r="P1192" s="5">
        <v>66</v>
      </c>
      <c r="Q1192" s="5">
        <v>99</v>
      </c>
      <c r="R1192" s="8">
        <v>1</v>
      </c>
      <c r="S1192" s="8">
        <v>5</v>
      </c>
      <c r="T1192" s="8">
        <v>6</v>
      </c>
      <c r="U1192" s="8">
        <v>4</v>
      </c>
      <c r="V1192" s="8">
        <v>3</v>
      </c>
      <c r="W1192" t="s">
        <v>473</v>
      </c>
      <c r="X1192" t="s">
        <v>473</v>
      </c>
      <c r="Y1192" t="s">
        <v>473</v>
      </c>
      <c r="Z1192" t="s">
        <v>473</v>
      </c>
      <c r="AA1192" t="s">
        <v>473</v>
      </c>
      <c r="AB1192" t="s">
        <v>473</v>
      </c>
      <c r="AC1192" s="10">
        <v>3</v>
      </c>
      <c r="AD1192" s="10">
        <v>11</v>
      </c>
      <c r="AE1192" t="s">
        <v>474</v>
      </c>
    </row>
    <row r="1193" spans="1:31" x14ac:dyDescent="0.25">
      <c r="A1193">
        <v>8732</v>
      </c>
      <c r="B1193">
        <v>1969</v>
      </c>
      <c r="C1193" t="s">
        <v>36</v>
      </c>
      <c r="D1193" t="s">
        <v>57</v>
      </c>
      <c r="E1193" t="str">
        <f>IF(OR(Table1[[#This Row],[marital_status]]="Married", Table1[[#This Row],[marital_status]]="Together"), "Partnered", "Single")</f>
        <v>Single</v>
      </c>
      <c r="F1193" s="7">
        <v>67369</v>
      </c>
      <c r="G1193" s="8">
        <v>0</v>
      </c>
      <c r="H1193" s="8">
        <v>1</v>
      </c>
      <c r="I1193" s="8">
        <f>Table1[[#This Row],[kids]]+Table1[[#This Row],[teens]]</f>
        <v>1</v>
      </c>
      <c r="J1193" s="9">
        <v>41230</v>
      </c>
      <c r="K1193" s="8">
        <v>81</v>
      </c>
      <c r="L1193" s="6">
        <v>1298</v>
      </c>
      <c r="M1193" s="5">
        <v>0</v>
      </c>
      <c r="N1193" s="5">
        <v>70</v>
      </c>
      <c r="O1193" s="5">
        <v>37</v>
      </c>
      <c r="P1193" s="5">
        <v>14</v>
      </c>
      <c r="Q1193" s="5">
        <v>42</v>
      </c>
      <c r="R1193" s="8">
        <v>4</v>
      </c>
      <c r="S1193" s="8">
        <v>7</v>
      </c>
      <c r="T1193" s="8">
        <v>4</v>
      </c>
      <c r="U1193" s="8">
        <v>10</v>
      </c>
      <c r="V1193" s="8">
        <v>4</v>
      </c>
      <c r="W1193" t="s">
        <v>473</v>
      </c>
      <c r="X1193" t="s">
        <v>474</v>
      </c>
      <c r="Y1193" t="s">
        <v>474</v>
      </c>
      <c r="Z1193" t="s">
        <v>473</v>
      </c>
      <c r="AA1193" t="s">
        <v>473</v>
      </c>
      <c r="AB1193" t="s">
        <v>473</v>
      </c>
      <c r="AC1193" s="10">
        <v>3</v>
      </c>
      <c r="AD1193" s="10">
        <v>11</v>
      </c>
      <c r="AE1193" t="s">
        <v>474</v>
      </c>
    </row>
    <row r="1194" spans="1:31" x14ac:dyDescent="0.25">
      <c r="A1194">
        <v>2315</v>
      </c>
      <c r="B1194">
        <v>1960</v>
      </c>
      <c r="C1194" t="s">
        <v>466</v>
      </c>
      <c r="D1194" t="s">
        <v>37</v>
      </c>
      <c r="E1194" t="str">
        <f>IF(OR(Table1[[#This Row],[marital_status]]="Married", Table1[[#This Row],[marital_status]]="Together"), "Partnered", "Single")</f>
        <v>Single</v>
      </c>
      <c r="F1194" s="7">
        <v>58401</v>
      </c>
      <c r="G1194" s="8">
        <v>0</v>
      </c>
      <c r="H1194" s="8">
        <v>1</v>
      </c>
      <c r="I1194" s="8">
        <f>Table1[[#This Row],[kids]]+Table1[[#This Row],[teens]]</f>
        <v>1</v>
      </c>
      <c r="J1194" s="9">
        <v>41749</v>
      </c>
      <c r="K1194" s="8">
        <v>55</v>
      </c>
      <c r="L1194" s="6">
        <v>10</v>
      </c>
      <c r="M1194" s="5">
        <v>0</v>
      </c>
      <c r="N1194" s="5">
        <v>11</v>
      </c>
      <c r="O1194" s="5">
        <v>17</v>
      </c>
      <c r="P1194" s="5">
        <v>29</v>
      </c>
      <c r="Q1194" s="5">
        <v>29</v>
      </c>
      <c r="R1194" s="8">
        <v>1</v>
      </c>
      <c r="S1194" s="8">
        <v>1</v>
      </c>
      <c r="T1194" s="8">
        <v>2</v>
      </c>
      <c r="U1194" s="8">
        <v>2</v>
      </c>
      <c r="V1194" s="8">
        <v>4</v>
      </c>
      <c r="W1194" t="s">
        <v>473</v>
      </c>
      <c r="X1194" t="s">
        <v>473</v>
      </c>
      <c r="Y1194" t="s">
        <v>473</v>
      </c>
      <c r="Z1194" t="s">
        <v>473</v>
      </c>
      <c r="AA1194" t="s">
        <v>473</v>
      </c>
      <c r="AB1194" t="s">
        <v>473</v>
      </c>
      <c r="AC1194" s="10">
        <v>3</v>
      </c>
      <c r="AD1194" s="10">
        <v>11</v>
      </c>
      <c r="AE1194" t="s">
        <v>473</v>
      </c>
    </row>
    <row r="1195" spans="1:31" x14ac:dyDescent="0.25">
      <c r="A1195">
        <v>3515</v>
      </c>
      <c r="B1195">
        <v>1952</v>
      </c>
      <c r="C1195" t="s">
        <v>466</v>
      </c>
      <c r="D1195" t="s">
        <v>30</v>
      </c>
      <c r="E1195" t="str">
        <f>IF(OR(Table1[[#This Row],[marital_status]]="Married", Table1[[#This Row],[marital_status]]="Together"), "Partnered", "Single")</f>
        <v>Single</v>
      </c>
      <c r="F1195" s="7">
        <v>62307</v>
      </c>
      <c r="G1195" s="8">
        <v>0</v>
      </c>
      <c r="H1195" s="8">
        <v>1</v>
      </c>
      <c r="I1195" s="8">
        <f>Table1[[#This Row],[kids]]+Table1[[#This Row],[teens]]</f>
        <v>1</v>
      </c>
      <c r="J1195" s="9">
        <v>41687</v>
      </c>
      <c r="K1195" s="8">
        <v>94</v>
      </c>
      <c r="L1195" s="6">
        <v>87</v>
      </c>
      <c r="M1195" s="5">
        <v>13</v>
      </c>
      <c r="N1195" s="5">
        <v>34</v>
      </c>
      <c r="O1195" s="5">
        <v>10</v>
      </c>
      <c r="P1195" s="5">
        <v>6</v>
      </c>
      <c r="Q1195" s="5">
        <v>10</v>
      </c>
      <c r="R1195" s="8">
        <v>1</v>
      </c>
      <c r="S1195" s="8">
        <v>4</v>
      </c>
      <c r="T1195" s="8">
        <v>0</v>
      </c>
      <c r="U1195" s="8">
        <v>4</v>
      </c>
      <c r="V1195" s="8">
        <v>5</v>
      </c>
      <c r="W1195" t="s">
        <v>473</v>
      </c>
      <c r="X1195" t="s">
        <v>473</v>
      </c>
      <c r="Y1195" t="s">
        <v>473</v>
      </c>
      <c r="Z1195" t="s">
        <v>473</v>
      </c>
      <c r="AA1195" t="s">
        <v>473</v>
      </c>
      <c r="AB1195" t="s">
        <v>473</v>
      </c>
      <c r="AC1195" s="10">
        <v>3</v>
      </c>
      <c r="AD1195" s="10">
        <v>11</v>
      </c>
      <c r="AE1195" t="s">
        <v>473</v>
      </c>
    </row>
    <row r="1196" spans="1:31" x14ac:dyDescent="0.25">
      <c r="A1196">
        <v>2245</v>
      </c>
      <c r="B1196">
        <v>1969</v>
      </c>
      <c r="C1196" t="s">
        <v>36</v>
      </c>
      <c r="D1196" t="s">
        <v>34</v>
      </c>
      <c r="E1196" t="str">
        <f>IF(OR(Table1[[#This Row],[marital_status]]="Married", Table1[[#This Row],[marital_status]]="Together"), "Partnered", "Single")</f>
        <v>Partnered</v>
      </c>
      <c r="F1196" s="7">
        <v>43641</v>
      </c>
      <c r="G1196" s="8">
        <v>1</v>
      </c>
      <c r="H1196" s="8">
        <v>1</v>
      </c>
      <c r="I1196" s="8">
        <f>Table1[[#This Row],[kids]]+Table1[[#This Row],[teens]]</f>
        <v>2</v>
      </c>
      <c r="J1196" s="9">
        <v>41386</v>
      </c>
      <c r="K1196" s="8">
        <v>50</v>
      </c>
      <c r="L1196" s="6">
        <v>57</v>
      </c>
      <c r="M1196" s="5">
        <v>2</v>
      </c>
      <c r="N1196" s="5">
        <v>51</v>
      </c>
      <c r="O1196" s="5">
        <v>4</v>
      </c>
      <c r="P1196" s="5">
        <v>2</v>
      </c>
      <c r="Q1196" s="5">
        <v>23</v>
      </c>
      <c r="R1196" s="8">
        <v>3</v>
      </c>
      <c r="S1196" s="8">
        <v>2</v>
      </c>
      <c r="T1196" s="8">
        <v>1</v>
      </c>
      <c r="U1196" s="8">
        <v>4</v>
      </c>
      <c r="V1196" s="8">
        <v>6</v>
      </c>
      <c r="W1196" t="s">
        <v>473</v>
      </c>
      <c r="X1196" t="s">
        <v>473</v>
      </c>
      <c r="Y1196" t="s">
        <v>473</v>
      </c>
      <c r="Z1196" t="s">
        <v>473</v>
      </c>
      <c r="AA1196" t="s">
        <v>473</v>
      </c>
      <c r="AB1196" t="s">
        <v>473</v>
      </c>
      <c r="AC1196" s="10">
        <v>3</v>
      </c>
      <c r="AD1196" s="10">
        <v>11</v>
      </c>
      <c r="AE1196" t="s">
        <v>473</v>
      </c>
    </row>
    <row r="1197" spans="1:31" x14ac:dyDescent="0.25">
      <c r="A1197">
        <v>6283</v>
      </c>
      <c r="B1197">
        <v>1968</v>
      </c>
      <c r="C1197" t="s">
        <v>36</v>
      </c>
      <c r="D1197" t="s">
        <v>37</v>
      </c>
      <c r="E1197" t="str">
        <f>IF(OR(Table1[[#This Row],[marital_status]]="Married", Table1[[#This Row],[marital_status]]="Together"), "Partnered", "Single")</f>
        <v>Single</v>
      </c>
      <c r="F1197" s="7">
        <v>63841</v>
      </c>
      <c r="G1197" s="8">
        <v>0</v>
      </c>
      <c r="H1197" s="8">
        <v>1</v>
      </c>
      <c r="I1197" s="8">
        <f>Table1[[#This Row],[kids]]+Table1[[#This Row],[teens]]</f>
        <v>1</v>
      </c>
      <c r="J1197" s="9">
        <v>41385</v>
      </c>
      <c r="K1197" s="8">
        <v>64</v>
      </c>
      <c r="L1197" s="6">
        <v>635</v>
      </c>
      <c r="M1197" s="5">
        <v>15</v>
      </c>
      <c r="N1197" s="5">
        <v>100</v>
      </c>
      <c r="O1197" s="5">
        <v>20</v>
      </c>
      <c r="P1197" s="5">
        <v>7</v>
      </c>
      <c r="Q1197" s="5">
        <v>131</v>
      </c>
      <c r="R1197" s="8">
        <v>1</v>
      </c>
      <c r="S1197" s="8">
        <v>9</v>
      </c>
      <c r="T1197" s="8">
        <v>3</v>
      </c>
      <c r="U1197" s="8">
        <v>9</v>
      </c>
      <c r="V1197" s="8">
        <v>6</v>
      </c>
      <c r="W1197" t="s">
        <v>473</v>
      </c>
      <c r="X1197" t="s">
        <v>473</v>
      </c>
      <c r="Y1197" t="s">
        <v>473</v>
      </c>
      <c r="Z1197" t="s">
        <v>473</v>
      </c>
      <c r="AA1197" t="s">
        <v>473</v>
      </c>
      <c r="AB1197" t="s">
        <v>473</v>
      </c>
      <c r="AC1197" s="10">
        <v>3</v>
      </c>
      <c r="AD1197" s="10">
        <v>11</v>
      </c>
      <c r="AE1197" t="s">
        <v>473</v>
      </c>
    </row>
    <row r="1198" spans="1:31" x14ac:dyDescent="0.25">
      <c r="A1198">
        <v>2246</v>
      </c>
      <c r="B1198">
        <v>1965</v>
      </c>
      <c r="C1198" t="s">
        <v>46</v>
      </c>
      <c r="D1198" t="s">
        <v>34</v>
      </c>
      <c r="E1198" t="str">
        <f>IF(OR(Table1[[#This Row],[marital_status]]="Married", Table1[[#This Row],[marital_status]]="Together"), "Partnered", "Single")</f>
        <v>Partnered</v>
      </c>
      <c r="F1198" s="7">
        <v>46891</v>
      </c>
      <c r="G1198" s="8">
        <v>0</v>
      </c>
      <c r="H1198" s="8">
        <v>1</v>
      </c>
      <c r="I1198" s="8">
        <f>Table1[[#This Row],[kids]]+Table1[[#This Row],[teens]]</f>
        <v>1</v>
      </c>
      <c r="J1198" s="9">
        <v>41518</v>
      </c>
      <c r="K1198" s="8">
        <v>91</v>
      </c>
      <c r="L1198" s="6">
        <v>43</v>
      </c>
      <c r="M1198" s="5">
        <v>12</v>
      </c>
      <c r="N1198" s="5">
        <v>23</v>
      </c>
      <c r="O1198" s="5">
        <v>29</v>
      </c>
      <c r="P1198" s="5">
        <v>15</v>
      </c>
      <c r="Q1198" s="5">
        <v>61</v>
      </c>
      <c r="R1198" s="8">
        <v>1</v>
      </c>
      <c r="S1198" s="8">
        <v>2</v>
      </c>
      <c r="T1198" s="8">
        <v>1</v>
      </c>
      <c r="U1198" s="8">
        <v>4</v>
      </c>
      <c r="V1198" s="8">
        <v>4</v>
      </c>
      <c r="W1198" t="s">
        <v>473</v>
      </c>
      <c r="X1198" t="s">
        <v>473</v>
      </c>
      <c r="Y1198" t="s">
        <v>473</v>
      </c>
      <c r="Z1198" t="s">
        <v>473</v>
      </c>
      <c r="AA1198" t="s">
        <v>473</v>
      </c>
      <c r="AB1198" t="s">
        <v>473</v>
      </c>
      <c r="AC1198" s="10">
        <v>3</v>
      </c>
      <c r="AD1198" s="10">
        <v>11</v>
      </c>
      <c r="AE1198" t="s">
        <v>473</v>
      </c>
    </row>
    <row r="1199" spans="1:31" x14ac:dyDescent="0.25">
      <c r="A1199">
        <v>6606</v>
      </c>
      <c r="B1199">
        <v>1969</v>
      </c>
      <c r="C1199" t="s">
        <v>36</v>
      </c>
      <c r="D1199" t="s">
        <v>34</v>
      </c>
      <c r="E1199" t="str">
        <f>IF(OR(Table1[[#This Row],[marital_status]]="Married", Table1[[#This Row],[marital_status]]="Together"), "Partnered", "Single")</f>
        <v>Partnered</v>
      </c>
      <c r="F1199" s="7">
        <v>70091</v>
      </c>
      <c r="G1199" s="8">
        <v>1</v>
      </c>
      <c r="H1199" s="8">
        <v>0</v>
      </c>
      <c r="I1199" s="8">
        <f>Table1[[#This Row],[kids]]+Table1[[#This Row],[teens]]</f>
        <v>1</v>
      </c>
      <c r="J1199" s="9">
        <v>41364</v>
      </c>
      <c r="K1199" s="8">
        <v>11</v>
      </c>
      <c r="L1199" s="6">
        <v>964</v>
      </c>
      <c r="M1199" s="5">
        <v>34</v>
      </c>
      <c r="N1199" s="5">
        <v>137</v>
      </c>
      <c r="O1199" s="5">
        <v>15</v>
      </c>
      <c r="P1199" s="5">
        <v>0</v>
      </c>
      <c r="Q1199" s="5">
        <v>11</v>
      </c>
      <c r="R1199" s="8">
        <v>2</v>
      </c>
      <c r="S1199" s="8">
        <v>5</v>
      </c>
      <c r="T1199" s="8">
        <v>2</v>
      </c>
      <c r="U1199" s="8">
        <v>10</v>
      </c>
      <c r="V1199" s="8">
        <v>8</v>
      </c>
      <c r="W1199" t="s">
        <v>473</v>
      </c>
      <c r="X1199" t="s">
        <v>474</v>
      </c>
      <c r="Y1199" t="s">
        <v>473</v>
      </c>
      <c r="Z1199" t="s">
        <v>473</v>
      </c>
      <c r="AA1199" t="s">
        <v>473</v>
      </c>
      <c r="AB1199" t="s">
        <v>473</v>
      </c>
      <c r="AC1199" s="10">
        <v>3</v>
      </c>
      <c r="AD1199" s="10">
        <v>11</v>
      </c>
      <c r="AE1199" t="s">
        <v>473</v>
      </c>
    </row>
    <row r="1200" spans="1:31" x14ac:dyDescent="0.25">
      <c r="A1200">
        <v>5545</v>
      </c>
      <c r="B1200">
        <v>1972</v>
      </c>
      <c r="C1200" t="s">
        <v>33</v>
      </c>
      <c r="D1200" t="s">
        <v>34</v>
      </c>
      <c r="E1200" t="str">
        <f>IF(OR(Table1[[#This Row],[marital_status]]="Married", Table1[[#This Row],[marital_status]]="Together"), "Partnered", "Single")</f>
        <v>Partnered</v>
      </c>
      <c r="F1200" s="7">
        <v>78075</v>
      </c>
      <c r="G1200" s="8">
        <v>0</v>
      </c>
      <c r="H1200" s="8">
        <v>0</v>
      </c>
      <c r="I1200" s="8">
        <f>Table1[[#This Row],[kids]]+Table1[[#This Row],[teens]]</f>
        <v>0</v>
      </c>
      <c r="J1200" s="9">
        <v>41734</v>
      </c>
      <c r="K1200" s="8">
        <v>72</v>
      </c>
      <c r="L1200" s="6">
        <v>572</v>
      </c>
      <c r="M1200" s="5">
        <v>8</v>
      </c>
      <c r="N1200" s="5">
        <v>259</v>
      </c>
      <c r="O1200" s="5">
        <v>34</v>
      </c>
      <c r="P1200" s="5">
        <v>35</v>
      </c>
      <c r="Q1200" s="5">
        <v>80</v>
      </c>
      <c r="R1200" s="8">
        <v>1</v>
      </c>
      <c r="S1200" s="8">
        <v>3</v>
      </c>
      <c r="T1200" s="8">
        <v>5</v>
      </c>
      <c r="U1200" s="8">
        <v>5</v>
      </c>
      <c r="V1200" s="8">
        <v>1</v>
      </c>
      <c r="W1200" t="s">
        <v>473</v>
      </c>
      <c r="X1200" t="s">
        <v>473</v>
      </c>
      <c r="Y1200" t="s">
        <v>473</v>
      </c>
      <c r="Z1200" t="s">
        <v>473</v>
      </c>
      <c r="AA1200" t="s">
        <v>473</v>
      </c>
      <c r="AB1200" t="s">
        <v>473</v>
      </c>
      <c r="AC1200" s="10">
        <v>3</v>
      </c>
      <c r="AD1200" s="10">
        <v>11</v>
      </c>
      <c r="AE1200" t="s">
        <v>473</v>
      </c>
    </row>
    <row r="1201" spans="1:31" x14ac:dyDescent="0.25">
      <c r="A1201">
        <v>7342</v>
      </c>
      <c r="B1201">
        <v>1961</v>
      </c>
      <c r="C1201" t="s">
        <v>46</v>
      </c>
      <c r="D1201" t="s">
        <v>57</v>
      </c>
      <c r="E1201" t="str">
        <f>IF(OR(Table1[[#This Row],[marital_status]]="Married", Table1[[#This Row],[marital_status]]="Together"), "Partnered", "Single")</f>
        <v>Single</v>
      </c>
      <c r="F1201" s="7">
        <v>59184</v>
      </c>
      <c r="G1201" s="8">
        <v>0</v>
      </c>
      <c r="H1201" s="8">
        <v>1</v>
      </c>
      <c r="I1201" s="8">
        <f>Table1[[#This Row],[kids]]+Table1[[#This Row],[teens]]</f>
        <v>1</v>
      </c>
      <c r="J1201" s="9">
        <v>41161</v>
      </c>
      <c r="K1201" s="8">
        <v>6</v>
      </c>
      <c r="L1201" s="6">
        <v>341</v>
      </c>
      <c r="M1201" s="5">
        <v>142</v>
      </c>
      <c r="N1201" s="5">
        <v>113</v>
      </c>
      <c r="O1201" s="5">
        <v>259</v>
      </c>
      <c r="P1201" s="5">
        <v>151</v>
      </c>
      <c r="Q1201" s="5">
        <v>66</v>
      </c>
      <c r="R1201" s="8">
        <v>3</v>
      </c>
      <c r="S1201" s="8">
        <v>6</v>
      </c>
      <c r="T1201" s="8">
        <v>6</v>
      </c>
      <c r="U1201" s="8">
        <v>12</v>
      </c>
      <c r="V1201" s="8">
        <v>5</v>
      </c>
      <c r="W1201" t="s">
        <v>473</v>
      </c>
      <c r="X1201" t="s">
        <v>473</v>
      </c>
      <c r="Y1201" t="s">
        <v>473</v>
      </c>
      <c r="Z1201" t="s">
        <v>473</v>
      </c>
      <c r="AA1201" t="s">
        <v>473</v>
      </c>
      <c r="AB1201" t="s">
        <v>473</v>
      </c>
      <c r="AC1201" s="10">
        <v>3</v>
      </c>
      <c r="AD1201" s="10">
        <v>11</v>
      </c>
      <c r="AE1201" t="s">
        <v>473</v>
      </c>
    </row>
    <row r="1202" spans="1:31" x14ac:dyDescent="0.25">
      <c r="A1202">
        <v>837</v>
      </c>
      <c r="B1202">
        <v>1977</v>
      </c>
      <c r="C1202" t="s">
        <v>466</v>
      </c>
      <c r="D1202" t="s">
        <v>34</v>
      </c>
      <c r="E1202" t="str">
        <f>IF(OR(Table1[[#This Row],[marital_status]]="Married", Table1[[#This Row],[marital_status]]="Together"), "Partnered", "Single")</f>
        <v>Partnered</v>
      </c>
      <c r="F1202" s="7">
        <v>54809</v>
      </c>
      <c r="G1202" s="8">
        <v>1</v>
      </c>
      <c r="H1202" s="8">
        <v>1</v>
      </c>
      <c r="I1202" s="8">
        <f>Table1[[#This Row],[kids]]+Table1[[#This Row],[teens]]</f>
        <v>2</v>
      </c>
      <c r="J1202" s="9">
        <v>41528</v>
      </c>
      <c r="K1202" s="8">
        <v>0</v>
      </c>
      <c r="L1202" s="6">
        <v>63</v>
      </c>
      <c r="M1202" s="5">
        <v>6</v>
      </c>
      <c r="N1202" s="5">
        <v>57</v>
      </c>
      <c r="O1202" s="5">
        <v>13</v>
      </c>
      <c r="P1202" s="5">
        <v>13</v>
      </c>
      <c r="Q1202" s="5">
        <v>22</v>
      </c>
      <c r="R1202" s="8">
        <v>4</v>
      </c>
      <c r="S1202" s="8">
        <v>2</v>
      </c>
      <c r="T1202" s="8">
        <v>1</v>
      </c>
      <c r="U1202" s="8">
        <v>5</v>
      </c>
      <c r="V1202" s="8">
        <v>4</v>
      </c>
      <c r="W1202" t="s">
        <v>473</v>
      </c>
      <c r="X1202" t="s">
        <v>473</v>
      </c>
      <c r="Y1202" t="s">
        <v>473</v>
      </c>
      <c r="Z1202" t="s">
        <v>473</v>
      </c>
      <c r="AA1202" t="s">
        <v>473</v>
      </c>
      <c r="AB1202" t="s">
        <v>473</v>
      </c>
      <c r="AC1202" s="10">
        <v>3</v>
      </c>
      <c r="AD1202" s="10">
        <v>11</v>
      </c>
      <c r="AE1202" t="s">
        <v>473</v>
      </c>
    </row>
    <row r="1203" spans="1:31" x14ac:dyDescent="0.25">
      <c r="A1203">
        <v>9500</v>
      </c>
      <c r="B1203">
        <v>1959</v>
      </c>
      <c r="C1203" t="s">
        <v>466</v>
      </c>
      <c r="D1203" t="s">
        <v>34</v>
      </c>
      <c r="E1203" t="str">
        <f>IF(OR(Table1[[#This Row],[marital_status]]="Married", Table1[[#This Row],[marital_status]]="Together"), "Partnered", "Single")</f>
        <v>Partnered</v>
      </c>
      <c r="F1203" s="7">
        <v>58113</v>
      </c>
      <c r="G1203" s="8">
        <v>0</v>
      </c>
      <c r="H1203" s="8">
        <v>1</v>
      </c>
      <c r="I1203" s="8">
        <f>Table1[[#This Row],[kids]]+Table1[[#This Row],[teens]]</f>
        <v>1</v>
      </c>
      <c r="J1203" s="9">
        <v>41299</v>
      </c>
      <c r="K1203" s="8">
        <v>66</v>
      </c>
      <c r="L1203" s="6">
        <v>221</v>
      </c>
      <c r="M1203" s="5">
        <v>104</v>
      </c>
      <c r="N1203" s="5">
        <v>169</v>
      </c>
      <c r="O1203" s="5">
        <v>102</v>
      </c>
      <c r="P1203" s="5">
        <v>78</v>
      </c>
      <c r="Q1203" s="5">
        <v>84</v>
      </c>
      <c r="R1203" s="8">
        <v>3</v>
      </c>
      <c r="S1203" s="8">
        <v>9</v>
      </c>
      <c r="T1203" s="8">
        <v>2</v>
      </c>
      <c r="U1203" s="8">
        <v>8</v>
      </c>
      <c r="V1203" s="8">
        <v>7</v>
      </c>
      <c r="W1203" t="s">
        <v>473</v>
      </c>
      <c r="X1203" t="s">
        <v>473</v>
      </c>
      <c r="Y1203" t="s">
        <v>473</v>
      </c>
      <c r="Z1203" t="s">
        <v>473</v>
      </c>
      <c r="AA1203" t="s">
        <v>473</v>
      </c>
      <c r="AB1203" t="s">
        <v>474</v>
      </c>
      <c r="AC1203" s="10">
        <v>3</v>
      </c>
      <c r="AD1203" s="10">
        <v>11</v>
      </c>
      <c r="AE1203" t="s">
        <v>473</v>
      </c>
    </row>
    <row r="1204" spans="1:31" x14ac:dyDescent="0.25">
      <c r="A1204">
        <v>3602</v>
      </c>
      <c r="B1204">
        <v>1958</v>
      </c>
      <c r="C1204" t="s">
        <v>36</v>
      </c>
      <c r="D1204" t="s">
        <v>34</v>
      </c>
      <c r="E1204" t="str">
        <f>IF(OR(Table1[[#This Row],[marital_status]]="Married", Table1[[#This Row],[marital_status]]="Together"), "Partnered", "Single")</f>
        <v>Partnered</v>
      </c>
      <c r="F1204" s="7">
        <v>51412</v>
      </c>
      <c r="G1204" s="8">
        <v>0</v>
      </c>
      <c r="H1204" s="8">
        <v>1</v>
      </c>
      <c r="I1204" s="8">
        <f>Table1[[#This Row],[kids]]+Table1[[#This Row],[teens]]</f>
        <v>1</v>
      </c>
      <c r="J1204" s="9">
        <v>41639</v>
      </c>
      <c r="K1204" s="8">
        <v>42</v>
      </c>
      <c r="L1204" s="6">
        <v>140</v>
      </c>
      <c r="M1204" s="5">
        <v>3</v>
      </c>
      <c r="N1204" s="5">
        <v>29</v>
      </c>
      <c r="O1204" s="5">
        <v>4</v>
      </c>
      <c r="P1204" s="5">
        <v>5</v>
      </c>
      <c r="Q1204" s="5">
        <v>14</v>
      </c>
      <c r="R1204" s="8">
        <v>2</v>
      </c>
      <c r="S1204" s="8">
        <v>3</v>
      </c>
      <c r="T1204" s="8">
        <v>2</v>
      </c>
      <c r="U1204" s="8">
        <v>4</v>
      </c>
      <c r="V1204" s="8">
        <v>4</v>
      </c>
      <c r="W1204" t="s">
        <v>473</v>
      </c>
      <c r="X1204" t="s">
        <v>473</v>
      </c>
      <c r="Y1204" t="s">
        <v>473</v>
      </c>
      <c r="Z1204" t="s">
        <v>473</v>
      </c>
      <c r="AA1204" t="s">
        <v>473</v>
      </c>
      <c r="AB1204" t="s">
        <v>473</v>
      </c>
      <c r="AC1204" s="10">
        <v>3</v>
      </c>
      <c r="AD1204" s="10">
        <v>11</v>
      </c>
      <c r="AE1204" t="s">
        <v>473</v>
      </c>
    </row>
    <row r="1205" spans="1:31" x14ac:dyDescent="0.25">
      <c r="A1205">
        <v>234</v>
      </c>
      <c r="B1205">
        <v>1979</v>
      </c>
      <c r="C1205" t="s">
        <v>466</v>
      </c>
      <c r="D1205" t="s">
        <v>37</v>
      </c>
      <c r="E1205" t="str">
        <f>IF(OR(Table1[[#This Row],[marital_status]]="Married", Table1[[#This Row],[marital_status]]="Together"), "Partnered", "Single")</f>
        <v>Single</v>
      </c>
      <c r="F1205" s="7">
        <v>15287</v>
      </c>
      <c r="G1205" s="8">
        <v>1</v>
      </c>
      <c r="H1205" s="8">
        <v>0</v>
      </c>
      <c r="I1205" s="8">
        <f>Table1[[#This Row],[kids]]+Table1[[#This Row],[teens]]</f>
        <v>1</v>
      </c>
      <c r="J1205" s="9">
        <v>41192</v>
      </c>
      <c r="K1205" s="8">
        <v>60</v>
      </c>
      <c r="L1205" s="6">
        <v>1</v>
      </c>
      <c r="M1205" s="5">
        <v>2</v>
      </c>
      <c r="N1205" s="5">
        <v>8</v>
      </c>
      <c r="O1205" s="5">
        <v>4</v>
      </c>
      <c r="P1205" s="5">
        <v>3</v>
      </c>
      <c r="Q1205" s="5">
        <v>13</v>
      </c>
      <c r="R1205" s="8">
        <v>2</v>
      </c>
      <c r="S1205" s="8">
        <v>1</v>
      </c>
      <c r="T1205" s="8">
        <v>1</v>
      </c>
      <c r="U1205" s="8">
        <v>2</v>
      </c>
      <c r="V1205" s="8">
        <v>7</v>
      </c>
      <c r="W1205" t="s">
        <v>474</v>
      </c>
      <c r="X1205" t="s">
        <v>473</v>
      </c>
      <c r="Y1205" t="s">
        <v>473</v>
      </c>
      <c r="Z1205" t="s">
        <v>473</v>
      </c>
      <c r="AA1205" t="s">
        <v>473</v>
      </c>
      <c r="AB1205" t="s">
        <v>473</v>
      </c>
      <c r="AC1205" s="10">
        <v>3</v>
      </c>
      <c r="AD1205" s="10">
        <v>11</v>
      </c>
      <c r="AE1205" t="s">
        <v>474</v>
      </c>
    </row>
    <row r="1206" spans="1:31" x14ac:dyDescent="0.25">
      <c r="A1206">
        <v>2995</v>
      </c>
      <c r="B1206">
        <v>1957</v>
      </c>
      <c r="C1206" t="s">
        <v>36</v>
      </c>
      <c r="D1206" t="s">
        <v>31</v>
      </c>
      <c r="E1206" t="str">
        <f>IF(OR(Table1[[#This Row],[marital_status]]="Married", Table1[[#This Row],[marital_status]]="Together"), "Partnered", "Single")</f>
        <v>Partnered</v>
      </c>
      <c r="F1206" s="7">
        <v>66636</v>
      </c>
      <c r="G1206" s="8">
        <v>0</v>
      </c>
      <c r="H1206" s="8">
        <v>0</v>
      </c>
      <c r="I1206" s="8">
        <f>Table1[[#This Row],[kids]]+Table1[[#This Row],[teens]]</f>
        <v>0</v>
      </c>
      <c r="J1206" s="9">
        <v>41503</v>
      </c>
      <c r="K1206" s="8">
        <v>64</v>
      </c>
      <c r="L1206" s="6">
        <v>291</v>
      </c>
      <c r="M1206" s="5">
        <v>10</v>
      </c>
      <c r="N1206" s="5">
        <v>689</v>
      </c>
      <c r="O1206" s="5">
        <v>84</v>
      </c>
      <c r="P1206" s="5">
        <v>10</v>
      </c>
      <c r="Q1206" s="5">
        <v>0</v>
      </c>
      <c r="R1206" s="8">
        <v>1</v>
      </c>
      <c r="S1206" s="8">
        <v>3</v>
      </c>
      <c r="T1206" s="8">
        <v>4</v>
      </c>
      <c r="U1206" s="8">
        <v>9</v>
      </c>
      <c r="V1206" s="8">
        <v>1</v>
      </c>
      <c r="W1206" t="s">
        <v>473</v>
      </c>
      <c r="X1206" t="s">
        <v>473</v>
      </c>
      <c r="Y1206" t="s">
        <v>473</v>
      </c>
      <c r="Z1206" t="s">
        <v>473</v>
      </c>
      <c r="AA1206" t="s">
        <v>473</v>
      </c>
      <c r="AB1206" t="s">
        <v>473</v>
      </c>
      <c r="AC1206" s="10">
        <v>3</v>
      </c>
      <c r="AD1206" s="10">
        <v>11</v>
      </c>
      <c r="AE1206" t="s">
        <v>473</v>
      </c>
    </row>
    <row r="1207" spans="1:31" x14ac:dyDescent="0.25">
      <c r="A1207">
        <v>1118</v>
      </c>
      <c r="B1207">
        <v>1956</v>
      </c>
      <c r="C1207" t="s">
        <v>36</v>
      </c>
      <c r="D1207" t="s">
        <v>34</v>
      </c>
      <c r="E1207" t="str">
        <f>IF(OR(Table1[[#This Row],[marital_status]]="Married", Table1[[#This Row],[marital_status]]="Together"), "Partnered", "Single")</f>
        <v>Partnered</v>
      </c>
      <c r="F1207" s="7">
        <v>50965</v>
      </c>
      <c r="G1207" s="8">
        <v>0</v>
      </c>
      <c r="H1207" s="8">
        <v>1</v>
      </c>
      <c r="I1207" s="8">
        <f>Table1[[#This Row],[kids]]+Table1[[#This Row],[teens]]</f>
        <v>1</v>
      </c>
      <c r="J1207" s="9">
        <v>41325</v>
      </c>
      <c r="K1207" s="8">
        <v>87</v>
      </c>
      <c r="L1207" s="6">
        <v>544</v>
      </c>
      <c r="M1207" s="5">
        <v>13</v>
      </c>
      <c r="N1207" s="5">
        <v>85</v>
      </c>
      <c r="O1207" s="5">
        <v>8</v>
      </c>
      <c r="P1207" s="5">
        <v>6</v>
      </c>
      <c r="Q1207" s="5">
        <v>29</v>
      </c>
      <c r="R1207" s="8">
        <v>3</v>
      </c>
      <c r="S1207" s="8">
        <v>10</v>
      </c>
      <c r="T1207" s="8">
        <v>4</v>
      </c>
      <c r="U1207" s="8">
        <v>5</v>
      </c>
      <c r="V1207" s="8">
        <v>8</v>
      </c>
      <c r="W1207" t="s">
        <v>474</v>
      </c>
      <c r="X1207" t="s">
        <v>473</v>
      </c>
      <c r="Y1207" t="s">
        <v>473</v>
      </c>
      <c r="Z1207" t="s">
        <v>473</v>
      </c>
      <c r="AA1207" t="s">
        <v>473</v>
      </c>
      <c r="AB1207" t="s">
        <v>473</v>
      </c>
      <c r="AC1207" s="10">
        <v>3</v>
      </c>
      <c r="AD1207" s="10">
        <v>11</v>
      </c>
      <c r="AE1207" t="s">
        <v>473</v>
      </c>
    </row>
    <row r="1208" spans="1:31" x14ac:dyDescent="0.25">
      <c r="A1208">
        <v>7789</v>
      </c>
      <c r="B1208">
        <v>1965</v>
      </c>
      <c r="C1208" t="s">
        <v>33</v>
      </c>
      <c r="D1208" t="s">
        <v>34</v>
      </c>
      <c r="E1208" t="str">
        <f>IF(OR(Table1[[#This Row],[marital_status]]="Married", Table1[[#This Row],[marital_status]]="Together"), "Partnered", "Single")</f>
        <v>Partnered</v>
      </c>
      <c r="F1208" s="7">
        <v>84618</v>
      </c>
      <c r="G1208" s="8">
        <v>0</v>
      </c>
      <c r="H1208" s="8">
        <v>0</v>
      </c>
      <c r="I1208" s="8">
        <f>Table1[[#This Row],[kids]]+Table1[[#This Row],[teens]]</f>
        <v>0</v>
      </c>
      <c r="J1208" s="9">
        <v>41600</v>
      </c>
      <c r="K1208" s="8">
        <v>96</v>
      </c>
      <c r="L1208" s="6">
        <v>684</v>
      </c>
      <c r="M1208" s="5">
        <v>100</v>
      </c>
      <c r="N1208" s="5">
        <v>801</v>
      </c>
      <c r="O1208" s="5">
        <v>21</v>
      </c>
      <c r="P1208" s="5">
        <v>66</v>
      </c>
      <c r="Q1208" s="5">
        <v>0</v>
      </c>
      <c r="R1208" s="8">
        <v>1</v>
      </c>
      <c r="S1208" s="8">
        <v>6</v>
      </c>
      <c r="T1208" s="8">
        <v>9</v>
      </c>
      <c r="U1208" s="8">
        <v>10</v>
      </c>
      <c r="V1208" s="8">
        <v>2</v>
      </c>
      <c r="W1208" t="s">
        <v>473</v>
      </c>
      <c r="X1208" t="s">
        <v>473</v>
      </c>
      <c r="Y1208" t="s">
        <v>474</v>
      </c>
      <c r="Z1208" t="s">
        <v>473</v>
      </c>
      <c r="AA1208" t="s">
        <v>473</v>
      </c>
      <c r="AB1208" t="s">
        <v>473</v>
      </c>
      <c r="AC1208" s="10">
        <v>3</v>
      </c>
      <c r="AD1208" s="10">
        <v>11</v>
      </c>
      <c r="AE1208" t="s">
        <v>473</v>
      </c>
    </row>
    <row r="1209" spans="1:31" x14ac:dyDescent="0.25">
      <c r="A1209">
        <v>3068</v>
      </c>
      <c r="B1209">
        <v>1990</v>
      </c>
      <c r="C1209" t="s">
        <v>466</v>
      </c>
      <c r="D1209" t="s">
        <v>34</v>
      </c>
      <c r="E1209" t="str">
        <f>IF(OR(Table1[[#This Row],[marital_status]]="Married", Table1[[#This Row],[marital_status]]="Together"), "Partnered", "Single")</f>
        <v>Partnered</v>
      </c>
      <c r="F1209" s="7">
        <v>18351</v>
      </c>
      <c r="G1209" s="8">
        <v>0</v>
      </c>
      <c r="H1209" s="8">
        <v>0</v>
      </c>
      <c r="I1209" s="8">
        <f>Table1[[#This Row],[kids]]+Table1[[#This Row],[teens]]</f>
        <v>0</v>
      </c>
      <c r="J1209" s="9">
        <v>41576</v>
      </c>
      <c r="K1209" s="8">
        <v>1</v>
      </c>
      <c r="L1209" s="6">
        <v>1</v>
      </c>
      <c r="M1209" s="5">
        <v>12</v>
      </c>
      <c r="N1209" s="5">
        <v>9</v>
      </c>
      <c r="O1209" s="5">
        <v>0</v>
      </c>
      <c r="P1209" s="5">
        <v>14</v>
      </c>
      <c r="Q1209" s="5">
        <v>7</v>
      </c>
      <c r="R1209" s="8">
        <v>1</v>
      </c>
      <c r="S1209" s="8">
        <v>2</v>
      </c>
      <c r="T1209" s="8">
        <v>0</v>
      </c>
      <c r="U1209" s="8">
        <v>3</v>
      </c>
      <c r="V1209" s="8">
        <v>7</v>
      </c>
      <c r="W1209" t="s">
        <v>473</v>
      </c>
      <c r="X1209" t="s">
        <v>473</v>
      </c>
      <c r="Y1209" t="s">
        <v>473</v>
      </c>
      <c r="Z1209" t="s">
        <v>473</v>
      </c>
      <c r="AA1209" t="s">
        <v>473</v>
      </c>
      <c r="AB1209" t="s">
        <v>473</v>
      </c>
      <c r="AC1209" s="10">
        <v>3</v>
      </c>
      <c r="AD1209" s="10">
        <v>11</v>
      </c>
      <c r="AE1209" t="s">
        <v>473</v>
      </c>
    </row>
    <row r="1210" spans="1:31" x14ac:dyDescent="0.25">
      <c r="A1210">
        <v>8955</v>
      </c>
      <c r="B1210">
        <v>1957</v>
      </c>
      <c r="C1210" t="s">
        <v>33</v>
      </c>
      <c r="D1210" t="s">
        <v>31</v>
      </c>
      <c r="E1210" t="str">
        <f>IF(OR(Table1[[#This Row],[marital_status]]="Married", Table1[[#This Row],[marital_status]]="Together"), "Partnered", "Single")</f>
        <v>Partnered</v>
      </c>
      <c r="F1210" s="7">
        <v>40451</v>
      </c>
      <c r="G1210" s="8">
        <v>0</v>
      </c>
      <c r="H1210" s="8">
        <v>2</v>
      </c>
      <c r="I1210" s="8">
        <f>Table1[[#This Row],[kids]]+Table1[[#This Row],[teens]]</f>
        <v>2</v>
      </c>
      <c r="J1210" s="9">
        <v>41686</v>
      </c>
      <c r="K1210" s="8">
        <v>54</v>
      </c>
      <c r="L1210" s="6">
        <v>35</v>
      </c>
      <c r="M1210" s="5">
        <v>0</v>
      </c>
      <c r="N1210" s="5">
        <v>4</v>
      </c>
      <c r="O1210" s="5">
        <v>0</v>
      </c>
      <c r="P1210" s="5">
        <v>0</v>
      </c>
      <c r="Q1210" s="5">
        <v>10</v>
      </c>
      <c r="R1210" s="8">
        <v>1</v>
      </c>
      <c r="S1210" s="8">
        <v>1</v>
      </c>
      <c r="T1210" s="8">
        <v>1</v>
      </c>
      <c r="U1210" s="8">
        <v>2</v>
      </c>
      <c r="V1210" s="8">
        <v>5</v>
      </c>
      <c r="W1210" t="s">
        <v>474</v>
      </c>
      <c r="X1210" t="s">
        <v>473</v>
      </c>
      <c r="Y1210" t="s">
        <v>473</v>
      </c>
      <c r="Z1210" t="s">
        <v>473</v>
      </c>
      <c r="AA1210" t="s">
        <v>473</v>
      </c>
      <c r="AB1210" t="s">
        <v>473</v>
      </c>
      <c r="AC1210" s="10">
        <v>3</v>
      </c>
      <c r="AD1210" s="10">
        <v>11</v>
      </c>
      <c r="AE1210" t="s">
        <v>473</v>
      </c>
    </row>
    <row r="1211" spans="1:31" x14ac:dyDescent="0.25">
      <c r="A1211">
        <v>945</v>
      </c>
      <c r="B1211">
        <v>1965</v>
      </c>
      <c r="C1211" t="s">
        <v>466</v>
      </c>
      <c r="D1211" t="s">
        <v>31</v>
      </c>
      <c r="E1211" t="str">
        <f>IF(OR(Table1[[#This Row],[marital_status]]="Married", Table1[[#This Row],[marital_status]]="Together"), "Partnered", "Single")</f>
        <v>Partnered</v>
      </c>
      <c r="F1211" s="7">
        <v>36317</v>
      </c>
      <c r="G1211" s="8">
        <v>0</v>
      </c>
      <c r="H1211" s="8">
        <v>1</v>
      </c>
      <c r="I1211" s="8">
        <f>Table1[[#This Row],[kids]]+Table1[[#This Row],[teens]]</f>
        <v>1</v>
      </c>
      <c r="J1211" s="9">
        <v>41416</v>
      </c>
      <c r="K1211" s="8">
        <v>53</v>
      </c>
      <c r="L1211" s="6">
        <v>87</v>
      </c>
      <c r="M1211" s="5">
        <v>3</v>
      </c>
      <c r="N1211" s="5">
        <v>25</v>
      </c>
      <c r="O1211" s="5">
        <v>3</v>
      </c>
      <c r="P1211" s="5">
        <v>2</v>
      </c>
      <c r="Q1211" s="5">
        <v>13</v>
      </c>
      <c r="R1211" s="8">
        <v>2</v>
      </c>
      <c r="S1211" s="8">
        <v>3</v>
      </c>
      <c r="T1211" s="8">
        <v>0</v>
      </c>
      <c r="U1211" s="8">
        <v>4</v>
      </c>
      <c r="V1211" s="8">
        <v>7</v>
      </c>
      <c r="W1211" t="s">
        <v>473</v>
      </c>
      <c r="X1211" t="s">
        <v>473</v>
      </c>
      <c r="Y1211" t="s">
        <v>473</v>
      </c>
      <c r="Z1211" t="s">
        <v>473</v>
      </c>
      <c r="AA1211" t="s">
        <v>473</v>
      </c>
      <c r="AB1211" t="s">
        <v>473</v>
      </c>
      <c r="AC1211" s="10">
        <v>3</v>
      </c>
      <c r="AD1211" s="10">
        <v>11</v>
      </c>
      <c r="AE1211" t="s">
        <v>473</v>
      </c>
    </row>
    <row r="1212" spans="1:31" x14ac:dyDescent="0.25">
      <c r="A1212">
        <v>5644</v>
      </c>
      <c r="B1212">
        <v>1957</v>
      </c>
      <c r="C1212" t="s">
        <v>466</v>
      </c>
      <c r="D1212" t="s">
        <v>31</v>
      </c>
      <c r="E1212" t="str">
        <f>IF(OR(Table1[[#This Row],[marital_status]]="Married", Table1[[#This Row],[marital_status]]="Together"), "Partnered", "Single")</f>
        <v>Partnered</v>
      </c>
      <c r="F1212" s="7">
        <v>42213</v>
      </c>
      <c r="G1212" s="8">
        <v>0</v>
      </c>
      <c r="H1212" s="8">
        <v>1</v>
      </c>
      <c r="I1212" s="8">
        <f>Table1[[#This Row],[kids]]+Table1[[#This Row],[teens]]</f>
        <v>1</v>
      </c>
      <c r="J1212" s="9">
        <v>41559</v>
      </c>
      <c r="K1212" s="8">
        <v>96</v>
      </c>
      <c r="L1212" s="6">
        <v>309</v>
      </c>
      <c r="M1212" s="5">
        <v>3</v>
      </c>
      <c r="N1212" s="5">
        <v>24</v>
      </c>
      <c r="O1212" s="5">
        <v>4</v>
      </c>
      <c r="P1212" s="5">
        <v>3</v>
      </c>
      <c r="Q1212" s="5">
        <v>20</v>
      </c>
      <c r="R1212" s="8">
        <v>2</v>
      </c>
      <c r="S1212" s="8">
        <v>5</v>
      </c>
      <c r="T1212" s="8">
        <v>1</v>
      </c>
      <c r="U1212" s="8">
        <v>7</v>
      </c>
      <c r="V1212" s="8">
        <v>7</v>
      </c>
      <c r="W1212" t="s">
        <v>473</v>
      </c>
      <c r="X1212" t="s">
        <v>474</v>
      </c>
      <c r="Y1212" t="s">
        <v>473</v>
      </c>
      <c r="Z1212" t="s">
        <v>473</v>
      </c>
      <c r="AA1212" t="s">
        <v>473</v>
      </c>
      <c r="AB1212" t="s">
        <v>473</v>
      </c>
      <c r="AC1212" s="10">
        <v>3</v>
      </c>
      <c r="AD1212" s="10">
        <v>11</v>
      </c>
      <c r="AE1212" t="s">
        <v>473</v>
      </c>
    </row>
    <row r="1213" spans="1:31" x14ac:dyDescent="0.25">
      <c r="A1213">
        <v>7192</v>
      </c>
      <c r="B1213">
        <v>1955</v>
      </c>
      <c r="C1213" t="s">
        <v>466</v>
      </c>
      <c r="D1213" t="s">
        <v>31</v>
      </c>
      <c r="E1213" t="str">
        <f>IF(OR(Table1[[#This Row],[marital_status]]="Married", Table1[[#This Row],[marital_status]]="Together"), "Partnered", "Single")</f>
        <v>Partnered</v>
      </c>
      <c r="F1213" s="7">
        <v>65748</v>
      </c>
      <c r="G1213" s="8">
        <v>0</v>
      </c>
      <c r="H1213" s="8">
        <v>1</v>
      </c>
      <c r="I1213" s="8">
        <f>Table1[[#This Row],[kids]]+Table1[[#This Row],[teens]]</f>
        <v>1</v>
      </c>
      <c r="J1213" s="9">
        <v>41379</v>
      </c>
      <c r="K1213" s="8">
        <v>58</v>
      </c>
      <c r="L1213" s="6">
        <v>172</v>
      </c>
      <c r="M1213" s="5">
        <v>73</v>
      </c>
      <c r="N1213" s="5">
        <v>93</v>
      </c>
      <c r="O1213" s="5">
        <v>95</v>
      </c>
      <c r="P1213" s="5">
        <v>78</v>
      </c>
      <c r="Q1213" s="5">
        <v>34</v>
      </c>
      <c r="R1213" s="8">
        <v>2</v>
      </c>
      <c r="S1213" s="8">
        <v>2</v>
      </c>
      <c r="T1213" s="8">
        <v>4</v>
      </c>
      <c r="U1213" s="8">
        <v>10</v>
      </c>
      <c r="V1213" s="8">
        <v>1</v>
      </c>
      <c r="W1213" t="s">
        <v>473</v>
      </c>
      <c r="X1213" t="s">
        <v>473</v>
      </c>
      <c r="Y1213" t="s">
        <v>473</v>
      </c>
      <c r="Z1213" t="s">
        <v>473</v>
      </c>
      <c r="AA1213" t="s">
        <v>473</v>
      </c>
      <c r="AB1213" t="s">
        <v>474</v>
      </c>
      <c r="AC1213" s="10">
        <v>3</v>
      </c>
      <c r="AD1213" s="10">
        <v>11</v>
      </c>
      <c r="AE1213" t="s">
        <v>473</v>
      </c>
    </row>
    <row r="1214" spans="1:31" x14ac:dyDescent="0.25">
      <c r="A1214">
        <v>2324</v>
      </c>
      <c r="B1214">
        <v>1972</v>
      </c>
      <c r="C1214" t="s">
        <v>466</v>
      </c>
      <c r="D1214" t="s">
        <v>31</v>
      </c>
      <c r="E1214" t="str">
        <f>IF(OR(Table1[[#This Row],[marital_status]]="Married", Table1[[#This Row],[marital_status]]="Together"), "Partnered", "Single")</f>
        <v>Partnered</v>
      </c>
      <c r="F1214" s="7">
        <v>77044</v>
      </c>
      <c r="G1214" s="8">
        <v>0</v>
      </c>
      <c r="H1214" s="8">
        <v>1</v>
      </c>
      <c r="I1214" s="8">
        <f>Table1[[#This Row],[kids]]+Table1[[#This Row],[teens]]</f>
        <v>1</v>
      </c>
      <c r="J1214" s="9">
        <v>41574</v>
      </c>
      <c r="K1214" s="8">
        <v>12</v>
      </c>
      <c r="L1214" s="6">
        <v>625</v>
      </c>
      <c r="M1214" s="5">
        <v>38</v>
      </c>
      <c r="N1214" s="5">
        <v>242</v>
      </c>
      <c r="O1214" s="5">
        <v>50</v>
      </c>
      <c r="P1214" s="5">
        <v>34</v>
      </c>
      <c r="Q1214" s="5">
        <v>76</v>
      </c>
      <c r="R1214" s="8">
        <v>2</v>
      </c>
      <c r="S1214" s="8">
        <v>7</v>
      </c>
      <c r="T1214" s="8">
        <v>11</v>
      </c>
      <c r="U1214" s="8">
        <v>11</v>
      </c>
      <c r="V1214" s="8">
        <v>4</v>
      </c>
      <c r="W1214" t="s">
        <v>474</v>
      </c>
      <c r="X1214" t="s">
        <v>473</v>
      </c>
      <c r="Y1214" t="s">
        <v>473</v>
      </c>
      <c r="Z1214" t="s">
        <v>473</v>
      </c>
      <c r="AA1214" t="s">
        <v>473</v>
      </c>
      <c r="AB1214" t="s">
        <v>473</v>
      </c>
      <c r="AC1214" s="10">
        <v>3</v>
      </c>
      <c r="AD1214" s="10">
        <v>11</v>
      </c>
      <c r="AE1214" t="s">
        <v>473</v>
      </c>
    </row>
    <row r="1215" spans="1:31" x14ac:dyDescent="0.25">
      <c r="A1215">
        <v>697</v>
      </c>
      <c r="B1215">
        <v>1969</v>
      </c>
      <c r="C1215" t="s">
        <v>466</v>
      </c>
      <c r="D1215" t="s">
        <v>31</v>
      </c>
      <c r="E1215" t="str">
        <f>IF(OR(Table1[[#This Row],[marital_status]]="Married", Table1[[#This Row],[marital_status]]="Together"), "Partnered", "Single")</f>
        <v>Partnered</v>
      </c>
      <c r="F1215" s="7">
        <v>74918</v>
      </c>
      <c r="G1215" s="8">
        <v>0</v>
      </c>
      <c r="H1215" s="8">
        <v>0</v>
      </c>
      <c r="I1215" s="8">
        <f>Table1[[#This Row],[kids]]+Table1[[#This Row],[teens]]</f>
        <v>0</v>
      </c>
      <c r="J1215" s="9">
        <v>41345</v>
      </c>
      <c r="K1215" s="8">
        <v>78</v>
      </c>
      <c r="L1215" s="6">
        <v>972</v>
      </c>
      <c r="M1215" s="5">
        <v>59</v>
      </c>
      <c r="N1215" s="5">
        <v>913</v>
      </c>
      <c r="O1215" s="5">
        <v>25</v>
      </c>
      <c r="P1215" s="5">
        <v>19</v>
      </c>
      <c r="Q1215" s="5">
        <v>59</v>
      </c>
      <c r="R1215" s="8">
        <v>1</v>
      </c>
      <c r="S1215" s="8">
        <v>5</v>
      </c>
      <c r="T1215" s="8">
        <v>9</v>
      </c>
      <c r="U1215" s="8">
        <v>6</v>
      </c>
      <c r="V1215" s="8">
        <v>3</v>
      </c>
      <c r="W1215" t="s">
        <v>473</v>
      </c>
      <c r="X1215" t="s">
        <v>473</v>
      </c>
      <c r="Y1215" t="s">
        <v>474</v>
      </c>
      <c r="Z1215" t="s">
        <v>473</v>
      </c>
      <c r="AA1215" t="s">
        <v>473</v>
      </c>
      <c r="AB1215" t="s">
        <v>473</v>
      </c>
      <c r="AC1215" s="10">
        <v>3</v>
      </c>
      <c r="AD1215" s="10">
        <v>11</v>
      </c>
      <c r="AE1215" t="s">
        <v>473</v>
      </c>
    </row>
    <row r="1216" spans="1:31" x14ac:dyDescent="0.25">
      <c r="A1216">
        <v>3439</v>
      </c>
      <c r="B1216">
        <v>1972</v>
      </c>
      <c r="C1216" t="s">
        <v>466</v>
      </c>
      <c r="D1216" t="s">
        <v>34</v>
      </c>
      <c r="E1216" t="str">
        <f>IF(OR(Table1[[#This Row],[marital_status]]="Married", Table1[[#This Row],[marital_status]]="Together"), "Partnered", "Single")</f>
        <v>Partnered</v>
      </c>
      <c r="F1216" s="7">
        <v>56721</v>
      </c>
      <c r="G1216" s="8">
        <v>1</v>
      </c>
      <c r="H1216" s="8">
        <v>1</v>
      </c>
      <c r="I1216" s="8">
        <f>Table1[[#This Row],[kids]]+Table1[[#This Row],[teens]]</f>
        <v>2</v>
      </c>
      <c r="J1216" s="9">
        <v>41213</v>
      </c>
      <c r="K1216" s="8">
        <v>64</v>
      </c>
      <c r="L1216" s="6">
        <v>157</v>
      </c>
      <c r="M1216" s="5">
        <v>6</v>
      </c>
      <c r="N1216" s="5">
        <v>39</v>
      </c>
      <c r="O1216" s="5">
        <v>6</v>
      </c>
      <c r="P1216" s="5">
        <v>13</v>
      </c>
      <c r="Q1216" s="5">
        <v>75</v>
      </c>
      <c r="R1216" s="8">
        <v>5</v>
      </c>
      <c r="S1216" s="8">
        <v>4</v>
      </c>
      <c r="T1216" s="8">
        <v>1</v>
      </c>
      <c r="U1216" s="8">
        <v>5</v>
      </c>
      <c r="V1216" s="8">
        <v>6</v>
      </c>
      <c r="W1216" t="s">
        <v>473</v>
      </c>
      <c r="X1216" t="s">
        <v>473</v>
      </c>
      <c r="Y1216" t="s">
        <v>473</v>
      </c>
      <c r="Z1216" t="s">
        <v>473</v>
      </c>
      <c r="AA1216" t="s">
        <v>473</v>
      </c>
      <c r="AB1216" t="s">
        <v>473</v>
      </c>
      <c r="AC1216" s="10">
        <v>3</v>
      </c>
      <c r="AD1216" s="10">
        <v>11</v>
      </c>
      <c r="AE1216" t="s">
        <v>473</v>
      </c>
    </row>
    <row r="1217" spans="1:31" x14ac:dyDescent="0.25">
      <c r="A1217">
        <v>1506</v>
      </c>
      <c r="B1217">
        <v>1975</v>
      </c>
      <c r="C1217" t="s">
        <v>466</v>
      </c>
      <c r="D1217" t="s">
        <v>30</v>
      </c>
      <c r="E1217" t="str">
        <f>IF(OR(Table1[[#This Row],[marital_status]]="Married", Table1[[#This Row],[marital_status]]="Together"), "Partnered", "Single")</f>
        <v>Single</v>
      </c>
      <c r="F1217" s="7">
        <v>42160</v>
      </c>
      <c r="G1217" s="8">
        <v>1</v>
      </c>
      <c r="H1217" s="8">
        <v>1</v>
      </c>
      <c r="I1217" s="8">
        <f>Table1[[#This Row],[kids]]+Table1[[#This Row],[teens]]</f>
        <v>2</v>
      </c>
      <c r="J1217" s="9">
        <v>41453</v>
      </c>
      <c r="K1217" s="8">
        <v>26</v>
      </c>
      <c r="L1217" s="6">
        <v>48</v>
      </c>
      <c r="M1217" s="5">
        <v>9</v>
      </c>
      <c r="N1217" s="5">
        <v>45</v>
      </c>
      <c r="O1217" s="5">
        <v>3</v>
      </c>
      <c r="P1217" s="5">
        <v>15</v>
      </c>
      <c r="Q1217" s="5">
        <v>20</v>
      </c>
      <c r="R1217" s="8">
        <v>4</v>
      </c>
      <c r="S1217" s="8">
        <v>2</v>
      </c>
      <c r="T1217" s="8">
        <v>1</v>
      </c>
      <c r="U1217" s="8">
        <v>4</v>
      </c>
      <c r="V1217" s="8">
        <v>6</v>
      </c>
      <c r="W1217" t="s">
        <v>473</v>
      </c>
      <c r="X1217" t="s">
        <v>473</v>
      </c>
      <c r="Y1217" t="s">
        <v>473</v>
      </c>
      <c r="Z1217" t="s">
        <v>473</v>
      </c>
      <c r="AA1217" t="s">
        <v>473</v>
      </c>
      <c r="AB1217" t="s">
        <v>473</v>
      </c>
      <c r="AC1217" s="10">
        <v>3</v>
      </c>
      <c r="AD1217" s="10">
        <v>11</v>
      </c>
      <c r="AE1217" t="s">
        <v>474</v>
      </c>
    </row>
    <row r="1218" spans="1:31" x14ac:dyDescent="0.25">
      <c r="A1218">
        <v>232</v>
      </c>
      <c r="B1218">
        <v>1965</v>
      </c>
      <c r="C1218" t="s">
        <v>466</v>
      </c>
      <c r="D1218" t="s">
        <v>30</v>
      </c>
      <c r="E1218" t="str">
        <f>IF(OR(Table1[[#This Row],[marital_status]]="Married", Table1[[#This Row],[marital_status]]="Together"), "Partnered", "Single")</f>
        <v>Single</v>
      </c>
      <c r="F1218" s="7">
        <v>61559</v>
      </c>
      <c r="G1218" s="8">
        <v>0</v>
      </c>
      <c r="H1218" s="8">
        <v>1</v>
      </c>
      <c r="I1218" s="8">
        <f>Table1[[#This Row],[kids]]+Table1[[#This Row],[teens]]</f>
        <v>1</v>
      </c>
      <c r="J1218" s="9">
        <v>41472</v>
      </c>
      <c r="K1218" s="8">
        <v>8</v>
      </c>
      <c r="L1218" s="6">
        <v>279</v>
      </c>
      <c r="M1218" s="5">
        <v>83</v>
      </c>
      <c r="N1218" s="5">
        <v>88</v>
      </c>
      <c r="O1218" s="5">
        <v>32</v>
      </c>
      <c r="P1218" s="5">
        <v>14</v>
      </c>
      <c r="Q1218" s="5">
        <v>34</v>
      </c>
      <c r="R1218" s="8">
        <v>1</v>
      </c>
      <c r="S1218" s="8">
        <v>4</v>
      </c>
      <c r="T1218" s="8">
        <v>2</v>
      </c>
      <c r="U1218" s="8">
        <v>10</v>
      </c>
      <c r="V1218" s="8">
        <v>3</v>
      </c>
      <c r="W1218" t="s">
        <v>473</v>
      </c>
      <c r="X1218" t="s">
        <v>473</v>
      </c>
      <c r="Y1218" t="s">
        <v>473</v>
      </c>
      <c r="Z1218" t="s">
        <v>473</v>
      </c>
      <c r="AA1218" t="s">
        <v>473</v>
      </c>
      <c r="AB1218" t="s">
        <v>473</v>
      </c>
      <c r="AC1218" s="10">
        <v>3</v>
      </c>
      <c r="AD1218" s="10">
        <v>11</v>
      </c>
      <c r="AE1218" t="s">
        <v>473</v>
      </c>
    </row>
    <row r="1219" spans="1:31" x14ac:dyDescent="0.25">
      <c r="A1219">
        <v>8876</v>
      </c>
      <c r="B1219">
        <v>1963</v>
      </c>
      <c r="C1219" t="s">
        <v>33</v>
      </c>
      <c r="D1219" t="s">
        <v>31</v>
      </c>
      <c r="E1219" t="str">
        <f>IF(OR(Table1[[#This Row],[marital_status]]="Married", Table1[[#This Row],[marital_status]]="Together"), "Partnered", "Single")</f>
        <v>Partnered</v>
      </c>
      <c r="F1219" s="7">
        <v>33629</v>
      </c>
      <c r="G1219" s="8">
        <v>1</v>
      </c>
      <c r="H1219" s="8">
        <v>1</v>
      </c>
      <c r="I1219" s="8">
        <f>Table1[[#This Row],[kids]]+Table1[[#This Row],[teens]]</f>
        <v>2</v>
      </c>
      <c r="J1219" s="9">
        <v>41129</v>
      </c>
      <c r="K1219" s="8">
        <v>49</v>
      </c>
      <c r="L1219" s="6">
        <v>132</v>
      </c>
      <c r="M1219" s="5">
        <v>0</v>
      </c>
      <c r="N1219" s="5">
        <v>16</v>
      </c>
      <c r="O1219" s="5">
        <v>0</v>
      </c>
      <c r="P1219" s="5">
        <v>0</v>
      </c>
      <c r="Q1219" s="5">
        <v>4</v>
      </c>
      <c r="R1219" s="8">
        <v>5</v>
      </c>
      <c r="S1219" s="8">
        <v>3</v>
      </c>
      <c r="T1219" s="8">
        <v>1</v>
      </c>
      <c r="U1219" s="8">
        <v>4</v>
      </c>
      <c r="V1219" s="8">
        <v>9</v>
      </c>
      <c r="W1219" t="s">
        <v>473</v>
      </c>
      <c r="X1219" t="s">
        <v>473</v>
      </c>
      <c r="Y1219" t="s">
        <v>473</v>
      </c>
      <c r="Z1219" t="s">
        <v>473</v>
      </c>
      <c r="AA1219" t="s">
        <v>473</v>
      </c>
      <c r="AB1219" t="s">
        <v>473</v>
      </c>
      <c r="AC1219" s="10">
        <v>3</v>
      </c>
      <c r="AD1219" s="10">
        <v>11</v>
      </c>
      <c r="AE1219" t="s">
        <v>473</v>
      </c>
    </row>
    <row r="1220" spans="1:31" x14ac:dyDescent="0.25">
      <c r="A1220">
        <v>4500</v>
      </c>
      <c r="B1220">
        <v>1991</v>
      </c>
      <c r="C1220" t="s">
        <v>33</v>
      </c>
      <c r="D1220" t="s">
        <v>31</v>
      </c>
      <c r="E1220" t="str">
        <f>IF(OR(Table1[[#This Row],[marital_status]]="Married", Table1[[#This Row],[marital_status]]="Together"), "Partnered", "Single")</f>
        <v>Partnered</v>
      </c>
      <c r="F1220" s="7">
        <v>68682</v>
      </c>
      <c r="G1220" s="8">
        <v>0</v>
      </c>
      <c r="H1220" s="8">
        <v>0</v>
      </c>
      <c r="I1220" s="8">
        <f>Table1[[#This Row],[kids]]+Table1[[#This Row],[teens]]</f>
        <v>0</v>
      </c>
      <c r="J1220" s="9">
        <v>41553</v>
      </c>
      <c r="K1220" s="8">
        <v>56</v>
      </c>
      <c r="L1220" s="6">
        <v>919</v>
      </c>
      <c r="M1220" s="5">
        <v>0</v>
      </c>
      <c r="N1220" s="5">
        <v>505</v>
      </c>
      <c r="O1220" s="5">
        <v>99</v>
      </c>
      <c r="P1220" s="5">
        <v>30</v>
      </c>
      <c r="Q1220" s="5">
        <v>45</v>
      </c>
      <c r="R1220" s="8">
        <v>1</v>
      </c>
      <c r="S1220" s="8">
        <v>4</v>
      </c>
      <c r="T1220" s="8">
        <v>9</v>
      </c>
      <c r="U1220" s="8">
        <v>10</v>
      </c>
      <c r="V1220" s="8">
        <v>2</v>
      </c>
      <c r="W1220" t="s">
        <v>473</v>
      </c>
      <c r="X1220" t="s">
        <v>473</v>
      </c>
      <c r="Y1220" t="s">
        <v>473</v>
      </c>
      <c r="Z1220" t="s">
        <v>473</v>
      </c>
      <c r="AA1220" t="s">
        <v>473</v>
      </c>
      <c r="AB1220" t="s">
        <v>473</v>
      </c>
      <c r="AC1220" s="10">
        <v>3</v>
      </c>
      <c r="AD1220" s="10">
        <v>11</v>
      </c>
      <c r="AE1220" t="s">
        <v>473</v>
      </c>
    </row>
    <row r="1221" spans="1:31" x14ac:dyDescent="0.25">
      <c r="A1221">
        <v>9739</v>
      </c>
      <c r="B1221">
        <v>1963</v>
      </c>
      <c r="C1221" t="s">
        <v>466</v>
      </c>
      <c r="D1221" t="s">
        <v>30</v>
      </c>
      <c r="E1221" t="str">
        <f>IF(OR(Table1[[#This Row],[marital_status]]="Married", Table1[[#This Row],[marital_status]]="Together"), "Partnered", "Single")</f>
        <v>Single</v>
      </c>
      <c r="F1221" s="7">
        <v>34377</v>
      </c>
      <c r="G1221" s="8">
        <v>0</v>
      </c>
      <c r="H1221" s="8">
        <v>1</v>
      </c>
      <c r="I1221" s="8">
        <f>Table1[[#This Row],[kids]]+Table1[[#This Row],[teens]]</f>
        <v>1</v>
      </c>
      <c r="J1221" s="9">
        <v>41293</v>
      </c>
      <c r="K1221" s="8">
        <v>55</v>
      </c>
      <c r="L1221" s="6">
        <v>62</v>
      </c>
      <c r="M1221" s="5">
        <v>0</v>
      </c>
      <c r="N1221" s="5">
        <v>22</v>
      </c>
      <c r="O1221" s="5">
        <v>3</v>
      </c>
      <c r="P1221" s="5">
        <v>1</v>
      </c>
      <c r="Q1221" s="5">
        <v>26</v>
      </c>
      <c r="R1221" s="8">
        <v>2</v>
      </c>
      <c r="S1221" s="8">
        <v>2</v>
      </c>
      <c r="T1221" s="8">
        <v>2</v>
      </c>
      <c r="U1221" s="8">
        <v>2</v>
      </c>
      <c r="V1221" s="8">
        <v>7</v>
      </c>
      <c r="W1221" t="s">
        <v>473</v>
      </c>
      <c r="X1221" t="s">
        <v>473</v>
      </c>
      <c r="Y1221" t="s">
        <v>473</v>
      </c>
      <c r="Z1221" t="s">
        <v>473</v>
      </c>
      <c r="AA1221" t="s">
        <v>473</v>
      </c>
      <c r="AB1221" t="s">
        <v>473</v>
      </c>
      <c r="AC1221" s="10">
        <v>3</v>
      </c>
      <c r="AD1221" s="10">
        <v>11</v>
      </c>
      <c r="AE1221" t="s">
        <v>473</v>
      </c>
    </row>
    <row r="1222" spans="1:31" x14ac:dyDescent="0.25">
      <c r="A1222">
        <v>10395</v>
      </c>
      <c r="B1222">
        <v>1986</v>
      </c>
      <c r="C1222" t="s">
        <v>41</v>
      </c>
      <c r="D1222" t="s">
        <v>30</v>
      </c>
      <c r="E1222" t="str">
        <f>IF(OR(Table1[[#This Row],[marital_status]]="Married", Table1[[#This Row],[marital_status]]="Together"), "Partnered", "Single")</f>
        <v>Single</v>
      </c>
      <c r="F1222" s="7">
        <v>8940</v>
      </c>
      <c r="G1222" s="8">
        <v>1</v>
      </c>
      <c r="H1222" s="8">
        <v>0</v>
      </c>
      <c r="I1222" s="8">
        <f>Table1[[#This Row],[kids]]+Table1[[#This Row],[teens]]</f>
        <v>1</v>
      </c>
      <c r="J1222" s="9">
        <v>41143</v>
      </c>
      <c r="K1222" s="8">
        <v>25</v>
      </c>
      <c r="L1222" s="6">
        <v>1</v>
      </c>
      <c r="M1222" s="5">
        <v>45</v>
      </c>
      <c r="N1222" s="5">
        <v>3</v>
      </c>
      <c r="O1222" s="5">
        <v>4</v>
      </c>
      <c r="P1222" s="5">
        <v>6</v>
      </c>
      <c r="Q1222" s="5">
        <v>42</v>
      </c>
      <c r="R1222" s="8">
        <v>3</v>
      </c>
      <c r="S1222" s="8">
        <v>3</v>
      </c>
      <c r="T1222" s="8">
        <v>1</v>
      </c>
      <c r="U1222" s="8">
        <v>3</v>
      </c>
      <c r="V1222" s="8">
        <v>8</v>
      </c>
      <c r="W1222" t="s">
        <v>473</v>
      </c>
      <c r="X1222" t="s">
        <v>473</v>
      </c>
      <c r="Y1222" t="s">
        <v>473</v>
      </c>
      <c r="Z1222" t="s">
        <v>473</v>
      </c>
      <c r="AA1222" t="s">
        <v>473</v>
      </c>
      <c r="AB1222" t="s">
        <v>473</v>
      </c>
      <c r="AC1222" s="10">
        <v>3</v>
      </c>
      <c r="AD1222" s="10">
        <v>11</v>
      </c>
      <c r="AE1222" t="s">
        <v>473</v>
      </c>
    </row>
    <row r="1223" spans="1:31" x14ac:dyDescent="0.25">
      <c r="A1223">
        <v>1176</v>
      </c>
      <c r="B1223">
        <v>1973</v>
      </c>
      <c r="C1223" t="s">
        <v>466</v>
      </c>
      <c r="D1223" t="s">
        <v>34</v>
      </c>
      <c r="E1223" t="str">
        <f>IF(OR(Table1[[#This Row],[marital_status]]="Married", Table1[[#This Row],[marital_status]]="Together"), "Partnered", "Single")</f>
        <v>Partnered</v>
      </c>
      <c r="F1223" s="7">
        <v>26228</v>
      </c>
      <c r="G1223" s="8">
        <v>1</v>
      </c>
      <c r="H1223" s="8">
        <v>0</v>
      </c>
      <c r="I1223" s="8">
        <f>Table1[[#This Row],[kids]]+Table1[[#This Row],[teens]]</f>
        <v>1</v>
      </c>
      <c r="J1223" s="9">
        <v>41539</v>
      </c>
      <c r="K1223" s="8">
        <v>50</v>
      </c>
      <c r="L1223" s="6">
        <v>2</v>
      </c>
      <c r="M1223" s="5">
        <v>6</v>
      </c>
      <c r="N1223" s="5">
        <v>4</v>
      </c>
      <c r="O1223" s="5">
        <v>3</v>
      </c>
      <c r="P1223" s="5">
        <v>1</v>
      </c>
      <c r="Q1223" s="5">
        <v>9</v>
      </c>
      <c r="R1223" s="8">
        <v>1</v>
      </c>
      <c r="S1223" s="8">
        <v>1</v>
      </c>
      <c r="T1223" s="8">
        <v>0</v>
      </c>
      <c r="U1223" s="8">
        <v>2</v>
      </c>
      <c r="V1223" s="8">
        <v>8</v>
      </c>
      <c r="W1223" t="s">
        <v>473</v>
      </c>
      <c r="X1223" t="s">
        <v>473</v>
      </c>
      <c r="Y1223" t="s">
        <v>473</v>
      </c>
      <c r="Z1223" t="s">
        <v>473</v>
      </c>
      <c r="AA1223" t="s">
        <v>473</v>
      </c>
      <c r="AB1223" t="s">
        <v>473</v>
      </c>
      <c r="AC1223" s="10">
        <v>3</v>
      </c>
      <c r="AD1223" s="10">
        <v>11</v>
      </c>
      <c r="AE1223" t="s">
        <v>473</v>
      </c>
    </row>
    <row r="1224" spans="1:31" x14ac:dyDescent="0.25">
      <c r="A1224">
        <v>1627</v>
      </c>
      <c r="B1224">
        <v>1957</v>
      </c>
      <c r="C1224" t="s">
        <v>46</v>
      </c>
      <c r="D1224" t="s">
        <v>37</v>
      </c>
      <c r="E1224" t="str">
        <f>IF(OR(Table1[[#This Row],[marital_status]]="Married", Table1[[#This Row],[marital_status]]="Together"), "Partnered", "Single")</f>
        <v>Single</v>
      </c>
      <c r="F1224" s="7">
        <v>77297</v>
      </c>
      <c r="G1224" s="8">
        <v>0</v>
      </c>
      <c r="H1224" s="8">
        <v>0</v>
      </c>
      <c r="I1224" s="8">
        <f>Table1[[#This Row],[kids]]+Table1[[#This Row],[teens]]</f>
        <v>0</v>
      </c>
      <c r="J1224" s="9">
        <v>41300</v>
      </c>
      <c r="K1224" s="8">
        <v>84</v>
      </c>
      <c r="L1224" s="6">
        <v>408</v>
      </c>
      <c r="M1224" s="5">
        <v>61</v>
      </c>
      <c r="N1224" s="5">
        <v>109</v>
      </c>
      <c r="O1224" s="5">
        <v>48</v>
      </c>
      <c r="P1224" s="5">
        <v>122</v>
      </c>
      <c r="Q1224" s="5">
        <v>41</v>
      </c>
      <c r="R1224" s="8">
        <v>1</v>
      </c>
      <c r="S1224" s="8">
        <v>5</v>
      </c>
      <c r="T1224" s="8">
        <v>7</v>
      </c>
      <c r="U1224" s="8">
        <v>9</v>
      </c>
      <c r="V1224" s="8">
        <v>4</v>
      </c>
      <c r="W1224" t="s">
        <v>473</v>
      </c>
      <c r="X1224" t="s">
        <v>473</v>
      </c>
      <c r="Y1224" t="s">
        <v>473</v>
      </c>
      <c r="Z1224" t="s">
        <v>474</v>
      </c>
      <c r="AA1224" t="s">
        <v>473</v>
      </c>
      <c r="AB1224" t="s">
        <v>473</v>
      </c>
      <c r="AC1224" s="10">
        <v>3</v>
      </c>
      <c r="AD1224" s="10">
        <v>11</v>
      </c>
      <c r="AE1224" t="s">
        <v>473</v>
      </c>
    </row>
    <row r="1225" spans="1:31" x14ac:dyDescent="0.25">
      <c r="A1225">
        <v>938</v>
      </c>
      <c r="B1225">
        <v>1981</v>
      </c>
      <c r="C1225" t="s">
        <v>466</v>
      </c>
      <c r="D1225" t="s">
        <v>34</v>
      </c>
      <c r="E1225" t="str">
        <f>IF(OR(Table1[[#This Row],[marital_status]]="Married", Table1[[#This Row],[marital_status]]="Together"), "Partnered", "Single")</f>
        <v>Partnered</v>
      </c>
      <c r="F1225" s="7">
        <v>40211</v>
      </c>
      <c r="G1225" s="8">
        <v>1</v>
      </c>
      <c r="H1225" s="8">
        <v>1</v>
      </c>
      <c r="I1225" s="8">
        <f>Table1[[#This Row],[kids]]+Table1[[#This Row],[teens]]</f>
        <v>2</v>
      </c>
      <c r="J1225" s="9">
        <v>41485</v>
      </c>
      <c r="K1225" s="8">
        <v>30</v>
      </c>
      <c r="L1225" s="6">
        <v>51</v>
      </c>
      <c r="M1225" s="5">
        <v>1</v>
      </c>
      <c r="N1225" s="5">
        <v>7</v>
      </c>
      <c r="O1225" s="5">
        <v>2</v>
      </c>
      <c r="P1225" s="5">
        <v>1</v>
      </c>
      <c r="Q1225" s="5">
        <v>25</v>
      </c>
      <c r="R1225" s="8">
        <v>2</v>
      </c>
      <c r="S1225" s="8">
        <v>2</v>
      </c>
      <c r="T1225" s="8">
        <v>1</v>
      </c>
      <c r="U1225" s="8">
        <v>2</v>
      </c>
      <c r="V1225" s="8">
        <v>8</v>
      </c>
      <c r="W1225" t="s">
        <v>474</v>
      </c>
      <c r="X1225" t="s">
        <v>473</v>
      </c>
      <c r="Y1225" t="s">
        <v>473</v>
      </c>
      <c r="Z1225" t="s">
        <v>473</v>
      </c>
      <c r="AA1225" t="s">
        <v>473</v>
      </c>
      <c r="AB1225" t="s">
        <v>473</v>
      </c>
      <c r="AC1225" s="10">
        <v>3</v>
      </c>
      <c r="AD1225" s="10">
        <v>11</v>
      </c>
      <c r="AE1225" t="s">
        <v>473</v>
      </c>
    </row>
    <row r="1226" spans="1:31" x14ac:dyDescent="0.25">
      <c r="A1226">
        <v>2740</v>
      </c>
      <c r="B1226">
        <v>1958</v>
      </c>
      <c r="C1226" t="s">
        <v>33</v>
      </c>
      <c r="D1226" t="s">
        <v>57</v>
      </c>
      <c r="E1226" t="str">
        <f>IF(OR(Table1[[#This Row],[marital_status]]="Married", Table1[[#This Row],[marital_status]]="Together"), "Partnered", "Single")</f>
        <v>Single</v>
      </c>
      <c r="F1226" s="7">
        <v>33438</v>
      </c>
      <c r="G1226" s="8">
        <v>1</v>
      </c>
      <c r="H1226" s="8">
        <v>1</v>
      </c>
      <c r="I1226" s="8">
        <f>Table1[[#This Row],[kids]]+Table1[[#This Row],[teens]]</f>
        <v>2</v>
      </c>
      <c r="J1226" s="9">
        <v>41539</v>
      </c>
      <c r="K1226" s="8">
        <v>81</v>
      </c>
      <c r="L1226" s="6">
        <v>62</v>
      </c>
      <c r="M1226" s="5">
        <v>1</v>
      </c>
      <c r="N1226" s="5">
        <v>16</v>
      </c>
      <c r="O1226" s="5">
        <v>3</v>
      </c>
      <c r="P1226" s="5">
        <v>2</v>
      </c>
      <c r="Q1226" s="5">
        <v>6</v>
      </c>
      <c r="R1226" s="8">
        <v>4</v>
      </c>
      <c r="S1226" s="8">
        <v>2</v>
      </c>
      <c r="T1226" s="8">
        <v>1</v>
      </c>
      <c r="U1226" s="8">
        <v>4</v>
      </c>
      <c r="V1226" s="8">
        <v>5</v>
      </c>
      <c r="W1226" t="s">
        <v>473</v>
      </c>
      <c r="X1226" t="s">
        <v>473</v>
      </c>
      <c r="Y1226" t="s">
        <v>473</v>
      </c>
      <c r="Z1226" t="s">
        <v>473</v>
      </c>
      <c r="AA1226" t="s">
        <v>473</v>
      </c>
      <c r="AB1226" t="s">
        <v>473</v>
      </c>
      <c r="AC1226" s="10">
        <v>3</v>
      </c>
      <c r="AD1226" s="10">
        <v>11</v>
      </c>
      <c r="AE1226" t="s">
        <v>473</v>
      </c>
    </row>
    <row r="1227" spans="1:31" x14ac:dyDescent="0.25">
      <c r="A1227">
        <v>257</v>
      </c>
      <c r="B1227">
        <v>1959</v>
      </c>
      <c r="C1227" t="s">
        <v>33</v>
      </c>
      <c r="D1227" t="s">
        <v>34</v>
      </c>
      <c r="E1227" t="str">
        <f>IF(OR(Table1[[#This Row],[marital_status]]="Married", Table1[[#This Row],[marital_status]]="Together"), "Partnered", "Single")</f>
        <v>Partnered</v>
      </c>
      <c r="F1227" s="7">
        <v>75032</v>
      </c>
      <c r="G1227" s="8">
        <v>0</v>
      </c>
      <c r="H1227" s="8">
        <v>1</v>
      </c>
      <c r="I1227" s="8">
        <f>Table1[[#This Row],[kids]]+Table1[[#This Row],[teens]]</f>
        <v>1</v>
      </c>
      <c r="J1227" s="9">
        <v>41392</v>
      </c>
      <c r="K1227" s="8">
        <v>74</v>
      </c>
      <c r="L1227" s="6">
        <v>952</v>
      </c>
      <c r="M1227" s="5">
        <v>12</v>
      </c>
      <c r="N1227" s="5">
        <v>180</v>
      </c>
      <c r="O1227" s="5">
        <v>47</v>
      </c>
      <c r="P1227" s="5">
        <v>12</v>
      </c>
      <c r="Q1227" s="5">
        <v>12</v>
      </c>
      <c r="R1227" s="8">
        <v>2</v>
      </c>
      <c r="S1227" s="8">
        <v>5</v>
      </c>
      <c r="T1227" s="8">
        <v>4</v>
      </c>
      <c r="U1227" s="8">
        <v>9</v>
      </c>
      <c r="V1227" s="8">
        <v>3</v>
      </c>
      <c r="W1227" t="s">
        <v>473</v>
      </c>
      <c r="X1227" t="s">
        <v>473</v>
      </c>
      <c r="Y1227" t="s">
        <v>473</v>
      </c>
      <c r="Z1227" t="s">
        <v>473</v>
      </c>
      <c r="AA1227" t="s">
        <v>473</v>
      </c>
      <c r="AB1227" t="s">
        <v>473</v>
      </c>
      <c r="AC1227" s="10">
        <v>3</v>
      </c>
      <c r="AD1227" s="10">
        <v>11</v>
      </c>
      <c r="AE1227" t="s">
        <v>473</v>
      </c>
    </row>
    <row r="1228" spans="1:31" x14ac:dyDescent="0.25">
      <c r="A1228">
        <v>4058</v>
      </c>
      <c r="B1228">
        <v>1955</v>
      </c>
      <c r="C1228" t="s">
        <v>33</v>
      </c>
      <c r="D1228" t="s">
        <v>30</v>
      </c>
      <c r="E1228" t="str">
        <f>IF(OR(Table1[[#This Row],[marital_status]]="Married", Table1[[#This Row],[marital_status]]="Together"), "Partnered", "Single")</f>
        <v>Single</v>
      </c>
      <c r="F1228" s="7">
        <v>61284</v>
      </c>
      <c r="G1228" s="8">
        <v>0</v>
      </c>
      <c r="H1228" s="8">
        <v>0</v>
      </c>
      <c r="I1228" s="8">
        <f>Table1[[#This Row],[kids]]+Table1[[#This Row],[teens]]</f>
        <v>0</v>
      </c>
      <c r="J1228" s="9">
        <v>41559</v>
      </c>
      <c r="K1228" s="8">
        <v>76</v>
      </c>
      <c r="L1228" s="6">
        <v>618</v>
      </c>
      <c r="M1228" s="5">
        <v>15</v>
      </c>
      <c r="N1228" s="5">
        <v>106</v>
      </c>
      <c r="O1228" s="5">
        <v>20</v>
      </c>
      <c r="P1228" s="5">
        <v>7</v>
      </c>
      <c r="Q1228" s="5">
        <v>45</v>
      </c>
      <c r="R1228" s="8">
        <v>1</v>
      </c>
      <c r="S1228" s="8">
        <v>11</v>
      </c>
      <c r="T1228" s="8">
        <v>2</v>
      </c>
      <c r="U1228" s="8">
        <v>8</v>
      </c>
      <c r="V1228" s="8">
        <v>6</v>
      </c>
      <c r="W1228" t="s">
        <v>473</v>
      </c>
      <c r="X1228" t="s">
        <v>474</v>
      </c>
      <c r="Y1228" t="s">
        <v>473</v>
      </c>
      <c r="Z1228" t="s">
        <v>473</v>
      </c>
      <c r="AA1228" t="s">
        <v>473</v>
      </c>
      <c r="AB1228" t="s">
        <v>473</v>
      </c>
      <c r="AC1228" s="10">
        <v>3</v>
      </c>
      <c r="AD1228" s="10">
        <v>11</v>
      </c>
      <c r="AE1228" t="s">
        <v>473</v>
      </c>
    </row>
    <row r="1229" spans="1:31" x14ac:dyDescent="0.25">
      <c r="A1229">
        <v>7736</v>
      </c>
      <c r="B1229">
        <v>1986</v>
      </c>
      <c r="C1229" t="s">
        <v>466</v>
      </c>
      <c r="D1229" t="s">
        <v>34</v>
      </c>
      <c r="E1229" t="str">
        <f>IF(OR(Table1[[#This Row],[marital_status]]="Married", Table1[[#This Row],[marital_status]]="Together"), "Partnered", "Single")</f>
        <v>Partnered</v>
      </c>
      <c r="F1229" s="7">
        <v>22518</v>
      </c>
      <c r="G1229" s="8">
        <v>1</v>
      </c>
      <c r="H1229" s="8">
        <v>0</v>
      </c>
      <c r="I1229" s="8">
        <f>Table1[[#This Row],[kids]]+Table1[[#This Row],[teens]]</f>
        <v>1</v>
      </c>
      <c r="J1229" s="9">
        <v>41204</v>
      </c>
      <c r="K1229" s="8">
        <v>36</v>
      </c>
      <c r="L1229" s="6">
        <v>11</v>
      </c>
      <c r="M1229" s="5">
        <v>7</v>
      </c>
      <c r="N1229" s="5">
        <v>12</v>
      </c>
      <c r="O1229" s="5">
        <v>2</v>
      </c>
      <c r="P1229" s="5">
        <v>2</v>
      </c>
      <c r="Q1229" s="5">
        <v>27</v>
      </c>
      <c r="R1229" s="8">
        <v>2</v>
      </c>
      <c r="S1229" s="8">
        <v>2</v>
      </c>
      <c r="T1229" s="8">
        <v>1</v>
      </c>
      <c r="U1229" s="8">
        <v>2</v>
      </c>
      <c r="V1229" s="8">
        <v>5</v>
      </c>
      <c r="W1229" t="s">
        <v>474</v>
      </c>
      <c r="X1229" t="s">
        <v>473</v>
      </c>
      <c r="Y1229" t="s">
        <v>473</v>
      </c>
      <c r="Z1229" t="s">
        <v>473</v>
      </c>
      <c r="AA1229" t="s">
        <v>473</v>
      </c>
      <c r="AB1229" t="s">
        <v>473</v>
      </c>
      <c r="AC1229" s="10">
        <v>3</v>
      </c>
      <c r="AD1229" s="10">
        <v>11</v>
      </c>
      <c r="AE1229" t="s">
        <v>474</v>
      </c>
    </row>
    <row r="1230" spans="1:31" x14ac:dyDescent="0.25">
      <c r="A1230">
        <v>8210</v>
      </c>
      <c r="B1230">
        <v>1975</v>
      </c>
      <c r="C1230" t="s">
        <v>36</v>
      </c>
      <c r="D1230" t="s">
        <v>34</v>
      </c>
      <c r="E1230" t="str">
        <f>IF(OR(Table1[[#This Row],[marital_status]]="Married", Table1[[#This Row],[marital_status]]="Together"), "Partnered", "Single")</f>
        <v>Partnered</v>
      </c>
      <c r="F1230" s="7">
        <v>54730</v>
      </c>
      <c r="G1230" s="8">
        <v>0</v>
      </c>
      <c r="H1230" s="8">
        <v>1</v>
      </c>
      <c r="I1230" s="8">
        <f>Table1[[#This Row],[kids]]+Table1[[#This Row],[teens]]</f>
        <v>1</v>
      </c>
      <c r="J1230" s="9">
        <v>41501</v>
      </c>
      <c r="K1230" s="8">
        <v>64</v>
      </c>
      <c r="L1230" s="6">
        <v>318</v>
      </c>
      <c r="M1230" s="5">
        <v>3</v>
      </c>
      <c r="N1230" s="5">
        <v>17</v>
      </c>
      <c r="O1230" s="5">
        <v>4</v>
      </c>
      <c r="P1230" s="5">
        <v>7</v>
      </c>
      <c r="Q1230" s="5">
        <v>56</v>
      </c>
      <c r="R1230" s="8">
        <v>5</v>
      </c>
      <c r="S1230" s="8">
        <v>4</v>
      </c>
      <c r="T1230" s="8">
        <v>1</v>
      </c>
      <c r="U1230" s="8">
        <v>8</v>
      </c>
      <c r="V1230" s="8">
        <v>4</v>
      </c>
      <c r="W1230" t="s">
        <v>473</v>
      </c>
      <c r="X1230" t="s">
        <v>473</v>
      </c>
      <c r="Y1230" t="s">
        <v>473</v>
      </c>
      <c r="Z1230" t="s">
        <v>473</v>
      </c>
      <c r="AA1230" t="s">
        <v>473</v>
      </c>
      <c r="AB1230" t="s">
        <v>473</v>
      </c>
      <c r="AC1230" s="10">
        <v>3</v>
      </c>
      <c r="AD1230" s="10">
        <v>11</v>
      </c>
      <c r="AE1230" t="s">
        <v>473</v>
      </c>
    </row>
    <row r="1231" spans="1:31" x14ac:dyDescent="0.25">
      <c r="A1231">
        <v>833</v>
      </c>
      <c r="B1231">
        <v>1955</v>
      </c>
      <c r="C1231" t="s">
        <v>36</v>
      </c>
      <c r="D1231" t="s">
        <v>34</v>
      </c>
      <c r="E1231" t="str">
        <f>IF(OR(Table1[[#This Row],[marital_status]]="Married", Table1[[#This Row],[marital_status]]="Together"), "Partnered", "Single")</f>
        <v>Partnered</v>
      </c>
      <c r="F1231" s="7">
        <v>38452</v>
      </c>
      <c r="G1231" s="8">
        <v>1</v>
      </c>
      <c r="H1231" s="8">
        <v>1</v>
      </c>
      <c r="I1231" s="8">
        <f>Table1[[#This Row],[kids]]+Table1[[#This Row],[teens]]</f>
        <v>2</v>
      </c>
      <c r="J1231" s="9">
        <v>41728</v>
      </c>
      <c r="K1231" s="8">
        <v>62</v>
      </c>
      <c r="L1231" s="6">
        <v>56</v>
      </c>
      <c r="M1231" s="5">
        <v>0</v>
      </c>
      <c r="N1231" s="5">
        <v>14</v>
      </c>
      <c r="O1231" s="5">
        <v>0</v>
      </c>
      <c r="P1231" s="5">
        <v>0</v>
      </c>
      <c r="Q1231" s="5">
        <v>2</v>
      </c>
      <c r="R1231" s="8">
        <v>3</v>
      </c>
      <c r="S1231" s="8">
        <v>3</v>
      </c>
      <c r="T1231" s="8">
        <v>0</v>
      </c>
      <c r="U1231" s="8">
        <v>3</v>
      </c>
      <c r="V1231" s="8">
        <v>7</v>
      </c>
      <c r="W1231" t="s">
        <v>473</v>
      </c>
      <c r="X1231" t="s">
        <v>473</v>
      </c>
      <c r="Y1231" t="s">
        <v>473</v>
      </c>
      <c r="Z1231" t="s">
        <v>473</v>
      </c>
      <c r="AA1231" t="s">
        <v>473</v>
      </c>
      <c r="AB1231" t="s">
        <v>473</v>
      </c>
      <c r="AC1231" s="10">
        <v>3</v>
      </c>
      <c r="AD1231" s="10">
        <v>11</v>
      </c>
      <c r="AE1231" t="s">
        <v>473</v>
      </c>
    </row>
    <row r="1232" spans="1:31" x14ac:dyDescent="0.25">
      <c r="A1232">
        <v>6230</v>
      </c>
      <c r="B1232">
        <v>1971</v>
      </c>
      <c r="C1232" t="s">
        <v>466</v>
      </c>
      <c r="D1232" t="s">
        <v>37</v>
      </c>
      <c r="E1232" t="str">
        <f>IF(OR(Table1[[#This Row],[marital_status]]="Married", Table1[[#This Row],[marital_status]]="Together"), "Partnered", "Single")</f>
        <v>Single</v>
      </c>
      <c r="F1232" s="7">
        <v>44421</v>
      </c>
      <c r="G1232" s="8">
        <v>1</v>
      </c>
      <c r="H1232" s="8">
        <v>1</v>
      </c>
      <c r="I1232" s="8">
        <f>Table1[[#This Row],[kids]]+Table1[[#This Row],[teens]]</f>
        <v>2</v>
      </c>
      <c r="J1232" s="9">
        <v>41320</v>
      </c>
      <c r="K1232" s="8">
        <v>53</v>
      </c>
      <c r="L1232" s="6">
        <v>110</v>
      </c>
      <c r="M1232" s="5">
        <v>5</v>
      </c>
      <c r="N1232" s="5">
        <v>59</v>
      </c>
      <c r="O1232" s="5">
        <v>7</v>
      </c>
      <c r="P1232" s="5">
        <v>1</v>
      </c>
      <c r="Q1232" s="5">
        <v>7</v>
      </c>
      <c r="R1232" s="8">
        <v>5</v>
      </c>
      <c r="S1232" s="8">
        <v>5</v>
      </c>
      <c r="T1232" s="8">
        <v>0</v>
      </c>
      <c r="U1232" s="8">
        <v>4</v>
      </c>
      <c r="V1232" s="8">
        <v>8</v>
      </c>
      <c r="W1232" t="s">
        <v>473</v>
      </c>
      <c r="X1232" t="s">
        <v>473</v>
      </c>
      <c r="Y1232" t="s">
        <v>473</v>
      </c>
      <c r="Z1232" t="s">
        <v>473</v>
      </c>
      <c r="AA1232" t="s">
        <v>473</v>
      </c>
      <c r="AB1232" t="s">
        <v>473</v>
      </c>
      <c r="AC1232" s="10">
        <v>3</v>
      </c>
      <c r="AD1232" s="10">
        <v>11</v>
      </c>
      <c r="AE1232" t="s">
        <v>473</v>
      </c>
    </row>
    <row r="1233" spans="1:31" x14ac:dyDescent="0.25">
      <c r="A1233">
        <v>7325</v>
      </c>
      <c r="B1233">
        <v>1986</v>
      </c>
      <c r="C1233" t="s">
        <v>33</v>
      </c>
      <c r="D1233" t="s">
        <v>31</v>
      </c>
      <c r="E1233" t="str">
        <f>IF(OR(Table1[[#This Row],[marital_status]]="Married", Table1[[#This Row],[marital_status]]="Together"), "Partnered", "Single")</f>
        <v>Partnered</v>
      </c>
      <c r="F1233" s="7">
        <v>38197</v>
      </c>
      <c r="G1233" s="8">
        <v>1</v>
      </c>
      <c r="H1233" s="8">
        <v>0</v>
      </c>
      <c r="I1233" s="8">
        <f>Table1[[#This Row],[kids]]+Table1[[#This Row],[teens]]</f>
        <v>1</v>
      </c>
      <c r="J1233" s="9">
        <v>41454</v>
      </c>
      <c r="K1233" s="8">
        <v>86</v>
      </c>
      <c r="L1233" s="6">
        <v>23</v>
      </c>
      <c r="M1233" s="5">
        <v>0</v>
      </c>
      <c r="N1233" s="5">
        <v>11</v>
      </c>
      <c r="O1233" s="5">
        <v>2</v>
      </c>
      <c r="P1233" s="5">
        <v>1</v>
      </c>
      <c r="Q1233" s="5">
        <v>3</v>
      </c>
      <c r="R1233" s="8">
        <v>1</v>
      </c>
      <c r="S1233" s="8">
        <v>1</v>
      </c>
      <c r="T1233" s="8">
        <v>0</v>
      </c>
      <c r="U1233" s="8">
        <v>3</v>
      </c>
      <c r="V1233" s="8">
        <v>5</v>
      </c>
      <c r="W1233" t="s">
        <v>473</v>
      </c>
      <c r="X1233" t="s">
        <v>473</v>
      </c>
      <c r="Y1233" t="s">
        <v>473</v>
      </c>
      <c r="Z1233" t="s">
        <v>473</v>
      </c>
      <c r="AA1233" t="s">
        <v>473</v>
      </c>
      <c r="AB1233" t="s">
        <v>473</v>
      </c>
      <c r="AC1233" s="10">
        <v>3</v>
      </c>
      <c r="AD1233" s="10">
        <v>11</v>
      </c>
      <c r="AE1233" t="s">
        <v>473</v>
      </c>
    </row>
    <row r="1234" spans="1:31" x14ac:dyDescent="0.25">
      <c r="A1234">
        <v>1307</v>
      </c>
      <c r="B1234">
        <v>1978</v>
      </c>
      <c r="C1234" t="s">
        <v>466</v>
      </c>
      <c r="D1234" t="s">
        <v>37</v>
      </c>
      <c r="E1234" t="str">
        <f>IF(OR(Table1[[#This Row],[marital_status]]="Married", Table1[[#This Row],[marital_status]]="Together"), "Partnered", "Single")</f>
        <v>Single</v>
      </c>
      <c r="F1234" s="7">
        <v>41986</v>
      </c>
      <c r="G1234" s="8">
        <v>0</v>
      </c>
      <c r="H1234" s="8">
        <v>1</v>
      </c>
      <c r="I1234" s="8">
        <f>Table1[[#This Row],[kids]]+Table1[[#This Row],[teens]]</f>
        <v>1</v>
      </c>
      <c r="J1234" s="9">
        <v>41679</v>
      </c>
      <c r="K1234" s="8">
        <v>15</v>
      </c>
      <c r="L1234" s="6">
        <v>27</v>
      </c>
      <c r="M1234" s="5">
        <v>5</v>
      </c>
      <c r="N1234" s="5">
        <v>8</v>
      </c>
      <c r="O1234" s="5">
        <v>8</v>
      </c>
      <c r="P1234" s="5">
        <v>3</v>
      </c>
      <c r="Q1234" s="5">
        <v>12</v>
      </c>
      <c r="R1234" s="8">
        <v>3</v>
      </c>
      <c r="S1234" s="8">
        <v>3</v>
      </c>
      <c r="T1234" s="8">
        <v>0</v>
      </c>
      <c r="U1234" s="8">
        <v>4</v>
      </c>
      <c r="V1234" s="8">
        <v>4</v>
      </c>
      <c r="W1234" t="s">
        <v>473</v>
      </c>
      <c r="X1234" t="s">
        <v>473</v>
      </c>
      <c r="Y1234" t="s">
        <v>473</v>
      </c>
      <c r="Z1234" t="s">
        <v>473</v>
      </c>
      <c r="AA1234" t="s">
        <v>473</v>
      </c>
      <c r="AB1234" t="s">
        <v>473</v>
      </c>
      <c r="AC1234" s="10">
        <v>3</v>
      </c>
      <c r="AD1234" s="10">
        <v>11</v>
      </c>
      <c r="AE1234" t="s">
        <v>473</v>
      </c>
    </row>
    <row r="1235" spans="1:31" x14ac:dyDescent="0.25">
      <c r="A1235">
        <v>1502</v>
      </c>
      <c r="B1235">
        <v>1983</v>
      </c>
      <c r="C1235" t="s">
        <v>466</v>
      </c>
      <c r="D1235" t="s">
        <v>31</v>
      </c>
      <c r="E1235" t="str">
        <f>IF(OR(Table1[[#This Row],[marital_status]]="Married", Table1[[#This Row],[marital_status]]="Together"), "Partnered", "Single")</f>
        <v>Partnered</v>
      </c>
      <c r="F1235" s="7">
        <v>28427</v>
      </c>
      <c r="G1235" s="8">
        <v>1</v>
      </c>
      <c r="H1235" s="8">
        <v>0</v>
      </c>
      <c r="I1235" s="8">
        <f>Table1[[#This Row],[kids]]+Table1[[#This Row],[teens]]</f>
        <v>1</v>
      </c>
      <c r="J1235" s="9">
        <v>41354</v>
      </c>
      <c r="K1235" s="8">
        <v>67</v>
      </c>
      <c r="L1235" s="6">
        <v>18</v>
      </c>
      <c r="M1235" s="5">
        <v>3</v>
      </c>
      <c r="N1235" s="5">
        <v>19</v>
      </c>
      <c r="O1235" s="5">
        <v>3</v>
      </c>
      <c r="P1235" s="5">
        <v>3</v>
      </c>
      <c r="Q1235" s="5">
        <v>6</v>
      </c>
      <c r="R1235" s="8">
        <v>2</v>
      </c>
      <c r="S1235" s="8">
        <v>2</v>
      </c>
      <c r="T1235" s="8">
        <v>0</v>
      </c>
      <c r="U1235" s="8">
        <v>3</v>
      </c>
      <c r="V1235" s="8">
        <v>8</v>
      </c>
      <c r="W1235" t="s">
        <v>473</v>
      </c>
      <c r="X1235" t="s">
        <v>473</v>
      </c>
      <c r="Y1235" t="s">
        <v>473</v>
      </c>
      <c r="Z1235" t="s">
        <v>473</v>
      </c>
      <c r="AA1235" t="s">
        <v>473</v>
      </c>
      <c r="AB1235" t="s">
        <v>473</v>
      </c>
      <c r="AC1235" s="10">
        <v>3</v>
      </c>
      <c r="AD1235" s="10">
        <v>11</v>
      </c>
      <c r="AE1235" t="s">
        <v>473</v>
      </c>
    </row>
    <row r="1236" spans="1:31" x14ac:dyDescent="0.25">
      <c r="A1236">
        <v>6211</v>
      </c>
      <c r="B1236">
        <v>1976</v>
      </c>
      <c r="C1236" t="s">
        <v>33</v>
      </c>
      <c r="D1236" t="s">
        <v>31</v>
      </c>
      <c r="E1236" t="str">
        <f>IF(OR(Table1[[#This Row],[marital_status]]="Married", Table1[[#This Row],[marital_status]]="Together"), "Partnered", "Single")</f>
        <v>Partnered</v>
      </c>
      <c r="F1236" s="7">
        <v>37395</v>
      </c>
      <c r="G1236" s="8">
        <v>1</v>
      </c>
      <c r="H1236" s="8">
        <v>0</v>
      </c>
      <c r="I1236" s="8">
        <f>Table1[[#This Row],[kids]]+Table1[[#This Row],[teens]]</f>
        <v>1</v>
      </c>
      <c r="J1236" s="9">
        <v>41761</v>
      </c>
      <c r="K1236" s="8">
        <v>47</v>
      </c>
      <c r="L1236" s="6">
        <v>18</v>
      </c>
      <c r="M1236" s="5">
        <v>0</v>
      </c>
      <c r="N1236" s="5">
        <v>9</v>
      </c>
      <c r="O1236" s="5">
        <v>0</v>
      </c>
      <c r="P1236" s="5">
        <v>1</v>
      </c>
      <c r="Q1236" s="5">
        <v>11</v>
      </c>
      <c r="R1236" s="8">
        <v>1</v>
      </c>
      <c r="S1236" s="8">
        <v>1</v>
      </c>
      <c r="T1236" s="8">
        <v>0</v>
      </c>
      <c r="U1236" s="8">
        <v>3</v>
      </c>
      <c r="V1236" s="8">
        <v>6</v>
      </c>
      <c r="W1236" t="s">
        <v>473</v>
      </c>
      <c r="X1236" t="s">
        <v>473</v>
      </c>
      <c r="Y1236" t="s">
        <v>473</v>
      </c>
      <c r="Z1236" t="s">
        <v>473</v>
      </c>
      <c r="AA1236" t="s">
        <v>473</v>
      </c>
      <c r="AB1236" t="s">
        <v>473</v>
      </c>
      <c r="AC1236" s="10">
        <v>3</v>
      </c>
      <c r="AD1236" s="10">
        <v>11</v>
      </c>
      <c r="AE1236" t="s">
        <v>473</v>
      </c>
    </row>
    <row r="1237" spans="1:31" x14ac:dyDescent="0.25">
      <c r="A1237">
        <v>843</v>
      </c>
      <c r="B1237">
        <v>1971</v>
      </c>
      <c r="C1237" t="s">
        <v>466</v>
      </c>
      <c r="D1237" t="s">
        <v>34</v>
      </c>
      <c r="E1237" t="str">
        <f>IF(OR(Table1[[#This Row],[marital_status]]="Married", Table1[[#This Row],[marital_status]]="Together"), "Partnered", "Single")</f>
        <v>Partnered</v>
      </c>
      <c r="F1237" s="7">
        <v>64722</v>
      </c>
      <c r="G1237" s="8">
        <v>1</v>
      </c>
      <c r="H1237" s="8">
        <v>0</v>
      </c>
      <c r="I1237" s="8">
        <f>Table1[[#This Row],[kids]]+Table1[[#This Row],[teens]]</f>
        <v>1</v>
      </c>
      <c r="J1237" s="9">
        <v>41785</v>
      </c>
      <c r="K1237" s="8">
        <v>47</v>
      </c>
      <c r="L1237" s="6">
        <v>303</v>
      </c>
      <c r="M1237" s="5">
        <v>0</v>
      </c>
      <c r="N1237" s="5">
        <v>280</v>
      </c>
      <c r="O1237" s="5">
        <v>60</v>
      </c>
      <c r="P1237" s="5">
        <v>147</v>
      </c>
      <c r="Q1237" s="5">
        <v>15</v>
      </c>
      <c r="R1237" s="8">
        <v>4</v>
      </c>
      <c r="S1237" s="8">
        <v>8</v>
      </c>
      <c r="T1237" s="8">
        <v>2</v>
      </c>
      <c r="U1237" s="8">
        <v>11</v>
      </c>
      <c r="V1237" s="8">
        <v>6</v>
      </c>
      <c r="W1237" t="s">
        <v>473</v>
      </c>
      <c r="X1237" t="s">
        <v>473</v>
      </c>
      <c r="Y1237" t="s">
        <v>473</v>
      </c>
      <c r="Z1237" t="s">
        <v>473</v>
      </c>
      <c r="AA1237" t="s">
        <v>473</v>
      </c>
      <c r="AB1237" t="s">
        <v>473</v>
      </c>
      <c r="AC1237" s="10">
        <v>3</v>
      </c>
      <c r="AD1237" s="10">
        <v>11</v>
      </c>
      <c r="AE1237" t="s">
        <v>473</v>
      </c>
    </row>
    <row r="1238" spans="1:31" x14ac:dyDescent="0.25">
      <c r="A1238">
        <v>4174</v>
      </c>
      <c r="B1238">
        <v>1956</v>
      </c>
      <c r="C1238" t="s">
        <v>36</v>
      </c>
      <c r="D1238" t="s">
        <v>31</v>
      </c>
      <c r="E1238" t="str">
        <f>IF(OR(Table1[[#This Row],[marital_status]]="Married", Table1[[#This Row],[marital_status]]="Together"), "Partnered", "Single")</f>
        <v>Partnered</v>
      </c>
      <c r="F1238" s="7">
        <v>55249</v>
      </c>
      <c r="G1238" s="8">
        <v>0</v>
      </c>
      <c r="H1238" s="8">
        <v>1</v>
      </c>
      <c r="I1238" s="8">
        <f>Table1[[#This Row],[kids]]+Table1[[#This Row],[teens]]</f>
        <v>1</v>
      </c>
      <c r="J1238" s="9">
        <v>41746</v>
      </c>
      <c r="K1238" s="8">
        <v>81</v>
      </c>
      <c r="L1238" s="6">
        <v>97</v>
      </c>
      <c r="M1238" s="5">
        <v>1</v>
      </c>
      <c r="N1238" s="5">
        <v>19</v>
      </c>
      <c r="O1238" s="5">
        <v>2</v>
      </c>
      <c r="P1238" s="5">
        <v>0</v>
      </c>
      <c r="Q1238" s="5">
        <v>11</v>
      </c>
      <c r="R1238" s="8">
        <v>1</v>
      </c>
      <c r="S1238" s="8">
        <v>2</v>
      </c>
      <c r="T1238" s="8">
        <v>1</v>
      </c>
      <c r="U1238" s="8">
        <v>4</v>
      </c>
      <c r="V1238" s="8">
        <v>3</v>
      </c>
      <c r="W1238" t="s">
        <v>473</v>
      </c>
      <c r="X1238" t="s">
        <v>473</v>
      </c>
      <c r="Y1238" t="s">
        <v>473</v>
      </c>
      <c r="Z1238" t="s">
        <v>473</v>
      </c>
      <c r="AA1238" t="s">
        <v>473</v>
      </c>
      <c r="AB1238" t="s">
        <v>473</v>
      </c>
      <c r="AC1238" s="10">
        <v>3</v>
      </c>
      <c r="AD1238" s="10">
        <v>11</v>
      </c>
      <c r="AE1238" t="s">
        <v>473</v>
      </c>
    </row>
    <row r="1239" spans="1:31" x14ac:dyDescent="0.25">
      <c r="A1239">
        <v>9757</v>
      </c>
      <c r="B1239">
        <v>1972</v>
      </c>
      <c r="C1239" t="s">
        <v>466</v>
      </c>
      <c r="D1239" t="s">
        <v>31</v>
      </c>
      <c r="E1239" t="str">
        <f>IF(OR(Table1[[#This Row],[marital_status]]="Married", Table1[[#This Row],[marital_status]]="Together"), "Partnered", "Single")</f>
        <v>Partnered</v>
      </c>
      <c r="F1239" s="7">
        <v>84906</v>
      </c>
      <c r="G1239" s="8">
        <v>0</v>
      </c>
      <c r="H1239" s="8">
        <v>0</v>
      </c>
      <c r="I1239" s="8">
        <f>Table1[[#This Row],[kids]]+Table1[[#This Row],[teens]]</f>
        <v>0</v>
      </c>
      <c r="J1239" s="9">
        <v>41551</v>
      </c>
      <c r="K1239" s="8">
        <v>98</v>
      </c>
      <c r="L1239" s="6">
        <v>997</v>
      </c>
      <c r="M1239" s="5">
        <v>15</v>
      </c>
      <c r="N1239" s="5">
        <v>414</v>
      </c>
      <c r="O1239" s="5">
        <v>99</v>
      </c>
      <c r="P1239" s="5">
        <v>30</v>
      </c>
      <c r="Q1239" s="5">
        <v>76</v>
      </c>
      <c r="R1239" s="8">
        <v>1</v>
      </c>
      <c r="S1239" s="8">
        <v>5</v>
      </c>
      <c r="T1239" s="8">
        <v>6</v>
      </c>
      <c r="U1239" s="8">
        <v>12</v>
      </c>
      <c r="V1239" s="8">
        <v>2</v>
      </c>
      <c r="W1239" t="s">
        <v>473</v>
      </c>
      <c r="X1239" t="s">
        <v>474</v>
      </c>
      <c r="Y1239" t="s">
        <v>474</v>
      </c>
      <c r="Z1239" t="s">
        <v>473</v>
      </c>
      <c r="AA1239" t="s">
        <v>474</v>
      </c>
      <c r="AB1239" t="s">
        <v>473</v>
      </c>
      <c r="AC1239" s="10">
        <v>3</v>
      </c>
      <c r="AD1239" s="10">
        <v>11</v>
      </c>
      <c r="AE1239" t="s">
        <v>473</v>
      </c>
    </row>
    <row r="1240" spans="1:31" x14ac:dyDescent="0.25">
      <c r="A1240">
        <v>6918</v>
      </c>
      <c r="B1240">
        <v>1989</v>
      </c>
      <c r="C1240" t="s">
        <v>466</v>
      </c>
      <c r="D1240" t="s">
        <v>34</v>
      </c>
      <c r="E1240" t="str">
        <f>IF(OR(Table1[[#This Row],[marital_status]]="Married", Table1[[#This Row],[marital_status]]="Together"), "Partnered", "Single")</f>
        <v>Partnered</v>
      </c>
      <c r="F1240" s="7">
        <v>28691</v>
      </c>
      <c r="G1240" s="8">
        <v>1</v>
      </c>
      <c r="H1240" s="8">
        <v>0</v>
      </c>
      <c r="I1240" s="8">
        <f>Table1[[#This Row],[kids]]+Table1[[#This Row],[teens]]</f>
        <v>1</v>
      </c>
      <c r="J1240" s="9">
        <v>41459</v>
      </c>
      <c r="K1240" s="8">
        <v>56</v>
      </c>
      <c r="L1240" s="6">
        <v>5</v>
      </c>
      <c r="M1240" s="5">
        <v>4</v>
      </c>
      <c r="N1240" s="5">
        <v>13</v>
      </c>
      <c r="O1240" s="5">
        <v>8</v>
      </c>
      <c r="P1240" s="5">
        <v>0</v>
      </c>
      <c r="Q1240" s="5">
        <v>4</v>
      </c>
      <c r="R1240" s="8">
        <v>1</v>
      </c>
      <c r="S1240" s="8">
        <v>1</v>
      </c>
      <c r="T1240" s="8">
        <v>0</v>
      </c>
      <c r="U1240" s="8">
        <v>3</v>
      </c>
      <c r="V1240" s="8">
        <v>8</v>
      </c>
      <c r="W1240" t="s">
        <v>473</v>
      </c>
      <c r="X1240" t="s">
        <v>473</v>
      </c>
      <c r="Y1240" t="s">
        <v>473</v>
      </c>
      <c r="Z1240" t="s">
        <v>473</v>
      </c>
      <c r="AA1240" t="s">
        <v>473</v>
      </c>
      <c r="AB1240" t="s">
        <v>473</v>
      </c>
      <c r="AC1240" s="10">
        <v>3</v>
      </c>
      <c r="AD1240" s="10">
        <v>11</v>
      </c>
      <c r="AE1240" t="s">
        <v>473</v>
      </c>
    </row>
    <row r="1241" spans="1:31" x14ac:dyDescent="0.25">
      <c r="A1241">
        <v>286</v>
      </c>
      <c r="B1241">
        <v>1952</v>
      </c>
      <c r="C1241" t="s">
        <v>466</v>
      </c>
      <c r="D1241" t="s">
        <v>30</v>
      </c>
      <c r="E1241" t="str">
        <f>IF(OR(Table1[[#This Row],[marital_status]]="Married", Table1[[#This Row],[marital_status]]="Together"), "Partnered", "Single")</f>
        <v>Single</v>
      </c>
      <c r="F1241" s="7">
        <v>44213</v>
      </c>
      <c r="G1241" s="8">
        <v>1</v>
      </c>
      <c r="H1241" s="8">
        <v>1</v>
      </c>
      <c r="I1241" s="8">
        <f>Table1[[#This Row],[kids]]+Table1[[#This Row],[teens]]</f>
        <v>2</v>
      </c>
      <c r="J1241" s="9">
        <v>41607</v>
      </c>
      <c r="K1241" s="8">
        <v>48</v>
      </c>
      <c r="L1241" s="6">
        <v>95</v>
      </c>
      <c r="M1241" s="5">
        <v>11</v>
      </c>
      <c r="N1241" s="5">
        <v>35</v>
      </c>
      <c r="O1241" s="5">
        <v>0</v>
      </c>
      <c r="P1241" s="5">
        <v>4</v>
      </c>
      <c r="Q1241" s="5">
        <v>7</v>
      </c>
      <c r="R1241" s="8">
        <v>4</v>
      </c>
      <c r="S1241" s="8">
        <v>2</v>
      </c>
      <c r="T1241" s="8">
        <v>1</v>
      </c>
      <c r="U1241" s="8">
        <v>5</v>
      </c>
      <c r="V1241" s="8">
        <v>6</v>
      </c>
      <c r="W1241" t="s">
        <v>473</v>
      </c>
      <c r="X1241" t="s">
        <v>473</v>
      </c>
      <c r="Y1241" t="s">
        <v>473</v>
      </c>
      <c r="Z1241" t="s">
        <v>473</v>
      </c>
      <c r="AA1241" t="s">
        <v>473</v>
      </c>
      <c r="AB1241" t="s">
        <v>473</v>
      </c>
      <c r="AC1241" s="10">
        <v>3</v>
      </c>
      <c r="AD1241" s="10">
        <v>11</v>
      </c>
      <c r="AE1241" t="s">
        <v>473</v>
      </c>
    </row>
    <row r="1242" spans="1:31" x14ac:dyDescent="0.25">
      <c r="A1242">
        <v>11086</v>
      </c>
      <c r="B1242">
        <v>1984</v>
      </c>
      <c r="C1242" t="s">
        <v>41</v>
      </c>
      <c r="D1242" t="s">
        <v>30</v>
      </c>
      <c r="E1242" t="str">
        <f>IF(OR(Table1[[#This Row],[marital_status]]="Married", Table1[[#This Row],[marital_status]]="Together"), "Partnered", "Single")</f>
        <v>Single</v>
      </c>
      <c r="F1242" s="7">
        <v>25707</v>
      </c>
      <c r="G1242" s="8">
        <v>1</v>
      </c>
      <c r="H1242" s="8">
        <v>0</v>
      </c>
      <c r="I1242" s="8">
        <f>Table1[[#This Row],[kids]]+Table1[[#This Row],[teens]]</f>
        <v>1</v>
      </c>
      <c r="J1242" s="9">
        <v>41657</v>
      </c>
      <c r="K1242" s="8">
        <v>18</v>
      </c>
      <c r="L1242" s="6">
        <v>1</v>
      </c>
      <c r="M1242" s="5">
        <v>6</v>
      </c>
      <c r="N1242" s="5">
        <v>2</v>
      </c>
      <c r="O1242" s="5">
        <v>3</v>
      </c>
      <c r="P1242" s="5">
        <v>6</v>
      </c>
      <c r="Q1242" s="5">
        <v>3</v>
      </c>
      <c r="R1242" s="8">
        <v>1</v>
      </c>
      <c r="S1242" s="8">
        <v>1</v>
      </c>
      <c r="T1242" s="8">
        <v>0</v>
      </c>
      <c r="U1242" s="8">
        <v>3</v>
      </c>
      <c r="V1242" s="8">
        <v>7</v>
      </c>
      <c r="W1242" t="s">
        <v>473</v>
      </c>
      <c r="X1242" t="s">
        <v>473</v>
      </c>
      <c r="Y1242" t="s">
        <v>473</v>
      </c>
      <c r="Z1242" t="s">
        <v>473</v>
      </c>
      <c r="AA1242" t="s">
        <v>473</v>
      </c>
      <c r="AB1242" t="s">
        <v>473</v>
      </c>
      <c r="AC1242" s="10">
        <v>3</v>
      </c>
      <c r="AD1242" s="10">
        <v>11</v>
      </c>
      <c r="AE1242" t="s">
        <v>473</v>
      </c>
    </row>
    <row r="1243" spans="1:31" x14ac:dyDescent="0.25">
      <c r="A1243">
        <v>1921</v>
      </c>
      <c r="B1243">
        <v>1967</v>
      </c>
      <c r="C1243" t="s">
        <v>33</v>
      </c>
      <c r="D1243" t="s">
        <v>34</v>
      </c>
      <c r="E1243" t="str">
        <f>IF(OR(Table1[[#This Row],[marital_status]]="Married", Table1[[#This Row],[marital_status]]="Together"), "Partnered", "Single")</f>
        <v>Partnered</v>
      </c>
      <c r="F1243" s="7">
        <v>59062</v>
      </c>
      <c r="G1243" s="8">
        <v>2</v>
      </c>
      <c r="H1243" s="8">
        <v>1</v>
      </c>
      <c r="I1243" s="8">
        <f>Table1[[#This Row],[kids]]+Table1[[#This Row],[teens]]</f>
        <v>3</v>
      </c>
      <c r="J1243" s="9">
        <v>41550</v>
      </c>
      <c r="K1243" s="8">
        <v>74</v>
      </c>
      <c r="L1243" s="6">
        <v>46</v>
      </c>
      <c r="M1243" s="5">
        <v>1</v>
      </c>
      <c r="N1243" s="5">
        <v>12</v>
      </c>
      <c r="O1243" s="5">
        <v>3</v>
      </c>
      <c r="P1243" s="5">
        <v>0</v>
      </c>
      <c r="Q1243" s="5">
        <v>9</v>
      </c>
      <c r="R1243" s="8">
        <v>2</v>
      </c>
      <c r="S1243" s="8">
        <v>2</v>
      </c>
      <c r="T1243" s="8">
        <v>0</v>
      </c>
      <c r="U1243" s="8">
        <v>3</v>
      </c>
      <c r="V1243" s="8">
        <v>4</v>
      </c>
      <c r="W1243" t="s">
        <v>473</v>
      </c>
      <c r="X1243" t="s">
        <v>473</v>
      </c>
      <c r="Y1243" t="s">
        <v>473</v>
      </c>
      <c r="Z1243" t="s">
        <v>473</v>
      </c>
      <c r="AA1243" t="s">
        <v>473</v>
      </c>
      <c r="AB1243" t="s">
        <v>473</v>
      </c>
      <c r="AC1243" s="10">
        <v>3</v>
      </c>
      <c r="AD1243" s="10">
        <v>11</v>
      </c>
      <c r="AE1243" t="s">
        <v>473</v>
      </c>
    </row>
    <row r="1244" spans="1:31" x14ac:dyDescent="0.25">
      <c r="A1244">
        <v>4138</v>
      </c>
      <c r="B1244">
        <v>1962</v>
      </c>
      <c r="C1244" t="s">
        <v>466</v>
      </c>
      <c r="D1244" t="s">
        <v>30</v>
      </c>
      <c r="E1244" t="str">
        <f>IF(OR(Table1[[#This Row],[marital_status]]="Married", Table1[[#This Row],[marital_status]]="Together"), "Partnered", "Single")</f>
        <v>Single</v>
      </c>
      <c r="F1244" s="7">
        <v>76624</v>
      </c>
      <c r="G1244" s="8">
        <v>0</v>
      </c>
      <c r="H1244" s="8">
        <v>1</v>
      </c>
      <c r="I1244" s="8">
        <f>Table1[[#This Row],[kids]]+Table1[[#This Row],[teens]]</f>
        <v>1</v>
      </c>
      <c r="J1244" s="9">
        <v>41783</v>
      </c>
      <c r="K1244" s="8">
        <v>68</v>
      </c>
      <c r="L1244" s="6">
        <v>411</v>
      </c>
      <c r="M1244" s="5">
        <v>106</v>
      </c>
      <c r="N1244" s="5">
        <v>147</v>
      </c>
      <c r="O1244" s="5">
        <v>54</v>
      </c>
      <c r="P1244" s="5">
        <v>115</v>
      </c>
      <c r="Q1244" s="5">
        <v>66</v>
      </c>
      <c r="R1244" s="8">
        <v>1</v>
      </c>
      <c r="S1244" s="8">
        <v>5</v>
      </c>
      <c r="T1244" s="8">
        <v>10</v>
      </c>
      <c r="U1244" s="8">
        <v>7</v>
      </c>
      <c r="V1244" s="8">
        <v>1</v>
      </c>
      <c r="W1244" t="s">
        <v>474</v>
      </c>
      <c r="X1244" t="s">
        <v>473</v>
      </c>
      <c r="Y1244" t="s">
        <v>473</v>
      </c>
      <c r="Z1244" t="s">
        <v>473</v>
      </c>
      <c r="AA1244" t="s">
        <v>473</v>
      </c>
      <c r="AB1244" t="s">
        <v>473</v>
      </c>
      <c r="AC1244" s="10">
        <v>3</v>
      </c>
      <c r="AD1244" s="10">
        <v>11</v>
      </c>
      <c r="AE1244" t="s">
        <v>473</v>
      </c>
    </row>
    <row r="1245" spans="1:31" x14ac:dyDescent="0.25">
      <c r="A1245">
        <v>7718</v>
      </c>
      <c r="B1245">
        <v>1947</v>
      </c>
      <c r="C1245" t="s">
        <v>36</v>
      </c>
      <c r="D1245" t="s">
        <v>31</v>
      </c>
      <c r="E1245" t="str">
        <f>IF(OR(Table1[[#This Row],[marital_status]]="Married", Table1[[#This Row],[marital_status]]="Together"), "Partnered", "Single")</f>
        <v>Partnered</v>
      </c>
      <c r="F1245" s="7">
        <v>66000</v>
      </c>
      <c r="G1245" s="8">
        <v>0</v>
      </c>
      <c r="H1245" s="8">
        <v>0</v>
      </c>
      <c r="I1245" s="8">
        <f>Table1[[#This Row],[kids]]+Table1[[#This Row],[teens]]</f>
        <v>0</v>
      </c>
      <c r="J1245" s="9">
        <v>41749</v>
      </c>
      <c r="K1245" s="8">
        <v>36</v>
      </c>
      <c r="L1245" s="6">
        <v>244</v>
      </c>
      <c r="M1245" s="5">
        <v>51</v>
      </c>
      <c r="N1245" s="5">
        <v>270</v>
      </c>
      <c r="O1245" s="5">
        <v>101</v>
      </c>
      <c r="P1245" s="5">
        <v>0</v>
      </c>
      <c r="Q1245" s="5">
        <v>45</v>
      </c>
      <c r="R1245" s="8">
        <v>1</v>
      </c>
      <c r="S1245" s="8">
        <v>1</v>
      </c>
      <c r="T1245" s="8">
        <v>3</v>
      </c>
      <c r="U1245" s="8">
        <v>5</v>
      </c>
      <c r="V1245" s="8">
        <v>1</v>
      </c>
      <c r="W1245" t="s">
        <v>473</v>
      </c>
      <c r="X1245" t="s">
        <v>473</v>
      </c>
      <c r="Y1245" t="s">
        <v>473</v>
      </c>
      <c r="Z1245" t="s">
        <v>473</v>
      </c>
      <c r="AA1245" t="s">
        <v>473</v>
      </c>
      <c r="AB1245" t="s">
        <v>473</v>
      </c>
      <c r="AC1245" s="10">
        <v>3</v>
      </c>
      <c r="AD1245" s="10">
        <v>11</v>
      </c>
      <c r="AE1245" t="s">
        <v>473</v>
      </c>
    </row>
    <row r="1246" spans="1:31" x14ac:dyDescent="0.25">
      <c r="A1246">
        <v>1291</v>
      </c>
      <c r="B1246">
        <v>1978</v>
      </c>
      <c r="C1246" t="s">
        <v>33</v>
      </c>
      <c r="D1246" t="s">
        <v>31</v>
      </c>
      <c r="E1246" t="str">
        <f>IF(OR(Table1[[#This Row],[marital_status]]="Married", Table1[[#This Row],[marital_status]]="Together"), "Partnered", "Single")</f>
        <v>Partnered</v>
      </c>
      <c r="F1246" s="7">
        <v>27683</v>
      </c>
      <c r="G1246" s="8">
        <v>1</v>
      </c>
      <c r="H1246" s="8">
        <v>0</v>
      </c>
      <c r="I1246" s="8">
        <f>Table1[[#This Row],[kids]]+Table1[[#This Row],[teens]]</f>
        <v>1</v>
      </c>
      <c r="J1246" s="9">
        <v>41125</v>
      </c>
      <c r="K1246" s="8">
        <v>90</v>
      </c>
      <c r="L1246" s="6">
        <v>152</v>
      </c>
      <c r="M1246" s="5">
        <v>9</v>
      </c>
      <c r="N1246" s="5">
        <v>121</v>
      </c>
      <c r="O1246" s="5">
        <v>12</v>
      </c>
      <c r="P1246" s="5">
        <v>12</v>
      </c>
      <c r="Q1246" s="5">
        <v>45</v>
      </c>
      <c r="R1246" s="8">
        <v>4</v>
      </c>
      <c r="S1246" s="8">
        <v>6</v>
      </c>
      <c r="T1246" s="8">
        <v>2</v>
      </c>
      <c r="U1246" s="8">
        <v>4</v>
      </c>
      <c r="V1246" s="8">
        <v>8</v>
      </c>
      <c r="W1246" t="s">
        <v>473</v>
      </c>
      <c r="X1246" t="s">
        <v>473</v>
      </c>
      <c r="Y1246" t="s">
        <v>473</v>
      </c>
      <c r="Z1246" t="s">
        <v>473</v>
      </c>
      <c r="AA1246" t="s">
        <v>473</v>
      </c>
      <c r="AB1246" t="s">
        <v>473</v>
      </c>
      <c r="AC1246" s="10">
        <v>3</v>
      </c>
      <c r="AD1246" s="10">
        <v>11</v>
      </c>
      <c r="AE1246" t="s">
        <v>473</v>
      </c>
    </row>
    <row r="1247" spans="1:31" x14ac:dyDescent="0.25">
      <c r="A1247">
        <v>6862</v>
      </c>
      <c r="B1247">
        <v>1971</v>
      </c>
      <c r="C1247" t="s">
        <v>466</v>
      </c>
      <c r="D1247" t="s">
        <v>37</v>
      </c>
      <c r="E1247" t="str">
        <f>IF(OR(Table1[[#This Row],[marital_status]]="Married", Table1[[#This Row],[marital_status]]="Together"), "Partnered", "Single")</f>
        <v>Single</v>
      </c>
      <c r="F1247" s="7">
        <v>1730</v>
      </c>
      <c r="G1247" s="8">
        <v>0</v>
      </c>
      <c r="H1247" s="8">
        <v>0</v>
      </c>
      <c r="I1247" s="8">
        <f>Table1[[#This Row],[kids]]+Table1[[#This Row],[teens]]</f>
        <v>0</v>
      </c>
      <c r="J1247" s="9">
        <v>41777</v>
      </c>
      <c r="K1247" s="8">
        <v>65</v>
      </c>
      <c r="L1247" s="6">
        <v>1</v>
      </c>
      <c r="M1247" s="5">
        <v>1</v>
      </c>
      <c r="N1247" s="5">
        <v>3</v>
      </c>
      <c r="O1247" s="5">
        <v>1</v>
      </c>
      <c r="P1247" s="5">
        <v>1</v>
      </c>
      <c r="Q1247" s="5">
        <v>1</v>
      </c>
      <c r="R1247" s="8">
        <v>15</v>
      </c>
      <c r="S1247" s="8">
        <v>0</v>
      </c>
      <c r="T1247" s="8">
        <v>0</v>
      </c>
      <c r="U1247" s="8">
        <v>0</v>
      </c>
      <c r="V1247" s="8">
        <v>20</v>
      </c>
      <c r="W1247" t="s">
        <v>473</v>
      </c>
      <c r="X1247" t="s">
        <v>473</v>
      </c>
      <c r="Y1247" t="s">
        <v>473</v>
      </c>
      <c r="Z1247" t="s">
        <v>473</v>
      </c>
      <c r="AA1247" t="s">
        <v>473</v>
      </c>
      <c r="AB1247" t="s">
        <v>473</v>
      </c>
      <c r="AC1247" s="10">
        <v>3</v>
      </c>
      <c r="AD1247" s="10">
        <v>11</v>
      </c>
      <c r="AE1247" t="s">
        <v>473</v>
      </c>
    </row>
    <row r="1248" spans="1:31" x14ac:dyDescent="0.25">
      <c r="A1248">
        <v>4136</v>
      </c>
      <c r="B1248">
        <v>1992</v>
      </c>
      <c r="C1248" t="s">
        <v>41</v>
      </c>
      <c r="D1248" t="s">
        <v>30</v>
      </c>
      <c r="E1248" t="str">
        <f>IF(OR(Table1[[#This Row],[marital_status]]="Married", Table1[[#This Row],[marital_status]]="Together"), "Partnered", "Single")</f>
        <v>Single</v>
      </c>
      <c r="F1248" s="7">
        <v>7500</v>
      </c>
      <c r="G1248" s="8">
        <v>1</v>
      </c>
      <c r="H1248" s="8">
        <v>0</v>
      </c>
      <c r="I1248" s="8">
        <f>Table1[[#This Row],[kids]]+Table1[[#This Row],[teens]]</f>
        <v>1</v>
      </c>
      <c r="J1248" s="9">
        <v>41246</v>
      </c>
      <c r="K1248" s="8">
        <v>63</v>
      </c>
      <c r="L1248" s="6">
        <v>10</v>
      </c>
      <c r="M1248" s="5">
        <v>17</v>
      </c>
      <c r="N1248" s="5">
        <v>18</v>
      </c>
      <c r="O1248" s="5">
        <v>8</v>
      </c>
      <c r="P1248" s="5">
        <v>26</v>
      </c>
      <c r="Q1248" s="5">
        <v>40</v>
      </c>
      <c r="R1248" s="8">
        <v>4</v>
      </c>
      <c r="S1248" s="8">
        <v>3</v>
      </c>
      <c r="T1248" s="8">
        <v>2</v>
      </c>
      <c r="U1248" s="8">
        <v>2</v>
      </c>
      <c r="V1248" s="8">
        <v>9</v>
      </c>
      <c r="W1248" t="s">
        <v>473</v>
      </c>
      <c r="X1248" t="s">
        <v>473</v>
      </c>
      <c r="Y1248" t="s">
        <v>473</v>
      </c>
      <c r="Z1248" t="s">
        <v>473</v>
      </c>
      <c r="AA1248" t="s">
        <v>473</v>
      </c>
      <c r="AB1248" t="s">
        <v>473</v>
      </c>
      <c r="AC1248" s="10">
        <v>3</v>
      </c>
      <c r="AD1248" s="10">
        <v>11</v>
      </c>
      <c r="AE1248" t="s">
        <v>473</v>
      </c>
    </row>
    <row r="1249" spans="1:31" x14ac:dyDescent="0.25">
      <c r="A1249">
        <v>803</v>
      </c>
      <c r="B1249">
        <v>1968</v>
      </c>
      <c r="C1249" t="s">
        <v>466</v>
      </c>
      <c r="D1249" t="s">
        <v>31</v>
      </c>
      <c r="E1249" t="str">
        <f>IF(OR(Table1[[#This Row],[marital_status]]="Married", Table1[[#This Row],[marital_status]]="Together"), "Partnered", "Single")</f>
        <v>Partnered</v>
      </c>
      <c r="F1249" s="7">
        <v>40521</v>
      </c>
      <c r="G1249" s="8">
        <v>1</v>
      </c>
      <c r="H1249" s="8">
        <v>1</v>
      </c>
      <c r="I1249" s="8">
        <f>Table1[[#This Row],[kids]]+Table1[[#This Row],[teens]]</f>
        <v>2</v>
      </c>
      <c r="J1249" s="9">
        <v>41369</v>
      </c>
      <c r="K1249" s="8">
        <v>82</v>
      </c>
      <c r="L1249" s="6">
        <v>12</v>
      </c>
      <c r="M1249" s="5">
        <v>0</v>
      </c>
      <c r="N1249" s="5">
        <v>5</v>
      </c>
      <c r="O1249" s="5">
        <v>0</v>
      </c>
      <c r="P1249" s="5">
        <v>0</v>
      </c>
      <c r="Q1249" s="5">
        <v>4</v>
      </c>
      <c r="R1249" s="8">
        <v>1</v>
      </c>
      <c r="S1249" s="8">
        <v>0</v>
      </c>
      <c r="T1249" s="8">
        <v>1</v>
      </c>
      <c r="U1249" s="8">
        <v>2</v>
      </c>
      <c r="V1249" s="8">
        <v>5</v>
      </c>
      <c r="W1249" t="s">
        <v>473</v>
      </c>
      <c r="X1249" t="s">
        <v>473</v>
      </c>
      <c r="Y1249" t="s">
        <v>473</v>
      </c>
      <c r="Z1249" t="s">
        <v>473</v>
      </c>
      <c r="AA1249" t="s">
        <v>473</v>
      </c>
      <c r="AB1249" t="s">
        <v>473</v>
      </c>
      <c r="AC1249" s="10">
        <v>3</v>
      </c>
      <c r="AD1249" s="10">
        <v>11</v>
      </c>
      <c r="AE1249" t="s">
        <v>473</v>
      </c>
    </row>
    <row r="1250" spans="1:31" x14ac:dyDescent="0.25">
      <c r="A1250">
        <v>4298</v>
      </c>
      <c r="B1250">
        <v>1973</v>
      </c>
      <c r="C1250" t="s">
        <v>33</v>
      </c>
      <c r="D1250" t="s">
        <v>31</v>
      </c>
      <c r="E1250" t="str">
        <f>IF(OR(Table1[[#This Row],[marital_status]]="Married", Table1[[#This Row],[marital_status]]="Together"), "Partnered", "Single")</f>
        <v>Partnered</v>
      </c>
      <c r="F1250" s="7">
        <v>20427</v>
      </c>
      <c r="G1250" s="8">
        <v>1</v>
      </c>
      <c r="H1250" s="8">
        <v>0</v>
      </c>
      <c r="I1250" s="8">
        <f>Table1[[#This Row],[kids]]+Table1[[#This Row],[teens]]</f>
        <v>1</v>
      </c>
      <c r="J1250" s="9">
        <v>41722</v>
      </c>
      <c r="K1250" s="8">
        <v>63</v>
      </c>
      <c r="L1250" s="6">
        <v>5</v>
      </c>
      <c r="M1250" s="5">
        <v>0</v>
      </c>
      <c r="N1250" s="5">
        <v>4</v>
      </c>
      <c r="O1250" s="5">
        <v>0</v>
      </c>
      <c r="P1250" s="5">
        <v>0</v>
      </c>
      <c r="Q1250" s="5">
        <v>1</v>
      </c>
      <c r="R1250" s="8">
        <v>1</v>
      </c>
      <c r="S1250" s="8">
        <v>1</v>
      </c>
      <c r="T1250" s="8">
        <v>0</v>
      </c>
      <c r="U1250" s="8">
        <v>2</v>
      </c>
      <c r="V1250" s="8">
        <v>8</v>
      </c>
      <c r="W1250" t="s">
        <v>473</v>
      </c>
      <c r="X1250" t="s">
        <v>473</v>
      </c>
      <c r="Y1250" t="s">
        <v>473</v>
      </c>
      <c r="Z1250" t="s">
        <v>473</v>
      </c>
      <c r="AA1250" t="s">
        <v>473</v>
      </c>
      <c r="AB1250" t="s">
        <v>473</v>
      </c>
      <c r="AC1250" s="10">
        <v>3</v>
      </c>
      <c r="AD1250" s="10">
        <v>11</v>
      </c>
      <c r="AE1250" t="s">
        <v>473</v>
      </c>
    </row>
    <row r="1251" spans="1:31" x14ac:dyDescent="0.25">
      <c r="A1251">
        <v>10833</v>
      </c>
      <c r="B1251">
        <v>1975</v>
      </c>
      <c r="C1251" t="s">
        <v>466</v>
      </c>
      <c r="D1251" t="s">
        <v>34</v>
      </c>
      <c r="E1251" t="str">
        <f>IF(OR(Table1[[#This Row],[marital_status]]="Married", Table1[[#This Row],[marital_status]]="Together"), "Partnered", "Single")</f>
        <v>Partnered</v>
      </c>
      <c r="F1251" s="7">
        <v>65106</v>
      </c>
      <c r="G1251" s="8">
        <v>0</v>
      </c>
      <c r="H1251" s="8">
        <v>1</v>
      </c>
      <c r="I1251" s="8">
        <f>Table1[[#This Row],[kids]]+Table1[[#This Row],[teens]]</f>
        <v>1</v>
      </c>
      <c r="J1251" s="9">
        <v>41783</v>
      </c>
      <c r="K1251" s="8">
        <v>55</v>
      </c>
      <c r="L1251" s="6">
        <v>790</v>
      </c>
      <c r="M1251" s="5">
        <v>19</v>
      </c>
      <c r="N1251" s="5">
        <v>133</v>
      </c>
      <c r="O1251" s="5">
        <v>12</v>
      </c>
      <c r="P1251" s="5">
        <v>0</v>
      </c>
      <c r="Q1251" s="5">
        <v>19</v>
      </c>
      <c r="R1251" s="8">
        <v>3</v>
      </c>
      <c r="S1251" s="8">
        <v>8</v>
      </c>
      <c r="T1251" s="8">
        <v>3</v>
      </c>
      <c r="U1251" s="8">
        <v>13</v>
      </c>
      <c r="V1251" s="8">
        <v>6</v>
      </c>
      <c r="W1251" t="s">
        <v>473</v>
      </c>
      <c r="X1251" t="s">
        <v>474</v>
      </c>
      <c r="Y1251" t="s">
        <v>473</v>
      </c>
      <c r="Z1251" t="s">
        <v>473</v>
      </c>
      <c r="AA1251" t="s">
        <v>473</v>
      </c>
      <c r="AB1251" t="s">
        <v>473</v>
      </c>
      <c r="AC1251" s="10">
        <v>3</v>
      </c>
      <c r="AD1251" s="10">
        <v>11</v>
      </c>
      <c r="AE1251" t="s">
        <v>473</v>
      </c>
    </row>
    <row r="1252" spans="1:31" x14ac:dyDescent="0.25">
      <c r="A1252">
        <v>9606</v>
      </c>
      <c r="B1252">
        <v>1965</v>
      </c>
      <c r="C1252" t="s">
        <v>33</v>
      </c>
      <c r="D1252" t="s">
        <v>34</v>
      </c>
      <c r="E1252" t="str">
        <f>IF(OR(Table1[[#This Row],[marital_status]]="Married", Table1[[#This Row],[marital_status]]="Together"), "Partnered", "Single")</f>
        <v>Partnered</v>
      </c>
      <c r="F1252" s="7">
        <v>69969</v>
      </c>
      <c r="G1252" s="8">
        <v>0</v>
      </c>
      <c r="H1252" s="8">
        <v>0</v>
      </c>
      <c r="I1252" s="8">
        <f>Table1[[#This Row],[kids]]+Table1[[#This Row],[teens]]</f>
        <v>0</v>
      </c>
      <c r="J1252" s="9">
        <v>41513</v>
      </c>
      <c r="K1252" s="8">
        <v>64</v>
      </c>
      <c r="L1252" s="6">
        <v>882</v>
      </c>
      <c r="M1252" s="5">
        <v>29</v>
      </c>
      <c r="N1252" s="5">
        <v>514</v>
      </c>
      <c r="O1252" s="5">
        <v>38</v>
      </c>
      <c r="P1252" s="5">
        <v>29</v>
      </c>
      <c r="Q1252" s="5">
        <v>44</v>
      </c>
      <c r="R1252" s="8">
        <v>1</v>
      </c>
      <c r="S1252" s="8">
        <v>4</v>
      </c>
      <c r="T1252" s="8">
        <v>2</v>
      </c>
      <c r="U1252" s="8">
        <v>6</v>
      </c>
      <c r="V1252" s="8">
        <v>3</v>
      </c>
      <c r="W1252" t="s">
        <v>473</v>
      </c>
      <c r="X1252" t="s">
        <v>473</v>
      </c>
      <c r="Y1252" t="s">
        <v>474</v>
      </c>
      <c r="Z1252" t="s">
        <v>474</v>
      </c>
      <c r="AA1252" t="s">
        <v>473</v>
      </c>
      <c r="AB1252" t="s">
        <v>473</v>
      </c>
      <c r="AC1252" s="10">
        <v>3</v>
      </c>
      <c r="AD1252" s="10">
        <v>11</v>
      </c>
      <c r="AE1252" t="s">
        <v>474</v>
      </c>
    </row>
    <row r="1253" spans="1:31" x14ac:dyDescent="0.25">
      <c r="A1253">
        <v>8534</v>
      </c>
      <c r="B1253">
        <v>1952</v>
      </c>
      <c r="C1253" t="s">
        <v>466</v>
      </c>
      <c r="D1253" t="s">
        <v>34</v>
      </c>
      <c r="E1253" t="str">
        <f>IF(OR(Table1[[#This Row],[marital_status]]="Married", Table1[[#This Row],[marital_status]]="Together"), "Partnered", "Single")</f>
        <v>Partnered</v>
      </c>
      <c r="F1253" s="7">
        <v>67433</v>
      </c>
      <c r="G1253" s="8">
        <v>0</v>
      </c>
      <c r="H1253" s="8">
        <v>2</v>
      </c>
      <c r="I1253" s="8">
        <f>Table1[[#This Row],[kids]]+Table1[[#This Row],[teens]]</f>
        <v>2</v>
      </c>
      <c r="J1253" s="9">
        <v>41471</v>
      </c>
      <c r="K1253" s="8">
        <v>51</v>
      </c>
      <c r="L1253" s="6">
        <v>615</v>
      </c>
      <c r="M1253" s="5">
        <v>28</v>
      </c>
      <c r="N1253" s="5">
        <v>259</v>
      </c>
      <c r="O1253" s="5">
        <v>12</v>
      </c>
      <c r="P1253" s="5">
        <v>48</v>
      </c>
      <c r="Q1253" s="5">
        <v>30</v>
      </c>
      <c r="R1253" s="8">
        <v>4</v>
      </c>
      <c r="S1253" s="8">
        <v>6</v>
      </c>
      <c r="T1253" s="8">
        <v>5</v>
      </c>
      <c r="U1253" s="8">
        <v>13</v>
      </c>
      <c r="V1253" s="8">
        <v>4</v>
      </c>
      <c r="W1253" t="s">
        <v>473</v>
      </c>
      <c r="X1253" t="s">
        <v>474</v>
      </c>
      <c r="Y1253" t="s">
        <v>473</v>
      </c>
      <c r="Z1253" t="s">
        <v>473</v>
      </c>
      <c r="AA1253" t="s">
        <v>473</v>
      </c>
      <c r="AB1253" t="s">
        <v>473</v>
      </c>
      <c r="AC1253" s="10">
        <v>3</v>
      </c>
      <c r="AD1253" s="10">
        <v>11</v>
      </c>
      <c r="AE1253" t="s">
        <v>473</v>
      </c>
    </row>
    <row r="1254" spans="1:31" x14ac:dyDescent="0.25">
      <c r="A1254">
        <v>5153</v>
      </c>
      <c r="B1254">
        <v>1967</v>
      </c>
      <c r="C1254" t="s">
        <v>33</v>
      </c>
      <c r="D1254" t="s">
        <v>34</v>
      </c>
      <c r="E1254" t="str">
        <f>IF(OR(Table1[[#This Row],[marital_status]]="Married", Table1[[#This Row],[marital_status]]="Together"), "Partnered", "Single")</f>
        <v>Partnered</v>
      </c>
      <c r="F1254" s="7">
        <v>77766</v>
      </c>
      <c r="G1254" s="8">
        <v>0</v>
      </c>
      <c r="H1254" s="8">
        <v>1</v>
      </c>
      <c r="I1254" s="8">
        <f>Table1[[#This Row],[kids]]+Table1[[#This Row],[teens]]</f>
        <v>1</v>
      </c>
      <c r="J1254" s="9">
        <v>41327</v>
      </c>
      <c r="K1254" s="8">
        <v>97</v>
      </c>
      <c r="L1254" s="6">
        <v>1004</v>
      </c>
      <c r="M1254" s="5">
        <v>59</v>
      </c>
      <c r="N1254" s="5">
        <v>265</v>
      </c>
      <c r="O1254" s="5">
        <v>115</v>
      </c>
      <c r="P1254" s="5">
        <v>59</v>
      </c>
      <c r="Q1254" s="5">
        <v>27</v>
      </c>
      <c r="R1254" s="8">
        <v>2</v>
      </c>
      <c r="S1254" s="8">
        <v>11</v>
      </c>
      <c r="T1254" s="8">
        <v>10</v>
      </c>
      <c r="U1254" s="8">
        <v>11</v>
      </c>
      <c r="V1254" s="8">
        <v>6</v>
      </c>
      <c r="W1254" t="s">
        <v>474</v>
      </c>
      <c r="X1254" t="s">
        <v>473</v>
      </c>
      <c r="Y1254" t="s">
        <v>473</v>
      </c>
      <c r="Z1254" t="s">
        <v>473</v>
      </c>
      <c r="AA1254" t="s">
        <v>473</v>
      </c>
      <c r="AB1254" t="s">
        <v>473</v>
      </c>
      <c r="AC1254" s="10">
        <v>3</v>
      </c>
      <c r="AD1254" s="10">
        <v>11</v>
      </c>
      <c r="AE1254" t="s">
        <v>474</v>
      </c>
    </row>
    <row r="1255" spans="1:31" x14ac:dyDescent="0.25">
      <c r="A1255">
        <v>961</v>
      </c>
      <c r="B1255">
        <v>1972</v>
      </c>
      <c r="C1255" t="s">
        <v>466</v>
      </c>
      <c r="D1255" t="s">
        <v>34</v>
      </c>
      <c r="E1255" t="str">
        <f>IF(OR(Table1[[#This Row],[marital_status]]="Married", Table1[[#This Row],[marital_status]]="Together"), "Partnered", "Single")</f>
        <v>Partnered</v>
      </c>
      <c r="F1255" s="7">
        <v>74716</v>
      </c>
      <c r="G1255" s="8">
        <v>0</v>
      </c>
      <c r="H1255" s="8">
        <v>1</v>
      </c>
      <c r="I1255" s="8">
        <f>Table1[[#This Row],[kids]]+Table1[[#This Row],[teens]]</f>
        <v>1</v>
      </c>
      <c r="J1255" s="9">
        <v>41529</v>
      </c>
      <c r="K1255" s="8">
        <v>92</v>
      </c>
      <c r="L1255" s="6">
        <v>133</v>
      </c>
      <c r="M1255" s="5">
        <v>27</v>
      </c>
      <c r="N1255" s="5">
        <v>421</v>
      </c>
      <c r="O1255" s="5">
        <v>13</v>
      </c>
      <c r="P1255" s="5">
        <v>195</v>
      </c>
      <c r="Q1255" s="5">
        <v>71</v>
      </c>
      <c r="R1255" s="8">
        <v>2</v>
      </c>
      <c r="S1255" s="8">
        <v>7</v>
      </c>
      <c r="T1255" s="8">
        <v>3</v>
      </c>
      <c r="U1255" s="8">
        <v>5</v>
      </c>
      <c r="V1255" s="8">
        <v>4</v>
      </c>
      <c r="W1255" t="s">
        <v>473</v>
      </c>
      <c r="X1255" t="s">
        <v>473</v>
      </c>
      <c r="Y1255" t="s">
        <v>473</v>
      </c>
      <c r="Z1255" t="s">
        <v>473</v>
      </c>
      <c r="AA1255" t="s">
        <v>473</v>
      </c>
      <c r="AB1255" t="s">
        <v>473</v>
      </c>
      <c r="AC1255" s="10">
        <v>3</v>
      </c>
      <c r="AD1255" s="10">
        <v>11</v>
      </c>
      <c r="AE1255" t="s">
        <v>473</v>
      </c>
    </row>
    <row r="1256" spans="1:31" x14ac:dyDescent="0.25">
      <c r="A1256">
        <v>5011</v>
      </c>
      <c r="B1256">
        <v>1963</v>
      </c>
      <c r="C1256" t="s">
        <v>466</v>
      </c>
      <c r="D1256" t="s">
        <v>37</v>
      </c>
      <c r="E1256" t="str">
        <f>IF(OR(Table1[[#This Row],[marital_status]]="Married", Table1[[#This Row],[marital_status]]="Together"), "Partnered", "Single")</f>
        <v>Single</v>
      </c>
      <c r="F1256" s="7">
        <v>68118</v>
      </c>
      <c r="G1256" s="8">
        <v>0</v>
      </c>
      <c r="H1256" s="8">
        <v>1</v>
      </c>
      <c r="I1256" s="8">
        <f>Table1[[#This Row],[kids]]+Table1[[#This Row],[teens]]</f>
        <v>1</v>
      </c>
      <c r="J1256" s="9">
        <v>41565</v>
      </c>
      <c r="K1256" s="8">
        <v>51</v>
      </c>
      <c r="L1256" s="6">
        <v>595</v>
      </c>
      <c r="M1256" s="5">
        <v>23</v>
      </c>
      <c r="N1256" s="5">
        <v>123</v>
      </c>
      <c r="O1256" s="5">
        <v>10</v>
      </c>
      <c r="P1256" s="5">
        <v>23</v>
      </c>
      <c r="Q1256" s="5">
        <v>154</v>
      </c>
      <c r="R1256" s="8">
        <v>2</v>
      </c>
      <c r="S1256" s="8">
        <v>8</v>
      </c>
      <c r="T1256" s="8">
        <v>9</v>
      </c>
      <c r="U1256" s="8">
        <v>4</v>
      </c>
      <c r="V1256" s="8">
        <v>6</v>
      </c>
      <c r="W1256" t="s">
        <v>473</v>
      </c>
      <c r="X1256" t="s">
        <v>473</v>
      </c>
      <c r="Y1256" t="s">
        <v>473</v>
      </c>
      <c r="Z1256" t="s">
        <v>473</v>
      </c>
      <c r="AA1256" t="s">
        <v>473</v>
      </c>
      <c r="AB1256" t="s">
        <v>473</v>
      </c>
      <c r="AC1256" s="10">
        <v>3</v>
      </c>
      <c r="AD1256" s="10">
        <v>11</v>
      </c>
      <c r="AE1256" t="s">
        <v>473</v>
      </c>
    </row>
    <row r="1257" spans="1:31" x14ac:dyDescent="0.25">
      <c r="A1257">
        <v>6653</v>
      </c>
      <c r="B1257">
        <v>1970</v>
      </c>
      <c r="C1257" t="s">
        <v>33</v>
      </c>
      <c r="D1257" t="s">
        <v>34</v>
      </c>
      <c r="E1257" t="str">
        <f>IF(OR(Table1[[#This Row],[marital_status]]="Married", Table1[[#This Row],[marital_status]]="Together"), "Partnered", "Single")</f>
        <v>Partnered</v>
      </c>
      <c r="F1257" s="7">
        <v>55158</v>
      </c>
      <c r="G1257" s="8">
        <v>1</v>
      </c>
      <c r="H1257" s="8">
        <v>1</v>
      </c>
      <c r="I1257" s="8">
        <f>Table1[[#This Row],[kids]]+Table1[[#This Row],[teens]]</f>
        <v>2</v>
      </c>
      <c r="J1257" s="9">
        <v>41120</v>
      </c>
      <c r="K1257" s="8">
        <v>72</v>
      </c>
      <c r="L1257" s="6">
        <v>293</v>
      </c>
      <c r="M1257" s="5">
        <v>0</v>
      </c>
      <c r="N1257" s="5">
        <v>87</v>
      </c>
      <c r="O1257" s="5">
        <v>4</v>
      </c>
      <c r="P1257" s="5">
        <v>11</v>
      </c>
      <c r="Q1257" s="5">
        <v>23</v>
      </c>
      <c r="R1257" s="8">
        <v>4</v>
      </c>
      <c r="S1257" s="8">
        <v>7</v>
      </c>
      <c r="T1257" s="8">
        <v>2</v>
      </c>
      <c r="U1257" s="8">
        <v>5</v>
      </c>
      <c r="V1257" s="8">
        <v>7</v>
      </c>
      <c r="W1257" t="s">
        <v>473</v>
      </c>
      <c r="X1257" t="s">
        <v>473</v>
      </c>
      <c r="Y1257" t="s">
        <v>473</v>
      </c>
      <c r="Z1257" t="s">
        <v>473</v>
      </c>
      <c r="AA1257" t="s">
        <v>473</v>
      </c>
      <c r="AB1257" t="s">
        <v>473</v>
      </c>
      <c r="AC1257" s="10">
        <v>3</v>
      </c>
      <c r="AD1257" s="10">
        <v>11</v>
      </c>
      <c r="AE1257" t="s">
        <v>474</v>
      </c>
    </row>
    <row r="1258" spans="1:31" x14ac:dyDescent="0.25">
      <c r="A1258">
        <v>9094</v>
      </c>
      <c r="B1258">
        <v>1955</v>
      </c>
      <c r="C1258" t="s">
        <v>46</v>
      </c>
      <c r="D1258" t="s">
        <v>34</v>
      </c>
      <c r="E1258" t="str">
        <f>IF(OR(Table1[[#This Row],[marital_status]]="Married", Table1[[#This Row],[marital_status]]="Together"), "Partnered", "Single")</f>
        <v>Partnered</v>
      </c>
      <c r="F1258" s="7">
        <v>62972</v>
      </c>
      <c r="G1258" s="8">
        <v>0</v>
      </c>
      <c r="H1258" s="8">
        <v>1</v>
      </c>
      <c r="I1258" s="8">
        <f>Table1[[#This Row],[kids]]+Table1[[#This Row],[teens]]</f>
        <v>1</v>
      </c>
      <c r="J1258" s="9">
        <v>41124</v>
      </c>
      <c r="K1258" s="8">
        <v>39</v>
      </c>
      <c r="L1258" s="6">
        <v>313</v>
      </c>
      <c r="M1258" s="5">
        <v>15</v>
      </c>
      <c r="N1258" s="5">
        <v>47</v>
      </c>
      <c r="O1258" s="5">
        <v>20</v>
      </c>
      <c r="P1258" s="5">
        <v>0</v>
      </c>
      <c r="Q1258" s="5">
        <v>192</v>
      </c>
      <c r="R1258" s="8">
        <v>2</v>
      </c>
      <c r="S1258" s="8">
        <v>7</v>
      </c>
      <c r="T1258" s="8">
        <v>4</v>
      </c>
      <c r="U1258" s="8">
        <v>3</v>
      </c>
      <c r="V1258" s="8">
        <v>6</v>
      </c>
      <c r="W1258" t="s">
        <v>473</v>
      </c>
      <c r="X1258" t="s">
        <v>473</v>
      </c>
      <c r="Y1258" t="s">
        <v>473</v>
      </c>
      <c r="Z1258" t="s">
        <v>473</v>
      </c>
      <c r="AA1258" t="s">
        <v>473</v>
      </c>
      <c r="AB1258" t="s">
        <v>473</v>
      </c>
      <c r="AC1258" s="10">
        <v>3</v>
      </c>
      <c r="AD1258" s="10">
        <v>11</v>
      </c>
      <c r="AE1258" t="s">
        <v>474</v>
      </c>
    </row>
    <row r="1259" spans="1:31" x14ac:dyDescent="0.25">
      <c r="A1259">
        <v>810</v>
      </c>
      <c r="B1259">
        <v>1975</v>
      </c>
      <c r="C1259" t="s">
        <v>466</v>
      </c>
      <c r="D1259" t="s">
        <v>34</v>
      </c>
      <c r="E1259" t="str">
        <f>IF(OR(Table1[[#This Row],[marital_status]]="Married", Table1[[#This Row],[marital_status]]="Together"), "Partnered", "Single")</f>
        <v>Partnered</v>
      </c>
      <c r="F1259" s="7">
        <v>74190</v>
      </c>
      <c r="G1259" s="8">
        <v>0</v>
      </c>
      <c r="H1259" s="8">
        <v>1</v>
      </c>
      <c r="I1259" s="8">
        <f>Table1[[#This Row],[kids]]+Table1[[#This Row],[teens]]</f>
        <v>1</v>
      </c>
      <c r="J1259" s="9">
        <v>41771</v>
      </c>
      <c r="K1259" s="8">
        <v>49</v>
      </c>
      <c r="L1259" s="6">
        <v>151</v>
      </c>
      <c r="M1259" s="5">
        <v>81</v>
      </c>
      <c r="N1259" s="5">
        <v>86</v>
      </c>
      <c r="O1259" s="5">
        <v>168</v>
      </c>
      <c r="P1259" s="5">
        <v>91</v>
      </c>
      <c r="Q1259" s="5">
        <v>64</v>
      </c>
      <c r="R1259" s="8">
        <v>2</v>
      </c>
      <c r="S1259" s="8">
        <v>4</v>
      </c>
      <c r="T1259" s="8">
        <v>2</v>
      </c>
      <c r="U1259" s="8">
        <v>11</v>
      </c>
      <c r="V1259" s="8">
        <v>2</v>
      </c>
      <c r="W1259" t="s">
        <v>473</v>
      </c>
      <c r="X1259" t="s">
        <v>473</v>
      </c>
      <c r="Y1259" t="s">
        <v>473</v>
      </c>
      <c r="Z1259" t="s">
        <v>473</v>
      </c>
      <c r="AA1259" t="s">
        <v>473</v>
      </c>
      <c r="AB1259" t="s">
        <v>473</v>
      </c>
      <c r="AC1259" s="10">
        <v>3</v>
      </c>
      <c r="AD1259" s="10">
        <v>11</v>
      </c>
      <c r="AE1259" t="s">
        <v>473</v>
      </c>
    </row>
    <row r="1260" spans="1:31" x14ac:dyDescent="0.25">
      <c r="A1260">
        <v>5493</v>
      </c>
      <c r="B1260">
        <v>1976</v>
      </c>
      <c r="C1260" t="s">
        <v>466</v>
      </c>
      <c r="D1260" t="s">
        <v>34</v>
      </c>
      <c r="E1260" t="str">
        <f>IF(OR(Table1[[#This Row],[marital_status]]="Married", Table1[[#This Row],[marital_status]]="Together"), "Partnered", "Single")</f>
        <v>Partnered</v>
      </c>
      <c r="F1260" s="7">
        <v>39356</v>
      </c>
      <c r="G1260" s="8">
        <v>1</v>
      </c>
      <c r="H1260" s="8">
        <v>1</v>
      </c>
      <c r="I1260" s="8">
        <f>Table1[[#This Row],[kids]]+Table1[[#This Row],[teens]]</f>
        <v>2</v>
      </c>
      <c r="J1260" s="9">
        <v>41717</v>
      </c>
      <c r="K1260" s="8">
        <v>21</v>
      </c>
      <c r="L1260" s="6">
        <v>15</v>
      </c>
      <c r="M1260" s="5">
        <v>0</v>
      </c>
      <c r="N1260" s="5">
        <v>2</v>
      </c>
      <c r="O1260" s="5">
        <v>0</v>
      </c>
      <c r="P1260" s="5">
        <v>0</v>
      </c>
      <c r="Q1260" s="5">
        <v>6</v>
      </c>
      <c r="R1260" s="8">
        <v>1</v>
      </c>
      <c r="S1260" s="8">
        <v>1</v>
      </c>
      <c r="T1260" s="8">
        <v>0</v>
      </c>
      <c r="U1260" s="8">
        <v>2</v>
      </c>
      <c r="V1260" s="8">
        <v>6</v>
      </c>
      <c r="W1260" t="s">
        <v>474</v>
      </c>
      <c r="X1260" t="s">
        <v>473</v>
      </c>
      <c r="Y1260" t="s">
        <v>473</v>
      </c>
      <c r="Z1260" t="s">
        <v>473</v>
      </c>
      <c r="AA1260" t="s">
        <v>473</v>
      </c>
      <c r="AB1260" t="s">
        <v>473</v>
      </c>
      <c r="AC1260" s="10">
        <v>3</v>
      </c>
      <c r="AD1260" s="10">
        <v>11</v>
      </c>
      <c r="AE1260" t="s">
        <v>473</v>
      </c>
    </row>
    <row r="1261" spans="1:31" x14ac:dyDescent="0.25">
      <c r="A1261">
        <v>2147</v>
      </c>
      <c r="B1261">
        <v>1969</v>
      </c>
      <c r="C1261" t="s">
        <v>466</v>
      </c>
      <c r="D1261" t="s">
        <v>31</v>
      </c>
      <c r="E1261" t="str">
        <f>IF(OR(Table1[[#This Row],[marital_status]]="Married", Table1[[#This Row],[marital_status]]="Together"), "Partnered", "Single")</f>
        <v>Partnered</v>
      </c>
      <c r="F1261" s="7">
        <v>76653</v>
      </c>
      <c r="G1261" s="8">
        <v>0</v>
      </c>
      <c r="H1261" s="8">
        <v>0</v>
      </c>
      <c r="I1261" s="8">
        <f>Table1[[#This Row],[kids]]+Table1[[#This Row],[teens]]</f>
        <v>0</v>
      </c>
      <c r="J1261" s="9">
        <v>41502</v>
      </c>
      <c r="K1261" s="8">
        <v>91</v>
      </c>
      <c r="L1261" s="6">
        <v>736</v>
      </c>
      <c r="M1261" s="5">
        <v>63</v>
      </c>
      <c r="N1261" s="5">
        <v>946</v>
      </c>
      <c r="O1261" s="5">
        <v>219</v>
      </c>
      <c r="P1261" s="5">
        <v>189</v>
      </c>
      <c r="Q1261" s="5">
        <v>126</v>
      </c>
      <c r="R1261" s="8">
        <v>1</v>
      </c>
      <c r="S1261" s="8">
        <v>4</v>
      </c>
      <c r="T1261" s="8">
        <v>7</v>
      </c>
      <c r="U1261" s="8">
        <v>11</v>
      </c>
      <c r="V1261" s="8">
        <v>2</v>
      </c>
      <c r="W1261" t="s">
        <v>473</v>
      </c>
      <c r="X1261" t="s">
        <v>473</v>
      </c>
      <c r="Y1261" t="s">
        <v>474</v>
      </c>
      <c r="Z1261" t="s">
        <v>474</v>
      </c>
      <c r="AA1261" t="s">
        <v>473</v>
      </c>
      <c r="AB1261" t="s">
        <v>473</v>
      </c>
      <c r="AC1261" s="10">
        <v>3</v>
      </c>
      <c r="AD1261" s="10">
        <v>11</v>
      </c>
      <c r="AE1261" t="s">
        <v>473</v>
      </c>
    </row>
    <row r="1262" spans="1:31" x14ac:dyDescent="0.25">
      <c r="A1262">
        <v>5107</v>
      </c>
      <c r="B1262">
        <v>1973</v>
      </c>
      <c r="C1262" t="s">
        <v>33</v>
      </c>
      <c r="D1262" t="s">
        <v>37</v>
      </c>
      <c r="E1262" t="str">
        <f>IF(OR(Table1[[#This Row],[marital_status]]="Married", Table1[[#This Row],[marital_status]]="Together"), "Partnered", "Single")</f>
        <v>Single</v>
      </c>
      <c r="F1262" s="7">
        <v>35860</v>
      </c>
      <c r="G1262" s="8">
        <v>1</v>
      </c>
      <c r="H1262" s="8">
        <v>1</v>
      </c>
      <c r="I1262" s="8">
        <f>Table1[[#This Row],[kids]]+Table1[[#This Row],[teens]]</f>
        <v>2</v>
      </c>
      <c r="J1262" s="9">
        <v>41778</v>
      </c>
      <c r="K1262" s="8">
        <v>37</v>
      </c>
      <c r="L1262" s="6">
        <v>15</v>
      </c>
      <c r="M1262" s="5">
        <v>0</v>
      </c>
      <c r="N1262" s="5">
        <v>8</v>
      </c>
      <c r="O1262" s="5">
        <v>4</v>
      </c>
      <c r="P1262" s="5">
        <v>2</v>
      </c>
      <c r="Q1262" s="5">
        <v>20</v>
      </c>
      <c r="R1262" s="8">
        <v>2</v>
      </c>
      <c r="S1262" s="8">
        <v>1</v>
      </c>
      <c r="T1262" s="8">
        <v>1</v>
      </c>
      <c r="U1262" s="8">
        <v>2</v>
      </c>
      <c r="V1262" s="8">
        <v>5</v>
      </c>
      <c r="W1262" t="s">
        <v>474</v>
      </c>
      <c r="X1262" t="s">
        <v>473</v>
      </c>
      <c r="Y1262" t="s">
        <v>473</v>
      </c>
      <c r="Z1262" t="s">
        <v>473</v>
      </c>
      <c r="AA1262" t="s">
        <v>473</v>
      </c>
      <c r="AB1262" t="s">
        <v>473</v>
      </c>
      <c r="AC1262" s="10">
        <v>3</v>
      </c>
      <c r="AD1262" s="10">
        <v>11</v>
      </c>
      <c r="AE1262" t="s">
        <v>473</v>
      </c>
    </row>
    <row r="1263" spans="1:31" x14ac:dyDescent="0.25">
      <c r="A1263">
        <v>3979</v>
      </c>
      <c r="B1263">
        <v>1983</v>
      </c>
      <c r="C1263" t="s">
        <v>33</v>
      </c>
      <c r="D1263" t="s">
        <v>37</v>
      </c>
      <c r="E1263" t="str">
        <f>IF(OR(Table1[[#This Row],[marital_status]]="Married", Table1[[#This Row],[marital_status]]="Together"), "Partnered", "Single")</f>
        <v>Single</v>
      </c>
      <c r="F1263" s="7">
        <v>90687</v>
      </c>
      <c r="G1263" s="8">
        <v>0</v>
      </c>
      <c r="H1263" s="8">
        <v>0</v>
      </c>
      <c r="I1263" s="8">
        <f>Table1[[#This Row],[kids]]+Table1[[#This Row],[teens]]</f>
        <v>0</v>
      </c>
      <c r="J1263" s="9">
        <v>41416</v>
      </c>
      <c r="K1263" s="8">
        <v>98</v>
      </c>
      <c r="L1263" s="6">
        <v>982</v>
      </c>
      <c r="M1263" s="5">
        <v>17</v>
      </c>
      <c r="N1263" s="5">
        <v>672</v>
      </c>
      <c r="O1263" s="5">
        <v>23</v>
      </c>
      <c r="P1263" s="5">
        <v>34</v>
      </c>
      <c r="Q1263" s="5">
        <v>51</v>
      </c>
      <c r="R1263" s="8">
        <v>1</v>
      </c>
      <c r="S1263" s="8">
        <v>6</v>
      </c>
      <c r="T1263" s="8">
        <v>2</v>
      </c>
      <c r="U1263" s="8">
        <v>8</v>
      </c>
      <c r="V1263" s="8">
        <v>2</v>
      </c>
      <c r="W1263" t="s">
        <v>473</v>
      </c>
      <c r="X1263" t="s">
        <v>473</v>
      </c>
      <c r="Y1263" t="s">
        <v>474</v>
      </c>
      <c r="Z1263" t="s">
        <v>473</v>
      </c>
      <c r="AA1263" t="s">
        <v>473</v>
      </c>
      <c r="AB1263" t="s">
        <v>473</v>
      </c>
      <c r="AC1263" s="10">
        <v>3</v>
      </c>
      <c r="AD1263" s="10">
        <v>11</v>
      </c>
      <c r="AE1263" t="s">
        <v>474</v>
      </c>
    </row>
    <row r="1264" spans="1:31" x14ac:dyDescent="0.25">
      <c r="A1264">
        <v>6049</v>
      </c>
      <c r="B1264">
        <v>1982</v>
      </c>
      <c r="C1264" t="s">
        <v>36</v>
      </c>
      <c r="D1264" t="s">
        <v>31</v>
      </c>
      <c r="E1264" t="str">
        <f>IF(OR(Table1[[#This Row],[marital_status]]="Married", Table1[[#This Row],[marital_status]]="Together"), "Partnered", "Single")</f>
        <v>Partnered</v>
      </c>
      <c r="F1264" s="7">
        <v>73450</v>
      </c>
      <c r="G1264" s="8">
        <v>0</v>
      </c>
      <c r="H1264" s="8">
        <v>0</v>
      </c>
      <c r="I1264" s="8">
        <f>Table1[[#This Row],[kids]]+Table1[[#This Row],[teens]]</f>
        <v>0</v>
      </c>
      <c r="J1264" s="9">
        <v>41613</v>
      </c>
      <c r="K1264" s="8">
        <v>85</v>
      </c>
      <c r="L1264" s="6">
        <v>1142</v>
      </c>
      <c r="M1264" s="5">
        <v>51</v>
      </c>
      <c r="N1264" s="5">
        <v>415</v>
      </c>
      <c r="O1264" s="5">
        <v>90</v>
      </c>
      <c r="P1264" s="5">
        <v>69</v>
      </c>
      <c r="Q1264" s="5">
        <v>37</v>
      </c>
      <c r="R1264" s="8">
        <v>1</v>
      </c>
      <c r="S1264" s="8">
        <v>7</v>
      </c>
      <c r="T1264" s="8">
        <v>8</v>
      </c>
      <c r="U1264" s="8">
        <v>11</v>
      </c>
      <c r="V1264" s="8">
        <v>3</v>
      </c>
      <c r="W1264" t="s">
        <v>474</v>
      </c>
      <c r="X1264" t="s">
        <v>473</v>
      </c>
      <c r="Y1264" t="s">
        <v>473</v>
      </c>
      <c r="Z1264" t="s">
        <v>474</v>
      </c>
      <c r="AA1264" t="s">
        <v>473</v>
      </c>
      <c r="AB1264" t="s">
        <v>473</v>
      </c>
      <c r="AC1264" s="10">
        <v>3</v>
      </c>
      <c r="AD1264" s="10">
        <v>11</v>
      </c>
      <c r="AE1264" t="s">
        <v>473</v>
      </c>
    </row>
    <row r="1265" spans="1:31" x14ac:dyDescent="0.25">
      <c r="A1265">
        <v>8147</v>
      </c>
      <c r="B1265">
        <v>1960</v>
      </c>
      <c r="C1265" t="s">
        <v>466</v>
      </c>
      <c r="D1265" t="s">
        <v>34</v>
      </c>
      <c r="E1265" t="str">
        <f>IF(OR(Table1[[#This Row],[marital_status]]="Married", Table1[[#This Row],[marital_status]]="Together"), "Partnered", "Single")</f>
        <v>Partnered</v>
      </c>
      <c r="F1265" s="7">
        <v>31454</v>
      </c>
      <c r="G1265" s="8">
        <v>1</v>
      </c>
      <c r="H1265" s="8">
        <v>1</v>
      </c>
      <c r="I1265" s="8">
        <f>Table1[[#This Row],[kids]]+Table1[[#This Row],[teens]]</f>
        <v>2</v>
      </c>
      <c r="J1265" s="9">
        <v>41461</v>
      </c>
      <c r="K1265" s="8">
        <v>40</v>
      </c>
      <c r="L1265" s="6">
        <v>28</v>
      </c>
      <c r="M1265" s="5">
        <v>0</v>
      </c>
      <c r="N1265" s="5">
        <v>11</v>
      </c>
      <c r="O1265" s="5">
        <v>0</v>
      </c>
      <c r="P1265" s="5">
        <v>0</v>
      </c>
      <c r="Q1265" s="5">
        <v>9</v>
      </c>
      <c r="R1265" s="8">
        <v>3</v>
      </c>
      <c r="S1265" s="8">
        <v>2</v>
      </c>
      <c r="T1265" s="8">
        <v>0</v>
      </c>
      <c r="U1265" s="8">
        <v>3</v>
      </c>
      <c r="V1265" s="8">
        <v>8</v>
      </c>
      <c r="W1265" t="s">
        <v>473</v>
      </c>
      <c r="X1265" t="s">
        <v>473</v>
      </c>
      <c r="Y1265" t="s">
        <v>473</v>
      </c>
      <c r="Z1265" t="s">
        <v>473</v>
      </c>
      <c r="AA1265" t="s">
        <v>473</v>
      </c>
      <c r="AB1265" t="s">
        <v>473</v>
      </c>
      <c r="AC1265" s="10">
        <v>3</v>
      </c>
      <c r="AD1265" s="10">
        <v>11</v>
      </c>
      <c r="AE1265" t="s">
        <v>473</v>
      </c>
    </row>
    <row r="1266" spans="1:31" x14ac:dyDescent="0.25">
      <c r="A1266">
        <v>1857</v>
      </c>
      <c r="B1266">
        <v>1952</v>
      </c>
      <c r="C1266" t="s">
        <v>466</v>
      </c>
      <c r="D1266" t="s">
        <v>30</v>
      </c>
      <c r="E1266" t="str">
        <f>IF(OR(Table1[[#This Row],[marital_status]]="Married", Table1[[#This Row],[marital_status]]="Together"), "Partnered", "Single")</f>
        <v>Single</v>
      </c>
      <c r="F1266" s="7">
        <v>47139</v>
      </c>
      <c r="G1266" s="8">
        <v>1</v>
      </c>
      <c r="H1266" s="8">
        <v>1</v>
      </c>
      <c r="I1266" s="8">
        <f>Table1[[#This Row],[kids]]+Table1[[#This Row],[teens]]</f>
        <v>2</v>
      </c>
      <c r="J1266" s="9">
        <v>41704</v>
      </c>
      <c r="K1266" s="8">
        <v>2</v>
      </c>
      <c r="L1266" s="6">
        <v>46</v>
      </c>
      <c r="M1266" s="5">
        <v>0</v>
      </c>
      <c r="N1266" s="5">
        <v>12</v>
      </c>
      <c r="O1266" s="5">
        <v>0</v>
      </c>
      <c r="P1266" s="5">
        <v>2</v>
      </c>
      <c r="Q1266" s="5">
        <v>23</v>
      </c>
      <c r="R1266" s="8">
        <v>2</v>
      </c>
      <c r="S1266" s="8">
        <v>2</v>
      </c>
      <c r="T1266" s="8">
        <v>1</v>
      </c>
      <c r="U1266" s="8">
        <v>2</v>
      </c>
      <c r="V1266" s="8">
        <v>7</v>
      </c>
      <c r="W1266" t="s">
        <v>473</v>
      </c>
      <c r="X1266" t="s">
        <v>473</v>
      </c>
      <c r="Y1266" t="s">
        <v>473</v>
      </c>
      <c r="Z1266" t="s">
        <v>473</v>
      </c>
      <c r="AA1266" t="s">
        <v>473</v>
      </c>
      <c r="AB1266" t="s">
        <v>473</v>
      </c>
      <c r="AC1266" s="10">
        <v>3</v>
      </c>
      <c r="AD1266" s="10">
        <v>11</v>
      </c>
      <c r="AE1266" t="s">
        <v>474</v>
      </c>
    </row>
    <row r="1267" spans="1:31" x14ac:dyDescent="0.25">
      <c r="A1267">
        <v>3910</v>
      </c>
      <c r="B1267">
        <v>1975</v>
      </c>
      <c r="C1267" t="s">
        <v>466</v>
      </c>
      <c r="D1267" t="s">
        <v>37</v>
      </c>
      <c r="E1267" t="str">
        <f>IF(OR(Table1[[#This Row],[marital_status]]="Married", Table1[[#This Row],[marital_status]]="Together"), "Partnered", "Single")</f>
        <v>Single</v>
      </c>
      <c r="F1267" s="7">
        <v>83829</v>
      </c>
      <c r="G1267" s="8">
        <v>0</v>
      </c>
      <c r="H1267" s="8">
        <v>0</v>
      </c>
      <c r="I1267" s="8">
        <f>Table1[[#This Row],[kids]]+Table1[[#This Row],[teens]]</f>
        <v>0</v>
      </c>
      <c r="J1267" s="9">
        <v>41555</v>
      </c>
      <c r="K1267" s="8">
        <v>78</v>
      </c>
      <c r="L1267" s="6">
        <v>897</v>
      </c>
      <c r="M1267" s="5">
        <v>161</v>
      </c>
      <c r="N1267" s="5">
        <v>430</v>
      </c>
      <c r="O1267" s="5">
        <v>186</v>
      </c>
      <c r="P1267" s="5">
        <v>161</v>
      </c>
      <c r="Q1267" s="5">
        <v>27</v>
      </c>
      <c r="R1267" s="8">
        <v>0</v>
      </c>
      <c r="S1267" s="8">
        <v>4</v>
      </c>
      <c r="T1267" s="8">
        <v>7</v>
      </c>
      <c r="U1267" s="8">
        <v>6</v>
      </c>
      <c r="V1267" s="8">
        <v>1</v>
      </c>
      <c r="W1267" t="s">
        <v>474</v>
      </c>
      <c r="X1267" t="s">
        <v>473</v>
      </c>
      <c r="Y1267" t="s">
        <v>474</v>
      </c>
      <c r="Z1267" t="s">
        <v>474</v>
      </c>
      <c r="AA1267" t="s">
        <v>473</v>
      </c>
      <c r="AB1267" t="s">
        <v>473</v>
      </c>
      <c r="AC1267" s="10">
        <v>3</v>
      </c>
      <c r="AD1267" s="10">
        <v>11</v>
      </c>
      <c r="AE1267" t="s">
        <v>474</v>
      </c>
    </row>
    <row r="1268" spans="1:31" x14ac:dyDescent="0.25">
      <c r="A1268">
        <v>5207</v>
      </c>
      <c r="B1268">
        <v>1963</v>
      </c>
      <c r="C1268" t="s">
        <v>33</v>
      </c>
      <c r="D1268" t="s">
        <v>34</v>
      </c>
      <c r="E1268" t="str">
        <f>IF(OR(Table1[[#This Row],[marital_status]]="Married", Table1[[#This Row],[marital_status]]="Together"), "Partnered", "Single")</f>
        <v>Partnered</v>
      </c>
      <c r="F1268" s="7">
        <v>53378</v>
      </c>
      <c r="G1268" s="8">
        <v>1</v>
      </c>
      <c r="H1268" s="8">
        <v>1</v>
      </c>
      <c r="I1268" s="8">
        <f>Table1[[#This Row],[kids]]+Table1[[#This Row],[teens]]</f>
        <v>2</v>
      </c>
      <c r="J1268" s="9">
        <v>41176</v>
      </c>
      <c r="K1268" s="8">
        <v>41</v>
      </c>
      <c r="L1268" s="6">
        <v>489</v>
      </c>
      <c r="M1268" s="5">
        <v>6</v>
      </c>
      <c r="N1268" s="5">
        <v>152</v>
      </c>
      <c r="O1268" s="5">
        <v>8</v>
      </c>
      <c r="P1268" s="5">
        <v>6</v>
      </c>
      <c r="Q1268" s="5">
        <v>132</v>
      </c>
      <c r="R1268" s="8">
        <v>10</v>
      </c>
      <c r="S1268" s="8">
        <v>9</v>
      </c>
      <c r="T1268" s="8">
        <v>4</v>
      </c>
      <c r="U1268" s="8">
        <v>6</v>
      </c>
      <c r="V1268" s="8">
        <v>8</v>
      </c>
      <c r="W1268" t="s">
        <v>473</v>
      </c>
      <c r="X1268" t="s">
        <v>473</v>
      </c>
      <c r="Y1268" t="s">
        <v>473</v>
      </c>
      <c r="Z1268" t="s">
        <v>473</v>
      </c>
      <c r="AA1268" t="s">
        <v>473</v>
      </c>
      <c r="AB1268" t="s">
        <v>473</v>
      </c>
      <c r="AC1268" s="10">
        <v>3</v>
      </c>
      <c r="AD1268" s="10">
        <v>11</v>
      </c>
      <c r="AE1268" t="s">
        <v>474</v>
      </c>
    </row>
    <row r="1269" spans="1:31" x14ac:dyDescent="0.25">
      <c r="A1269">
        <v>11114</v>
      </c>
      <c r="B1269">
        <v>1970</v>
      </c>
      <c r="C1269" t="s">
        <v>466</v>
      </c>
      <c r="D1269" t="s">
        <v>31</v>
      </c>
      <c r="E1269" t="str">
        <f>IF(OR(Table1[[#This Row],[marital_status]]="Married", Table1[[#This Row],[marital_status]]="Together"), "Partnered", "Single")</f>
        <v>Partnered</v>
      </c>
      <c r="F1269" s="7">
        <v>19656</v>
      </c>
      <c r="G1269" s="8">
        <v>1</v>
      </c>
      <c r="H1269" s="8">
        <v>0</v>
      </c>
      <c r="I1269" s="8">
        <f>Table1[[#This Row],[kids]]+Table1[[#This Row],[teens]]</f>
        <v>1</v>
      </c>
      <c r="J1269" s="9">
        <v>41313</v>
      </c>
      <c r="K1269" s="8">
        <v>94</v>
      </c>
      <c r="L1269" s="6">
        <v>25</v>
      </c>
      <c r="M1269" s="5">
        <v>4</v>
      </c>
      <c r="N1269" s="5">
        <v>9</v>
      </c>
      <c r="O1269" s="5">
        <v>6</v>
      </c>
      <c r="P1269" s="5">
        <v>8</v>
      </c>
      <c r="Q1269" s="5">
        <v>32</v>
      </c>
      <c r="R1269" s="8">
        <v>3</v>
      </c>
      <c r="S1269" s="8">
        <v>2</v>
      </c>
      <c r="T1269" s="8">
        <v>1</v>
      </c>
      <c r="U1269" s="8">
        <v>3</v>
      </c>
      <c r="V1269" s="8">
        <v>7</v>
      </c>
      <c r="W1269" t="s">
        <v>473</v>
      </c>
      <c r="X1269" t="s">
        <v>473</v>
      </c>
      <c r="Y1269" t="s">
        <v>473</v>
      </c>
      <c r="Z1269" t="s">
        <v>473</v>
      </c>
      <c r="AA1269" t="s">
        <v>473</v>
      </c>
      <c r="AB1269" t="s">
        <v>473</v>
      </c>
      <c r="AC1269" s="10">
        <v>3</v>
      </c>
      <c r="AD1269" s="10">
        <v>11</v>
      </c>
      <c r="AE1269" t="s">
        <v>473</v>
      </c>
    </row>
    <row r="1270" spans="1:31" x14ac:dyDescent="0.25">
      <c r="A1270">
        <v>5429</v>
      </c>
      <c r="B1270">
        <v>1948</v>
      </c>
      <c r="C1270" t="s">
        <v>33</v>
      </c>
      <c r="D1270" t="s">
        <v>34</v>
      </c>
      <c r="E1270" t="str">
        <f>IF(OR(Table1[[#This Row],[marital_status]]="Married", Table1[[#This Row],[marital_status]]="Together"), "Partnered", "Single")</f>
        <v>Partnered</v>
      </c>
      <c r="F1270" s="7">
        <v>45579</v>
      </c>
      <c r="G1270" s="8">
        <v>0</v>
      </c>
      <c r="H1270" s="8">
        <v>1</v>
      </c>
      <c r="I1270" s="8">
        <f>Table1[[#This Row],[kids]]+Table1[[#This Row],[teens]]</f>
        <v>1</v>
      </c>
      <c r="J1270" s="9">
        <v>41506</v>
      </c>
      <c r="K1270" s="8">
        <v>10</v>
      </c>
      <c r="L1270" s="6">
        <v>145</v>
      </c>
      <c r="M1270" s="5">
        <v>1</v>
      </c>
      <c r="N1270" s="5">
        <v>33</v>
      </c>
      <c r="O1270" s="5">
        <v>2</v>
      </c>
      <c r="P1270" s="5">
        <v>1</v>
      </c>
      <c r="Q1270" s="5">
        <v>1</v>
      </c>
      <c r="R1270" s="8">
        <v>1</v>
      </c>
      <c r="S1270" s="8">
        <v>4</v>
      </c>
      <c r="T1270" s="8">
        <v>1</v>
      </c>
      <c r="U1270" s="8">
        <v>4</v>
      </c>
      <c r="V1270" s="8">
        <v>6</v>
      </c>
      <c r="W1270" t="s">
        <v>473</v>
      </c>
      <c r="X1270" t="s">
        <v>473</v>
      </c>
      <c r="Y1270" t="s">
        <v>473</v>
      </c>
      <c r="Z1270" t="s">
        <v>473</v>
      </c>
      <c r="AA1270" t="s">
        <v>473</v>
      </c>
      <c r="AB1270" t="s">
        <v>473</v>
      </c>
      <c r="AC1270" s="10">
        <v>3</v>
      </c>
      <c r="AD1270" s="10">
        <v>11</v>
      </c>
      <c r="AE1270" t="s">
        <v>473</v>
      </c>
    </row>
    <row r="1271" spans="1:31" x14ac:dyDescent="0.25">
      <c r="A1271">
        <v>9400</v>
      </c>
      <c r="B1271">
        <v>1958</v>
      </c>
      <c r="C1271" t="s">
        <v>46</v>
      </c>
      <c r="D1271" t="s">
        <v>30</v>
      </c>
      <c r="E1271" t="str">
        <f>IF(OR(Table1[[#This Row],[marital_status]]="Married", Table1[[#This Row],[marital_status]]="Together"), "Partnered", "Single")</f>
        <v>Single</v>
      </c>
      <c r="F1271" s="7">
        <v>85485</v>
      </c>
      <c r="G1271" s="8">
        <v>0</v>
      </c>
      <c r="H1271" s="8">
        <v>0</v>
      </c>
      <c r="I1271" s="8">
        <f>Table1[[#This Row],[kids]]+Table1[[#This Row],[teens]]</f>
        <v>0</v>
      </c>
      <c r="J1271" s="9">
        <v>41811</v>
      </c>
      <c r="K1271" s="8">
        <v>73</v>
      </c>
      <c r="L1271" s="6">
        <v>630</v>
      </c>
      <c r="M1271" s="5">
        <v>26</v>
      </c>
      <c r="N1271" s="5">
        <v>611</v>
      </c>
      <c r="O1271" s="5">
        <v>44</v>
      </c>
      <c r="P1271" s="5">
        <v>18</v>
      </c>
      <c r="Q1271" s="5">
        <v>54</v>
      </c>
      <c r="R1271" s="8">
        <v>1</v>
      </c>
      <c r="S1271" s="8">
        <v>6</v>
      </c>
      <c r="T1271" s="8">
        <v>6</v>
      </c>
      <c r="U1271" s="8">
        <v>6</v>
      </c>
      <c r="V1271" s="8">
        <v>2</v>
      </c>
      <c r="W1271" t="s">
        <v>473</v>
      </c>
      <c r="X1271" t="s">
        <v>473</v>
      </c>
      <c r="Y1271" t="s">
        <v>473</v>
      </c>
      <c r="Z1271" t="s">
        <v>473</v>
      </c>
      <c r="AA1271" t="s">
        <v>473</v>
      </c>
      <c r="AB1271" t="s">
        <v>473</v>
      </c>
      <c r="AC1271" s="10">
        <v>3</v>
      </c>
      <c r="AD1271" s="10">
        <v>11</v>
      </c>
      <c r="AE1271" t="s">
        <v>473</v>
      </c>
    </row>
    <row r="1272" spans="1:31" x14ac:dyDescent="0.25">
      <c r="A1272">
        <v>1740</v>
      </c>
      <c r="B1272">
        <v>1944</v>
      </c>
      <c r="C1272" t="s">
        <v>466</v>
      </c>
      <c r="D1272" t="s">
        <v>34</v>
      </c>
      <c r="E1272" t="str">
        <f>IF(OR(Table1[[#This Row],[marital_status]]="Married", Table1[[#This Row],[marital_status]]="Together"), "Partnered", "Single")</f>
        <v>Partnered</v>
      </c>
      <c r="F1272" s="7">
        <v>55956</v>
      </c>
      <c r="G1272" s="8">
        <v>0</v>
      </c>
      <c r="H1272" s="8">
        <v>0</v>
      </c>
      <c r="I1272" s="8">
        <f>Table1[[#This Row],[kids]]+Table1[[#This Row],[teens]]</f>
        <v>0</v>
      </c>
      <c r="J1272" s="9">
        <v>41736</v>
      </c>
      <c r="K1272" s="8">
        <v>22</v>
      </c>
      <c r="L1272" s="6">
        <v>760</v>
      </c>
      <c r="M1272" s="5">
        <v>38</v>
      </c>
      <c r="N1272" s="5">
        <v>104</v>
      </c>
      <c r="O1272" s="5">
        <v>50</v>
      </c>
      <c r="P1272" s="5">
        <v>9</v>
      </c>
      <c r="Q1272" s="5">
        <v>38</v>
      </c>
      <c r="R1272" s="8">
        <v>2</v>
      </c>
      <c r="S1272" s="8">
        <v>7</v>
      </c>
      <c r="T1272" s="8">
        <v>3</v>
      </c>
      <c r="U1272" s="8">
        <v>4</v>
      </c>
      <c r="V1272" s="8">
        <v>4</v>
      </c>
      <c r="W1272" t="s">
        <v>473</v>
      </c>
      <c r="X1272" t="s">
        <v>474</v>
      </c>
      <c r="Y1272" t="s">
        <v>473</v>
      </c>
      <c r="Z1272" t="s">
        <v>473</v>
      </c>
      <c r="AA1272" t="s">
        <v>473</v>
      </c>
      <c r="AB1272" t="s">
        <v>473</v>
      </c>
      <c r="AC1272" s="10">
        <v>3</v>
      </c>
      <c r="AD1272" s="10">
        <v>11</v>
      </c>
      <c r="AE1272" t="s">
        <v>473</v>
      </c>
    </row>
    <row r="1273" spans="1:31" x14ac:dyDescent="0.25">
      <c r="A1273">
        <v>7488</v>
      </c>
      <c r="B1273">
        <v>1963</v>
      </c>
      <c r="C1273" t="s">
        <v>36</v>
      </c>
      <c r="D1273" t="s">
        <v>30</v>
      </c>
      <c r="E1273" t="str">
        <f>IF(OR(Table1[[#This Row],[marital_status]]="Married", Table1[[#This Row],[marital_status]]="Together"), "Partnered", "Single")</f>
        <v>Single</v>
      </c>
      <c r="F1273" s="7">
        <v>64191</v>
      </c>
      <c r="G1273" s="8">
        <v>0</v>
      </c>
      <c r="H1273" s="8">
        <v>1</v>
      </c>
      <c r="I1273" s="8">
        <f>Table1[[#This Row],[kids]]+Table1[[#This Row],[teens]]</f>
        <v>1</v>
      </c>
      <c r="J1273" s="9">
        <v>41296</v>
      </c>
      <c r="K1273" s="8">
        <v>30</v>
      </c>
      <c r="L1273" s="6">
        <v>420</v>
      </c>
      <c r="M1273" s="5">
        <v>15</v>
      </c>
      <c r="N1273" s="5">
        <v>186</v>
      </c>
      <c r="O1273" s="5">
        <v>151</v>
      </c>
      <c r="P1273" s="5">
        <v>38</v>
      </c>
      <c r="Q1273" s="5">
        <v>15</v>
      </c>
      <c r="R1273" s="8">
        <v>3</v>
      </c>
      <c r="S1273" s="8">
        <v>5</v>
      </c>
      <c r="T1273" s="8">
        <v>3</v>
      </c>
      <c r="U1273" s="8">
        <v>13</v>
      </c>
      <c r="V1273" s="8">
        <v>3</v>
      </c>
      <c r="W1273" t="s">
        <v>473</v>
      </c>
      <c r="X1273" t="s">
        <v>473</v>
      </c>
      <c r="Y1273" t="s">
        <v>473</v>
      </c>
      <c r="Z1273" t="s">
        <v>473</v>
      </c>
      <c r="AA1273" t="s">
        <v>473</v>
      </c>
      <c r="AB1273" t="s">
        <v>473</v>
      </c>
      <c r="AC1273" s="10">
        <v>3</v>
      </c>
      <c r="AD1273" s="10">
        <v>11</v>
      </c>
      <c r="AE1273" t="s">
        <v>473</v>
      </c>
    </row>
    <row r="1274" spans="1:31" x14ac:dyDescent="0.25">
      <c r="A1274">
        <v>195</v>
      </c>
      <c r="B1274">
        <v>1972</v>
      </c>
      <c r="C1274" t="s">
        <v>466</v>
      </c>
      <c r="D1274" t="s">
        <v>30</v>
      </c>
      <c r="E1274" t="str">
        <f>IF(OR(Table1[[#This Row],[marital_status]]="Married", Table1[[#This Row],[marital_status]]="Together"), "Partnered", "Single")</f>
        <v>Single</v>
      </c>
      <c r="F1274" s="7">
        <v>38808</v>
      </c>
      <c r="G1274" s="8">
        <v>1</v>
      </c>
      <c r="H1274" s="8">
        <v>0</v>
      </c>
      <c r="I1274" s="8">
        <f>Table1[[#This Row],[kids]]+Table1[[#This Row],[teens]]</f>
        <v>1</v>
      </c>
      <c r="J1274" s="9">
        <v>41147</v>
      </c>
      <c r="K1274" s="8">
        <v>21</v>
      </c>
      <c r="L1274" s="6">
        <v>125</v>
      </c>
      <c r="M1274" s="5">
        <v>17</v>
      </c>
      <c r="N1274" s="5">
        <v>52</v>
      </c>
      <c r="O1274" s="5">
        <v>3</v>
      </c>
      <c r="P1274" s="5">
        <v>19</v>
      </c>
      <c r="Q1274" s="5">
        <v>30</v>
      </c>
      <c r="R1274" s="8">
        <v>4</v>
      </c>
      <c r="S1274" s="8">
        <v>5</v>
      </c>
      <c r="T1274" s="8">
        <v>1</v>
      </c>
      <c r="U1274" s="8">
        <v>4</v>
      </c>
      <c r="V1274" s="8">
        <v>8</v>
      </c>
      <c r="W1274" t="s">
        <v>474</v>
      </c>
      <c r="X1274" t="s">
        <v>473</v>
      </c>
      <c r="Y1274" t="s">
        <v>473</v>
      </c>
      <c r="Z1274" t="s">
        <v>473</v>
      </c>
      <c r="AA1274" t="s">
        <v>473</v>
      </c>
      <c r="AB1274" t="s">
        <v>473</v>
      </c>
      <c r="AC1274" s="10">
        <v>3</v>
      </c>
      <c r="AD1274" s="10">
        <v>11</v>
      </c>
      <c r="AE1274" t="s">
        <v>474</v>
      </c>
    </row>
    <row r="1275" spans="1:31" x14ac:dyDescent="0.25">
      <c r="A1275">
        <v>635</v>
      </c>
      <c r="B1275">
        <v>1966</v>
      </c>
      <c r="C1275" t="s">
        <v>36</v>
      </c>
      <c r="D1275" t="s">
        <v>34</v>
      </c>
      <c r="E1275" t="str">
        <f>IF(OR(Table1[[#This Row],[marital_status]]="Married", Table1[[#This Row],[marital_status]]="Together"), "Partnered", "Single")</f>
        <v>Partnered</v>
      </c>
      <c r="F1275" s="7">
        <v>57183</v>
      </c>
      <c r="G1275" s="8">
        <v>1</v>
      </c>
      <c r="H1275" s="8">
        <v>1</v>
      </c>
      <c r="I1275" s="8">
        <f>Table1[[#This Row],[kids]]+Table1[[#This Row],[teens]]</f>
        <v>2</v>
      </c>
      <c r="J1275" s="9">
        <v>41352</v>
      </c>
      <c r="K1275" s="8">
        <v>51</v>
      </c>
      <c r="L1275" s="6">
        <v>464</v>
      </c>
      <c r="M1275" s="5">
        <v>5</v>
      </c>
      <c r="N1275" s="5">
        <v>64</v>
      </c>
      <c r="O1275" s="5">
        <v>7</v>
      </c>
      <c r="P1275" s="5">
        <v>0</v>
      </c>
      <c r="Q1275" s="5">
        <v>70</v>
      </c>
      <c r="R1275" s="8">
        <v>8</v>
      </c>
      <c r="S1275" s="8">
        <v>9</v>
      </c>
      <c r="T1275" s="8">
        <v>1</v>
      </c>
      <c r="U1275" s="8">
        <v>7</v>
      </c>
      <c r="V1275" s="8">
        <v>8</v>
      </c>
      <c r="W1275" t="s">
        <v>473</v>
      </c>
      <c r="X1275" t="s">
        <v>473</v>
      </c>
      <c r="Y1275" t="s">
        <v>473</v>
      </c>
      <c r="Z1275" t="s">
        <v>473</v>
      </c>
      <c r="AA1275" t="s">
        <v>473</v>
      </c>
      <c r="AB1275" t="s">
        <v>473</v>
      </c>
      <c r="AC1275" s="10">
        <v>3</v>
      </c>
      <c r="AD1275" s="10">
        <v>11</v>
      </c>
      <c r="AE1275" t="s">
        <v>473</v>
      </c>
    </row>
    <row r="1276" spans="1:31" x14ac:dyDescent="0.25">
      <c r="A1276">
        <v>7527</v>
      </c>
      <c r="B1276">
        <v>1968</v>
      </c>
      <c r="C1276" t="s">
        <v>36</v>
      </c>
      <c r="D1276" t="s">
        <v>37</v>
      </c>
      <c r="E1276" t="str">
        <f>IF(OR(Table1[[#This Row],[marital_status]]="Married", Table1[[#This Row],[marital_status]]="Together"), "Partnered", "Single")</f>
        <v>Single</v>
      </c>
      <c r="F1276" s="7">
        <v>23748</v>
      </c>
      <c r="G1276" s="8">
        <v>1</v>
      </c>
      <c r="H1276" s="8">
        <v>0</v>
      </c>
      <c r="I1276" s="8">
        <f>Table1[[#This Row],[kids]]+Table1[[#This Row],[teens]]</f>
        <v>1</v>
      </c>
      <c r="J1276" s="9">
        <v>41234</v>
      </c>
      <c r="K1276" s="8">
        <v>97</v>
      </c>
      <c r="L1276" s="6">
        <v>6</v>
      </c>
      <c r="M1276" s="5">
        <v>6</v>
      </c>
      <c r="N1276" s="5">
        <v>29</v>
      </c>
      <c r="O1276" s="5">
        <v>12</v>
      </c>
      <c r="P1276" s="5">
        <v>15</v>
      </c>
      <c r="Q1276" s="5">
        <v>8</v>
      </c>
      <c r="R1276" s="8">
        <v>3</v>
      </c>
      <c r="S1276" s="8">
        <v>2</v>
      </c>
      <c r="T1276" s="8">
        <v>1</v>
      </c>
      <c r="U1276" s="8">
        <v>3</v>
      </c>
      <c r="V1276" s="8">
        <v>8</v>
      </c>
      <c r="W1276" t="s">
        <v>473</v>
      </c>
      <c r="X1276" t="s">
        <v>473</v>
      </c>
      <c r="Y1276" t="s">
        <v>473</v>
      </c>
      <c r="Z1276" t="s">
        <v>473</v>
      </c>
      <c r="AA1276" t="s">
        <v>473</v>
      </c>
      <c r="AB1276" t="s">
        <v>473</v>
      </c>
      <c r="AC1276" s="10">
        <v>3</v>
      </c>
      <c r="AD1276" s="10">
        <v>11</v>
      </c>
      <c r="AE1276" t="s">
        <v>473</v>
      </c>
    </row>
    <row r="1277" spans="1:31" x14ac:dyDescent="0.25">
      <c r="A1277">
        <v>10319</v>
      </c>
      <c r="B1277">
        <v>1971</v>
      </c>
      <c r="C1277" t="s">
        <v>466</v>
      </c>
      <c r="D1277" t="s">
        <v>34</v>
      </c>
      <c r="E1277" t="str">
        <f>IF(OR(Table1[[#This Row],[marital_status]]="Married", Table1[[#This Row],[marital_status]]="Together"), "Partnered", "Single")</f>
        <v>Partnered</v>
      </c>
      <c r="F1277" s="7">
        <v>66303</v>
      </c>
      <c r="G1277" s="8">
        <v>0</v>
      </c>
      <c r="H1277" s="8">
        <v>1</v>
      </c>
      <c r="I1277" s="8">
        <f>Table1[[#This Row],[kids]]+Table1[[#This Row],[teens]]</f>
        <v>1</v>
      </c>
      <c r="J1277" s="9">
        <v>41331</v>
      </c>
      <c r="K1277" s="8">
        <v>56</v>
      </c>
      <c r="L1277" s="6">
        <v>1090</v>
      </c>
      <c r="M1277" s="5">
        <v>12</v>
      </c>
      <c r="N1277" s="5">
        <v>96</v>
      </c>
      <c r="O1277" s="5">
        <v>16</v>
      </c>
      <c r="P1277" s="5">
        <v>12</v>
      </c>
      <c r="Q1277" s="5">
        <v>60</v>
      </c>
      <c r="R1277" s="8">
        <v>4</v>
      </c>
      <c r="S1277" s="8">
        <v>3</v>
      </c>
      <c r="T1277" s="8">
        <v>4</v>
      </c>
      <c r="U1277" s="8">
        <v>11</v>
      </c>
      <c r="V1277" s="8">
        <v>8</v>
      </c>
      <c r="W1277" t="s">
        <v>473</v>
      </c>
      <c r="X1277" t="s">
        <v>474</v>
      </c>
      <c r="Y1277" t="s">
        <v>473</v>
      </c>
      <c r="Z1277" t="s">
        <v>473</v>
      </c>
      <c r="AA1277" t="s">
        <v>473</v>
      </c>
      <c r="AB1277" t="s">
        <v>473</v>
      </c>
      <c r="AC1277" s="10">
        <v>3</v>
      </c>
      <c r="AD1277" s="10">
        <v>11</v>
      </c>
      <c r="AE1277" t="s">
        <v>473</v>
      </c>
    </row>
    <row r="1278" spans="1:31" x14ac:dyDescent="0.25">
      <c r="A1278">
        <v>2296</v>
      </c>
      <c r="B1278">
        <v>1975</v>
      </c>
      <c r="C1278" t="s">
        <v>36</v>
      </c>
      <c r="D1278" t="s">
        <v>34</v>
      </c>
      <c r="E1278" t="str">
        <f>IF(OR(Table1[[#This Row],[marital_status]]="Married", Table1[[#This Row],[marital_status]]="Together"), "Partnered", "Single")</f>
        <v>Partnered</v>
      </c>
      <c r="F1278" s="7">
        <v>37368</v>
      </c>
      <c r="G1278" s="8">
        <v>1</v>
      </c>
      <c r="H1278" s="8">
        <v>0</v>
      </c>
      <c r="I1278" s="8">
        <f>Table1[[#This Row],[kids]]+Table1[[#This Row],[teens]]</f>
        <v>1</v>
      </c>
      <c r="J1278" s="9">
        <v>41624</v>
      </c>
      <c r="K1278" s="8">
        <v>4</v>
      </c>
      <c r="L1278" s="6">
        <v>3</v>
      </c>
      <c r="M1278" s="5">
        <v>2</v>
      </c>
      <c r="N1278" s="5">
        <v>11</v>
      </c>
      <c r="O1278" s="5">
        <v>2</v>
      </c>
      <c r="P1278" s="5">
        <v>2</v>
      </c>
      <c r="Q1278" s="5">
        <v>10</v>
      </c>
      <c r="R1278" s="8">
        <v>1</v>
      </c>
      <c r="S1278" s="8">
        <v>1</v>
      </c>
      <c r="T1278" s="8">
        <v>0</v>
      </c>
      <c r="U1278" s="8">
        <v>2</v>
      </c>
      <c r="V1278" s="8">
        <v>6</v>
      </c>
      <c r="W1278" t="s">
        <v>474</v>
      </c>
      <c r="X1278" t="s">
        <v>473</v>
      </c>
      <c r="Y1278" t="s">
        <v>473</v>
      </c>
      <c r="Z1278" t="s">
        <v>473</v>
      </c>
      <c r="AA1278" t="s">
        <v>473</v>
      </c>
      <c r="AB1278" t="s">
        <v>473</v>
      </c>
      <c r="AC1278" s="10">
        <v>3</v>
      </c>
      <c r="AD1278" s="10">
        <v>11</v>
      </c>
      <c r="AE1278" t="s">
        <v>473</v>
      </c>
    </row>
    <row r="1279" spans="1:31" x14ac:dyDescent="0.25">
      <c r="A1279">
        <v>10637</v>
      </c>
      <c r="B1279">
        <v>1964</v>
      </c>
      <c r="C1279" t="s">
        <v>466</v>
      </c>
      <c r="D1279" t="s">
        <v>34</v>
      </c>
      <c r="E1279" t="str">
        <f>IF(OR(Table1[[#This Row],[marital_status]]="Married", Table1[[#This Row],[marital_status]]="Together"), "Partnered", "Single")</f>
        <v>Partnered</v>
      </c>
      <c r="F1279" s="7">
        <v>40800</v>
      </c>
      <c r="G1279" s="8">
        <v>1</v>
      </c>
      <c r="H1279" s="8">
        <v>2</v>
      </c>
      <c r="I1279" s="8">
        <f>Table1[[#This Row],[kids]]+Table1[[#This Row],[teens]]</f>
        <v>3</v>
      </c>
      <c r="J1279" s="9">
        <v>41275</v>
      </c>
      <c r="K1279" s="8">
        <v>77</v>
      </c>
      <c r="L1279" s="6">
        <v>24</v>
      </c>
      <c r="M1279" s="5">
        <v>0</v>
      </c>
      <c r="N1279" s="5">
        <v>27</v>
      </c>
      <c r="O1279" s="5">
        <v>8</v>
      </c>
      <c r="P1279" s="5">
        <v>30</v>
      </c>
      <c r="Q1279" s="5">
        <v>10</v>
      </c>
      <c r="R1279" s="8">
        <v>2</v>
      </c>
      <c r="S1279" s="8">
        <v>3</v>
      </c>
      <c r="T1279" s="8">
        <v>0</v>
      </c>
      <c r="U1279" s="8">
        <v>3</v>
      </c>
      <c r="V1279" s="8">
        <v>7</v>
      </c>
      <c r="W1279" t="s">
        <v>473</v>
      </c>
      <c r="X1279" t="s">
        <v>473</v>
      </c>
      <c r="Y1279" t="s">
        <v>473</v>
      </c>
      <c r="Z1279" t="s">
        <v>473</v>
      </c>
      <c r="AA1279" t="s">
        <v>473</v>
      </c>
      <c r="AB1279" t="s">
        <v>474</v>
      </c>
      <c r="AC1279" s="10">
        <v>3</v>
      </c>
      <c r="AD1279" s="10">
        <v>11</v>
      </c>
      <c r="AE1279" t="s">
        <v>473</v>
      </c>
    </row>
    <row r="1280" spans="1:31" x14ac:dyDescent="0.25">
      <c r="A1280">
        <v>2931</v>
      </c>
      <c r="B1280">
        <v>1978</v>
      </c>
      <c r="C1280" t="s">
        <v>466</v>
      </c>
      <c r="D1280" t="s">
        <v>37</v>
      </c>
      <c r="E1280" t="str">
        <f>IF(OR(Table1[[#This Row],[marital_status]]="Married", Table1[[#This Row],[marital_status]]="Together"), "Partnered", "Single")</f>
        <v>Single</v>
      </c>
      <c r="F1280" s="7">
        <v>71847</v>
      </c>
      <c r="G1280" s="8">
        <v>0</v>
      </c>
      <c r="H1280" s="8">
        <v>0</v>
      </c>
      <c r="I1280" s="8">
        <f>Table1[[#This Row],[kids]]+Table1[[#This Row],[teens]]</f>
        <v>0</v>
      </c>
      <c r="J1280" s="9">
        <v>41173</v>
      </c>
      <c r="K1280" s="8">
        <v>95</v>
      </c>
      <c r="L1280" s="6">
        <v>737</v>
      </c>
      <c r="M1280" s="5">
        <v>21</v>
      </c>
      <c r="N1280" s="5">
        <v>106</v>
      </c>
      <c r="O1280" s="5">
        <v>55</v>
      </c>
      <c r="P1280" s="5">
        <v>63</v>
      </c>
      <c r="Q1280" s="5">
        <v>210</v>
      </c>
      <c r="R1280" s="8">
        <v>0</v>
      </c>
      <c r="S1280" s="8">
        <v>6</v>
      </c>
      <c r="T1280" s="8">
        <v>7</v>
      </c>
      <c r="U1280" s="8">
        <v>9</v>
      </c>
      <c r="V1280" s="8">
        <v>3</v>
      </c>
      <c r="W1280" t="s">
        <v>473</v>
      </c>
      <c r="X1280" t="s">
        <v>473</v>
      </c>
      <c r="Y1280" t="s">
        <v>473</v>
      </c>
      <c r="Z1280" t="s">
        <v>474</v>
      </c>
      <c r="AA1280" t="s">
        <v>473</v>
      </c>
      <c r="AB1280" t="s">
        <v>473</v>
      </c>
      <c r="AC1280" s="10">
        <v>3</v>
      </c>
      <c r="AD1280" s="10">
        <v>11</v>
      </c>
      <c r="AE1280" t="s">
        <v>473</v>
      </c>
    </row>
    <row r="1281" spans="1:31" x14ac:dyDescent="0.25">
      <c r="A1281">
        <v>907</v>
      </c>
      <c r="B1281">
        <v>1975</v>
      </c>
      <c r="C1281" t="s">
        <v>466</v>
      </c>
      <c r="D1281" t="s">
        <v>34</v>
      </c>
      <c r="E1281" t="str">
        <f>IF(OR(Table1[[#This Row],[marital_status]]="Married", Table1[[#This Row],[marital_status]]="Together"), "Partnered", "Single")</f>
        <v>Partnered</v>
      </c>
      <c r="F1281" s="7">
        <v>46149</v>
      </c>
      <c r="G1281" s="8">
        <v>0</v>
      </c>
      <c r="H1281" s="8">
        <v>1</v>
      </c>
      <c r="I1281" s="8">
        <f>Table1[[#This Row],[kids]]+Table1[[#This Row],[teens]]</f>
        <v>1</v>
      </c>
      <c r="J1281" s="9">
        <v>41607</v>
      </c>
      <c r="K1281" s="8">
        <v>36</v>
      </c>
      <c r="L1281" s="6">
        <v>254</v>
      </c>
      <c r="M1281" s="5">
        <v>6</v>
      </c>
      <c r="N1281" s="5">
        <v>71</v>
      </c>
      <c r="O1281" s="5">
        <v>4</v>
      </c>
      <c r="P1281" s="5">
        <v>0</v>
      </c>
      <c r="Q1281" s="5">
        <v>27</v>
      </c>
      <c r="R1281" s="8">
        <v>5</v>
      </c>
      <c r="S1281" s="8">
        <v>5</v>
      </c>
      <c r="T1281" s="8">
        <v>1</v>
      </c>
      <c r="U1281" s="8">
        <v>7</v>
      </c>
      <c r="V1281" s="8">
        <v>5</v>
      </c>
      <c r="W1281" t="s">
        <v>473</v>
      </c>
      <c r="X1281" t="s">
        <v>473</v>
      </c>
      <c r="Y1281" t="s">
        <v>473</v>
      </c>
      <c r="Z1281" t="s">
        <v>473</v>
      </c>
      <c r="AA1281" t="s">
        <v>473</v>
      </c>
      <c r="AB1281" t="s">
        <v>473</v>
      </c>
      <c r="AC1281" s="10">
        <v>3</v>
      </c>
      <c r="AD1281" s="10">
        <v>11</v>
      </c>
      <c r="AE1281" t="s">
        <v>473</v>
      </c>
    </row>
    <row r="1282" spans="1:31" x14ac:dyDescent="0.25">
      <c r="A1282">
        <v>3698</v>
      </c>
      <c r="B1282">
        <v>1983</v>
      </c>
      <c r="C1282" t="s">
        <v>466</v>
      </c>
      <c r="D1282" t="s">
        <v>31</v>
      </c>
      <c r="E1282" t="str">
        <f>IF(OR(Table1[[#This Row],[marital_status]]="Married", Table1[[#This Row],[marital_status]]="Together"), "Partnered", "Single")</f>
        <v>Partnered</v>
      </c>
      <c r="F1282" s="7">
        <v>78687</v>
      </c>
      <c r="G1282" s="8">
        <v>0</v>
      </c>
      <c r="H1282" s="8">
        <v>0</v>
      </c>
      <c r="I1282" s="8">
        <f>Table1[[#This Row],[kids]]+Table1[[#This Row],[teens]]</f>
        <v>0</v>
      </c>
      <c r="J1282" s="9">
        <v>41130</v>
      </c>
      <c r="K1282" s="8">
        <v>13</v>
      </c>
      <c r="L1282" s="6">
        <v>817</v>
      </c>
      <c r="M1282" s="5">
        <v>185</v>
      </c>
      <c r="N1282" s="5">
        <v>687</v>
      </c>
      <c r="O1282" s="5">
        <v>145</v>
      </c>
      <c r="P1282" s="5">
        <v>55</v>
      </c>
      <c r="Q1282" s="5">
        <v>241</v>
      </c>
      <c r="R1282" s="8">
        <v>1</v>
      </c>
      <c r="S1282" s="8">
        <v>4</v>
      </c>
      <c r="T1282" s="8">
        <v>6</v>
      </c>
      <c r="U1282" s="8">
        <v>8</v>
      </c>
      <c r="V1282" s="8">
        <v>2</v>
      </c>
      <c r="W1282" t="s">
        <v>473</v>
      </c>
      <c r="X1282" t="s">
        <v>473</v>
      </c>
      <c r="Y1282" t="s">
        <v>474</v>
      </c>
      <c r="Z1282" t="s">
        <v>473</v>
      </c>
      <c r="AA1282" t="s">
        <v>473</v>
      </c>
      <c r="AB1282" t="s">
        <v>473</v>
      </c>
      <c r="AC1282" s="10">
        <v>3</v>
      </c>
      <c r="AD1282" s="10">
        <v>11</v>
      </c>
      <c r="AE1282" t="s">
        <v>474</v>
      </c>
    </row>
    <row r="1283" spans="1:31" x14ac:dyDescent="0.25">
      <c r="A1283">
        <v>9516</v>
      </c>
      <c r="B1283">
        <v>1971</v>
      </c>
      <c r="C1283" t="s">
        <v>46</v>
      </c>
      <c r="D1283" t="s">
        <v>37</v>
      </c>
      <c r="E1283" t="str">
        <f>IF(OR(Table1[[#This Row],[marital_status]]="Married", Table1[[#This Row],[marital_status]]="Together"), "Partnered", "Single")</f>
        <v>Single</v>
      </c>
      <c r="F1283" s="7">
        <v>49118</v>
      </c>
      <c r="G1283" s="8">
        <v>0</v>
      </c>
      <c r="H1283" s="8">
        <v>0</v>
      </c>
      <c r="I1283" s="8">
        <f>Table1[[#This Row],[kids]]+Table1[[#This Row],[teens]]</f>
        <v>0</v>
      </c>
      <c r="J1283" s="9">
        <v>41139</v>
      </c>
      <c r="K1283" s="8">
        <v>90</v>
      </c>
      <c r="L1283" s="6">
        <v>620</v>
      </c>
      <c r="M1283" s="5">
        <v>54</v>
      </c>
      <c r="N1283" s="5">
        <v>239</v>
      </c>
      <c r="O1283" s="5">
        <v>99</v>
      </c>
      <c r="P1283" s="5">
        <v>98</v>
      </c>
      <c r="Q1283" s="5">
        <v>119</v>
      </c>
      <c r="R1283" s="8">
        <v>2</v>
      </c>
      <c r="S1283" s="8">
        <v>9</v>
      </c>
      <c r="T1283" s="8">
        <v>7</v>
      </c>
      <c r="U1283" s="8">
        <v>10</v>
      </c>
      <c r="V1283" s="8">
        <v>7</v>
      </c>
      <c r="W1283" t="s">
        <v>473</v>
      </c>
      <c r="X1283" t="s">
        <v>474</v>
      </c>
      <c r="Y1283" t="s">
        <v>473</v>
      </c>
      <c r="Z1283" t="s">
        <v>473</v>
      </c>
      <c r="AA1283" t="s">
        <v>474</v>
      </c>
      <c r="AB1283" t="s">
        <v>473</v>
      </c>
      <c r="AC1283" s="10">
        <v>3</v>
      </c>
      <c r="AD1283" s="10">
        <v>11</v>
      </c>
      <c r="AE1283" t="s">
        <v>474</v>
      </c>
    </row>
    <row r="1284" spans="1:31" x14ac:dyDescent="0.25">
      <c r="A1284">
        <v>679</v>
      </c>
      <c r="B1284">
        <v>1957</v>
      </c>
      <c r="C1284" t="s">
        <v>33</v>
      </c>
      <c r="D1284" t="s">
        <v>34</v>
      </c>
      <c r="E1284" t="str">
        <f>IF(OR(Table1[[#This Row],[marital_status]]="Married", Table1[[#This Row],[marital_status]]="Together"), "Partnered", "Single")</f>
        <v>Partnered</v>
      </c>
      <c r="F1284" s="7">
        <v>37633</v>
      </c>
      <c r="G1284" s="8">
        <v>1</v>
      </c>
      <c r="H1284" s="8">
        <v>1</v>
      </c>
      <c r="I1284" s="8">
        <f>Table1[[#This Row],[kids]]+Table1[[#This Row],[teens]]</f>
        <v>2</v>
      </c>
      <c r="J1284" s="9">
        <v>41172</v>
      </c>
      <c r="K1284" s="8">
        <v>49</v>
      </c>
      <c r="L1284" s="6">
        <v>13</v>
      </c>
      <c r="M1284" s="5">
        <v>4</v>
      </c>
      <c r="N1284" s="5">
        <v>20</v>
      </c>
      <c r="O1284" s="5">
        <v>0</v>
      </c>
      <c r="P1284" s="5">
        <v>0</v>
      </c>
      <c r="Q1284" s="5">
        <v>1</v>
      </c>
      <c r="R1284" s="8">
        <v>2</v>
      </c>
      <c r="S1284" s="8">
        <v>1</v>
      </c>
      <c r="T1284" s="8">
        <v>0</v>
      </c>
      <c r="U1284" s="8">
        <v>3</v>
      </c>
      <c r="V1284" s="8">
        <v>9</v>
      </c>
      <c r="W1284" t="s">
        <v>473</v>
      </c>
      <c r="X1284" t="s">
        <v>473</v>
      </c>
      <c r="Y1284" t="s">
        <v>473</v>
      </c>
      <c r="Z1284" t="s">
        <v>473</v>
      </c>
      <c r="AA1284" t="s">
        <v>473</v>
      </c>
      <c r="AB1284" t="s">
        <v>473</v>
      </c>
      <c r="AC1284" s="10">
        <v>3</v>
      </c>
      <c r="AD1284" s="10">
        <v>11</v>
      </c>
      <c r="AE1284" t="s">
        <v>473</v>
      </c>
    </row>
    <row r="1285" spans="1:31" x14ac:dyDescent="0.25">
      <c r="A1285">
        <v>7384</v>
      </c>
      <c r="B1285">
        <v>1951</v>
      </c>
      <c r="C1285" t="s">
        <v>36</v>
      </c>
      <c r="D1285" t="s">
        <v>31</v>
      </c>
      <c r="E1285" t="str">
        <f>IF(OR(Table1[[#This Row],[marital_status]]="Married", Table1[[#This Row],[marital_status]]="Together"), "Partnered", "Single")</f>
        <v>Partnered</v>
      </c>
      <c r="F1285" s="7">
        <v>39767</v>
      </c>
      <c r="G1285" s="8">
        <v>0</v>
      </c>
      <c r="H1285" s="8">
        <v>0</v>
      </c>
      <c r="I1285" s="8">
        <f>Table1[[#This Row],[kids]]+Table1[[#This Row],[teens]]</f>
        <v>0</v>
      </c>
      <c r="J1285" s="9">
        <v>41476</v>
      </c>
      <c r="K1285" s="8">
        <v>18</v>
      </c>
      <c r="L1285" s="6">
        <v>113</v>
      </c>
      <c r="M1285" s="5">
        <v>61</v>
      </c>
      <c r="N1285" s="5">
        <v>204</v>
      </c>
      <c r="O1285" s="5">
        <v>34</v>
      </c>
      <c r="P1285" s="5">
        <v>26</v>
      </c>
      <c r="Q1285" s="5">
        <v>47</v>
      </c>
      <c r="R1285" s="8">
        <v>2</v>
      </c>
      <c r="S1285" s="8">
        <v>7</v>
      </c>
      <c r="T1285" s="8">
        <v>1</v>
      </c>
      <c r="U1285" s="8">
        <v>7</v>
      </c>
      <c r="V1285" s="8">
        <v>8</v>
      </c>
      <c r="W1285" t="s">
        <v>473</v>
      </c>
      <c r="X1285" t="s">
        <v>473</v>
      </c>
      <c r="Y1285" t="s">
        <v>473</v>
      </c>
      <c r="Z1285" t="s">
        <v>473</v>
      </c>
      <c r="AA1285" t="s">
        <v>473</v>
      </c>
      <c r="AB1285" t="s">
        <v>473</v>
      </c>
      <c r="AC1285" s="10">
        <v>3</v>
      </c>
      <c r="AD1285" s="10">
        <v>11</v>
      </c>
      <c r="AE1285" t="s">
        <v>473</v>
      </c>
    </row>
    <row r="1286" spans="1:31" x14ac:dyDescent="0.25">
      <c r="A1286">
        <v>5043</v>
      </c>
      <c r="B1286">
        <v>1951</v>
      </c>
      <c r="C1286" t="s">
        <v>41</v>
      </c>
      <c r="D1286" t="s">
        <v>34</v>
      </c>
      <c r="E1286" t="str">
        <f>IF(OR(Table1[[#This Row],[marital_status]]="Married", Table1[[#This Row],[marital_status]]="Together"), "Partnered", "Single")</f>
        <v>Partnered</v>
      </c>
      <c r="F1286" s="7">
        <v>26997</v>
      </c>
      <c r="G1286" s="8">
        <v>0</v>
      </c>
      <c r="H1286" s="8">
        <v>0</v>
      </c>
      <c r="I1286" s="8">
        <f>Table1[[#This Row],[kids]]+Table1[[#This Row],[teens]]</f>
        <v>0</v>
      </c>
      <c r="J1286" s="9">
        <v>41218</v>
      </c>
      <c r="K1286" s="8">
        <v>89</v>
      </c>
      <c r="L1286" s="6">
        <v>7</v>
      </c>
      <c r="M1286" s="5">
        <v>23</v>
      </c>
      <c r="N1286" s="5">
        <v>78</v>
      </c>
      <c r="O1286" s="5">
        <v>133</v>
      </c>
      <c r="P1286" s="5">
        <v>49</v>
      </c>
      <c r="Q1286" s="5">
        <v>144</v>
      </c>
      <c r="R1286" s="8">
        <v>2</v>
      </c>
      <c r="S1286" s="8">
        <v>4</v>
      </c>
      <c r="T1286" s="8">
        <v>2</v>
      </c>
      <c r="U1286" s="8">
        <v>5</v>
      </c>
      <c r="V1286" s="8">
        <v>7</v>
      </c>
      <c r="W1286" t="s">
        <v>473</v>
      </c>
      <c r="X1286" t="s">
        <v>473</v>
      </c>
      <c r="Y1286" t="s">
        <v>473</v>
      </c>
      <c r="Z1286" t="s">
        <v>473</v>
      </c>
      <c r="AA1286" t="s">
        <v>473</v>
      </c>
      <c r="AB1286" t="s">
        <v>473</v>
      </c>
      <c r="AC1286" s="10">
        <v>3</v>
      </c>
      <c r="AD1286" s="10">
        <v>11</v>
      </c>
      <c r="AE1286" t="s">
        <v>473</v>
      </c>
    </row>
    <row r="1287" spans="1:31" x14ac:dyDescent="0.25">
      <c r="A1287">
        <v>5267</v>
      </c>
      <c r="B1287">
        <v>1970</v>
      </c>
      <c r="C1287" t="s">
        <v>466</v>
      </c>
      <c r="D1287" t="s">
        <v>37</v>
      </c>
      <c r="E1287" t="str">
        <f>IF(OR(Table1[[#This Row],[marital_status]]="Married", Table1[[#This Row],[marital_status]]="Together"), "Partnered", "Single")</f>
        <v>Single</v>
      </c>
      <c r="F1287" s="7">
        <v>33986</v>
      </c>
      <c r="G1287" s="8">
        <v>1</v>
      </c>
      <c r="H1287" s="8">
        <v>0</v>
      </c>
      <c r="I1287" s="8">
        <f>Table1[[#This Row],[kids]]+Table1[[#This Row],[teens]]</f>
        <v>1</v>
      </c>
      <c r="J1287" s="9">
        <v>41347</v>
      </c>
      <c r="K1287" s="8">
        <v>43</v>
      </c>
      <c r="L1287" s="6">
        <v>16</v>
      </c>
      <c r="M1287" s="5">
        <v>2</v>
      </c>
      <c r="N1287" s="5">
        <v>18</v>
      </c>
      <c r="O1287" s="5">
        <v>2</v>
      </c>
      <c r="P1287" s="5">
        <v>1</v>
      </c>
      <c r="Q1287" s="5">
        <v>5</v>
      </c>
      <c r="R1287" s="8">
        <v>1</v>
      </c>
      <c r="S1287" s="8">
        <v>1</v>
      </c>
      <c r="T1287" s="8">
        <v>0</v>
      </c>
      <c r="U1287" s="8">
        <v>3</v>
      </c>
      <c r="V1287" s="8">
        <v>7</v>
      </c>
      <c r="W1287" t="s">
        <v>473</v>
      </c>
      <c r="X1287" t="s">
        <v>473</v>
      </c>
      <c r="Y1287" t="s">
        <v>473</v>
      </c>
      <c r="Z1287" t="s">
        <v>473</v>
      </c>
      <c r="AA1287" t="s">
        <v>473</v>
      </c>
      <c r="AB1287" t="s">
        <v>473</v>
      </c>
      <c r="AC1287" s="10">
        <v>3</v>
      </c>
      <c r="AD1287" s="10">
        <v>11</v>
      </c>
      <c r="AE1287" t="s">
        <v>473</v>
      </c>
    </row>
    <row r="1288" spans="1:31" x14ac:dyDescent="0.25">
      <c r="A1288">
        <v>339</v>
      </c>
      <c r="B1288">
        <v>1972</v>
      </c>
      <c r="C1288" t="s">
        <v>33</v>
      </c>
      <c r="D1288" t="s">
        <v>34</v>
      </c>
      <c r="E1288" t="str">
        <f>IF(OR(Table1[[#This Row],[marital_status]]="Married", Table1[[#This Row],[marital_status]]="Together"), "Partnered", "Single")</f>
        <v>Partnered</v>
      </c>
      <c r="F1288" s="7">
        <v>57091</v>
      </c>
      <c r="G1288" s="8">
        <v>0</v>
      </c>
      <c r="H1288" s="8">
        <v>1</v>
      </c>
      <c r="I1288" s="8">
        <f>Table1[[#This Row],[kids]]+Table1[[#This Row],[teens]]</f>
        <v>1</v>
      </c>
      <c r="J1288" s="9">
        <v>41236</v>
      </c>
      <c r="K1288" s="8">
        <v>82</v>
      </c>
      <c r="L1288" s="6">
        <v>462</v>
      </c>
      <c r="M1288" s="5">
        <v>0</v>
      </c>
      <c r="N1288" s="5">
        <v>24</v>
      </c>
      <c r="O1288" s="5">
        <v>6</v>
      </c>
      <c r="P1288" s="5">
        <v>0</v>
      </c>
      <c r="Q1288" s="5">
        <v>4</v>
      </c>
      <c r="R1288" s="8">
        <v>2</v>
      </c>
      <c r="S1288" s="8">
        <v>9</v>
      </c>
      <c r="T1288" s="8">
        <v>2</v>
      </c>
      <c r="U1288" s="8">
        <v>5</v>
      </c>
      <c r="V1288" s="8">
        <v>7</v>
      </c>
      <c r="W1288" t="s">
        <v>473</v>
      </c>
      <c r="X1288" t="s">
        <v>474</v>
      </c>
      <c r="Y1288" t="s">
        <v>473</v>
      </c>
      <c r="Z1288" t="s">
        <v>473</v>
      </c>
      <c r="AA1288" t="s">
        <v>473</v>
      </c>
      <c r="AB1288" t="s">
        <v>473</v>
      </c>
      <c r="AC1288" s="10">
        <v>3</v>
      </c>
      <c r="AD1288" s="10">
        <v>11</v>
      </c>
      <c r="AE1288" t="s">
        <v>474</v>
      </c>
    </row>
    <row r="1289" spans="1:31" x14ac:dyDescent="0.25">
      <c r="A1289">
        <v>2516</v>
      </c>
      <c r="B1289">
        <v>1969</v>
      </c>
      <c r="C1289" t="s">
        <v>46</v>
      </c>
      <c r="D1289" t="s">
        <v>34</v>
      </c>
      <c r="E1289" t="str">
        <f>IF(OR(Table1[[#This Row],[marital_status]]="Married", Table1[[#This Row],[marital_status]]="Together"), "Partnered", "Single")</f>
        <v>Partnered</v>
      </c>
      <c r="F1289" s="7">
        <v>46831</v>
      </c>
      <c r="G1289" s="8">
        <v>1</v>
      </c>
      <c r="H1289" s="8">
        <v>1</v>
      </c>
      <c r="I1289" s="8">
        <f>Table1[[#This Row],[kids]]+Table1[[#This Row],[teens]]</f>
        <v>2</v>
      </c>
      <c r="J1289" s="9">
        <v>41433</v>
      </c>
      <c r="K1289" s="8">
        <v>84</v>
      </c>
      <c r="L1289" s="6">
        <v>22</v>
      </c>
      <c r="M1289" s="5">
        <v>2</v>
      </c>
      <c r="N1289" s="5">
        <v>10</v>
      </c>
      <c r="O1289" s="5">
        <v>6</v>
      </c>
      <c r="P1289" s="5">
        <v>4</v>
      </c>
      <c r="Q1289" s="5">
        <v>34</v>
      </c>
      <c r="R1289" s="8">
        <v>2</v>
      </c>
      <c r="S1289" s="8">
        <v>1</v>
      </c>
      <c r="T1289" s="8">
        <v>2</v>
      </c>
      <c r="U1289" s="8">
        <v>2</v>
      </c>
      <c r="V1289" s="8">
        <v>4</v>
      </c>
      <c r="W1289" t="s">
        <v>473</v>
      </c>
      <c r="X1289" t="s">
        <v>473</v>
      </c>
      <c r="Y1289" t="s">
        <v>473</v>
      </c>
      <c r="Z1289" t="s">
        <v>473</v>
      </c>
      <c r="AA1289" t="s">
        <v>473</v>
      </c>
      <c r="AB1289" t="s">
        <v>473</v>
      </c>
      <c r="AC1289" s="10">
        <v>3</v>
      </c>
      <c r="AD1289" s="10">
        <v>11</v>
      </c>
      <c r="AE1289" t="s">
        <v>473</v>
      </c>
    </row>
    <row r="1290" spans="1:31" x14ac:dyDescent="0.25">
      <c r="A1290">
        <v>9010</v>
      </c>
      <c r="B1290">
        <v>1972</v>
      </c>
      <c r="C1290" t="s">
        <v>36</v>
      </c>
      <c r="D1290" t="s">
        <v>34</v>
      </c>
      <c r="E1290" t="str">
        <f>IF(OR(Table1[[#This Row],[marital_status]]="Married", Table1[[#This Row],[marital_status]]="Together"), "Partnered", "Single")</f>
        <v>Partnered</v>
      </c>
      <c r="F1290" s="7">
        <v>83151</v>
      </c>
      <c r="G1290" s="8">
        <v>0</v>
      </c>
      <c r="H1290" s="8">
        <v>0</v>
      </c>
      <c r="I1290" s="8">
        <f>Table1[[#This Row],[kids]]+Table1[[#This Row],[teens]]</f>
        <v>0</v>
      </c>
      <c r="J1290" s="9">
        <v>41315</v>
      </c>
      <c r="K1290" s="8">
        <v>80</v>
      </c>
      <c r="L1290" s="6">
        <v>968</v>
      </c>
      <c r="M1290" s="5">
        <v>147</v>
      </c>
      <c r="N1290" s="5">
        <v>842</v>
      </c>
      <c r="O1290" s="5">
        <v>137</v>
      </c>
      <c r="P1290" s="5">
        <v>42</v>
      </c>
      <c r="Q1290" s="5">
        <v>210</v>
      </c>
      <c r="R1290" s="8">
        <v>1</v>
      </c>
      <c r="S1290" s="8">
        <v>5</v>
      </c>
      <c r="T1290" s="8">
        <v>7</v>
      </c>
      <c r="U1290" s="8">
        <v>10</v>
      </c>
      <c r="V1290" s="8">
        <v>2</v>
      </c>
      <c r="W1290" t="s">
        <v>474</v>
      </c>
      <c r="X1290" t="s">
        <v>473</v>
      </c>
      <c r="Y1290" t="s">
        <v>474</v>
      </c>
      <c r="Z1290" t="s">
        <v>474</v>
      </c>
      <c r="AA1290" t="s">
        <v>473</v>
      </c>
      <c r="AB1290" t="s">
        <v>473</v>
      </c>
      <c r="AC1290" s="10">
        <v>3</v>
      </c>
      <c r="AD1290" s="10">
        <v>11</v>
      </c>
      <c r="AE1290" t="s">
        <v>474</v>
      </c>
    </row>
    <row r="1291" spans="1:31" x14ac:dyDescent="0.25">
      <c r="A1291">
        <v>378</v>
      </c>
      <c r="B1291">
        <v>1971</v>
      </c>
      <c r="C1291" t="s">
        <v>466</v>
      </c>
      <c r="D1291" t="s">
        <v>34</v>
      </c>
      <c r="E1291" t="str">
        <f>IF(OR(Table1[[#This Row],[marital_status]]="Married", Table1[[#This Row],[marital_status]]="Together"), "Partnered", "Single")</f>
        <v>Partnered</v>
      </c>
      <c r="F1291" s="7">
        <v>52531</v>
      </c>
      <c r="G1291" s="8">
        <v>0</v>
      </c>
      <c r="H1291" s="8">
        <v>0</v>
      </c>
      <c r="I1291" s="8">
        <f>Table1[[#This Row],[kids]]+Table1[[#This Row],[teens]]</f>
        <v>0</v>
      </c>
      <c r="J1291" s="9">
        <v>41273</v>
      </c>
      <c r="K1291" s="8">
        <v>68</v>
      </c>
      <c r="L1291" s="6">
        <v>283</v>
      </c>
      <c r="M1291" s="5">
        <v>112</v>
      </c>
      <c r="N1291" s="5">
        <v>151</v>
      </c>
      <c r="O1291" s="5">
        <v>51</v>
      </c>
      <c r="P1291" s="5">
        <v>72</v>
      </c>
      <c r="Q1291" s="5">
        <v>125</v>
      </c>
      <c r="R1291" s="8">
        <v>2</v>
      </c>
      <c r="S1291" s="8">
        <v>7</v>
      </c>
      <c r="T1291" s="8">
        <v>2</v>
      </c>
      <c r="U1291" s="8">
        <v>10</v>
      </c>
      <c r="V1291" s="8">
        <v>6</v>
      </c>
      <c r="W1291" t="s">
        <v>473</v>
      </c>
      <c r="X1291" t="s">
        <v>473</v>
      </c>
      <c r="Y1291" t="s">
        <v>473</v>
      </c>
      <c r="Z1291" t="s">
        <v>473</v>
      </c>
      <c r="AA1291" t="s">
        <v>473</v>
      </c>
      <c r="AB1291" t="s">
        <v>473</v>
      </c>
      <c r="AC1291" s="10">
        <v>3</v>
      </c>
      <c r="AD1291" s="10">
        <v>11</v>
      </c>
      <c r="AE1291" t="s">
        <v>473</v>
      </c>
    </row>
    <row r="1292" spans="1:31" x14ac:dyDescent="0.25">
      <c r="A1292">
        <v>4808</v>
      </c>
      <c r="B1292">
        <v>1956</v>
      </c>
      <c r="C1292" t="s">
        <v>466</v>
      </c>
      <c r="D1292" t="s">
        <v>34</v>
      </c>
      <c r="E1292" t="str">
        <f>IF(OR(Table1[[#This Row],[marital_status]]="Married", Table1[[#This Row],[marital_status]]="Together"), "Partnered", "Single")</f>
        <v>Partnered</v>
      </c>
      <c r="F1292" s="7">
        <v>15759</v>
      </c>
      <c r="G1292" s="8">
        <v>0</v>
      </c>
      <c r="H1292" s="8">
        <v>0</v>
      </c>
      <c r="I1292" s="8">
        <f>Table1[[#This Row],[kids]]+Table1[[#This Row],[teens]]</f>
        <v>0</v>
      </c>
      <c r="J1292" s="9">
        <v>41522</v>
      </c>
      <c r="K1292" s="8">
        <v>12</v>
      </c>
      <c r="L1292" s="6">
        <v>1</v>
      </c>
      <c r="M1292" s="5">
        <v>2</v>
      </c>
      <c r="N1292" s="5">
        <v>5</v>
      </c>
      <c r="O1292" s="5">
        <v>6</v>
      </c>
      <c r="P1292" s="5">
        <v>0</v>
      </c>
      <c r="Q1292" s="5">
        <v>3</v>
      </c>
      <c r="R1292" s="8">
        <v>1</v>
      </c>
      <c r="S1292" s="8">
        <v>1</v>
      </c>
      <c r="T1292" s="8">
        <v>0</v>
      </c>
      <c r="U1292" s="8">
        <v>2</v>
      </c>
      <c r="V1292" s="8">
        <v>7</v>
      </c>
      <c r="W1292" t="s">
        <v>473</v>
      </c>
      <c r="X1292" t="s">
        <v>473</v>
      </c>
      <c r="Y1292" t="s">
        <v>473</v>
      </c>
      <c r="Z1292" t="s">
        <v>473</v>
      </c>
      <c r="AA1292" t="s">
        <v>473</v>
      </c>
      <c r="AB1292" t="s">
        <v>473</v>
      </c>
      <c r="AC1292" s="10">
        <v>3</v>
      </c>
      <c r="AD1292" s="10">
        <v>11</v>
      </c>
      <c r="AE1292" t="s">
        <v>473</v>
      </c>
    </row>
    <row r="1293" spans="1:31" x14ac:dyDescent="0.25">
      <c r="A1293">
        <v>5068</v>
      </c>
      <c r="B1293">
        <v>1971</v>
      </c>
      <c r="C1293" t="s">
        <v>466</v>
      </c>
      <c r="D1293" t="s">
        <v>30</v>
      </c>
      <c r="E1293" t="str">
        <f>IF(OR(Table1[[#This Row],[marital_status]]="Married", Table1[[#This Row],[marital_status]]="Together"), "Partnered", "Single")</f>
        <v>Single</v>
      </c>
      <c r="F1293" s="7">
        <v>22804</v>
      </c>
      <c r="G1293" s="8">
        <v>1</v>
      </c>
      <c r="H1293" s="8">
        <v>0</v>
      </c>
      <c r="I1293" s="8">
        <f>Table1[[#This Row],[kids]]+Table1[[#This Row],[teens]]</f>
        <v>1</v>
      </c>
      <c r="J1293" s="9">
        <v>41486</v>
      </c>
      <c r="K1293" s="8">
        <v>75</v>
      </c>
      <c r="L1293" s="6">
        <v>14</v>
      </c>
      <c r="M1293" s="5">
        <v>1</v>
      </c>
      <c r="N1293" s="5">
        <v>7</v>
      </c>
      <c r="O1293" s="5">
        <v>2</v>
      </c>
      <c r="P1293" s="5">
        <v>1</v>
      </c>
      <c r="Q1293" s="5">
        <v>1</v>
      </c>
      <c r="R1293" s="8">
        <v>1</v>
      </c>
      <c r="S1293" s="8">
        <v>2</v>
      </c>
      <c r="T1293" s="8">
        <v>0</v>
      </c>
      <c r="U1293" s="8">
        <v>2</v>
      </c>
      <c r="V1293" s="8">
        <v>9</v>
      </c>
      <c r="W1293" t="s">
        <v>473</v>
      </c>
      <c r="X1293" t="s">
        <v>473</v>
      </c>
      <c r="Y1293" t="s">
        <v>473</v>
      </c>
      <c r="Z1293" t="s">
        <v>473</v>
      </c>
      <c r="AA1293" t="s">
        <v>473</v>
      </c>
      <c r="AB1293" t="s">
        <v>473</v>
      </c>
      <c r="AC1293" s="10">
        <v>3</v>
      </c>
      <c r="AD1293" s="10">
        <v>11</v>
      </c>
      <c r="AE1293" t="s">
        <v>473</v>
      </c>
    </row>
    <row r="1294" spans="1:31" x14ac:dyDescent="0.25">
      <c r="A1294">
        <v>7628</v>
      </c>
      <c r="B1294">
        <v>1973</v>
      </c>
      <c r="C1294" t="s">
        <v>46</v>
      </c>
      <c r="D1294" t="s">
        <v>34</v>
      </c>
      <c r="E1294" t="str">
        <f>IF(OR(Table1[[#This Row],[marital_status]]="Married", Table1[[#This Row],[marital_status]]="Together"), "Partnered", "Single")</f>
        <v>Partnered</v>
      </c>
      <c r="F1294" s="7">
        <v>43050</v>
      </c>
      <c r="G1294" s="8">
        <v>1</v>
      </c>
      <c r="H1294" s="8">
        <v>0</v>
      </c>
      <c r="I1294" s="8">
        <f>Table1[[#This Row],[kids]]+Table1[[#This Row],[teens]]</f>
        <v>1</v>
      </c>
      <c r="J1294" s="9">
        <v>41716</v>
      </c>
      <c r="K1294" s="8">
        <v>10</v>
      </c>
      <c r="L1294" s="6">
        <v>30</v>
      </c>
      <c r="M1294" s="5">
        <v>5</v>
      </c>
      <c r="N1294" s="5">
        <v>24</v>
      </c>
      <c r="O1294" s="5">
        <v>6</v>
      </c>
      <c r="P1294" s="5">
        <v>3</v>
      </c>
      <c r="Q1294" s="5">
        <v>8</v>
      </c>
      <c r="R1294" s="8">
        <v>2</v>
      </c>
      <c r="S1294" s="8">
        <v>2</v>
      </c>
      <c r="T1294" s="8">
        <v>0</v>
      </c>
      <c r="U1294" s="8">
        <v>4</v>
      </c>
      <c r="V1294" s="8">
        <v>5</v>
      </c>
      <c r="W1294" t="s">
        <v>473</v>
      </c>
      <c r="X1294" t="s">
        <v>473</v>
      </c>
      <c r="Y1294" t="s">
        <v>473</v>
      </c>
      <c r="Z1294" t="s">
        <v>473</v>
      </c>
      <c r="AA1294" t="s">
        <v>473</v>
      </c>
      <c r="AB1294" t="s">
        <v>473</v>
      </c>
      <c r="AC1294" s="10">
        <v>3</v>
      </c>
      <c r="AD1294" s="10">
        <v>11</v>
      </c>
      <c r="AE1294" t="s">
        <v>473</v>
      </c>
    </row>
    <row r="1295" spans="1:31" x14ac:dyDescent="0.25">
      <c r="A1295">
        <v>7128</v>
      </c>
      <c r="B1295">
        <v>1977</v>
      </c>
      <c r="C1295" t="s">
        <v>33</v>
      </c>
      <c r="D1295" t="s">
        <v>30</v>
      </c>
      <c r="E1295" t="str">
        <f>IF(OR(Table1[[#This Row],[marital_status]]="Married", Table1[[#This Row],[marital_status]]="Together"), "Partnered", "Single")</f>
        <v>Single</v>
      </c>
      <c r="F1295" s="7">
        <v>42997</v>
      </c>
      <c r="G1295" s="8">
        <v>1</v>
      </c>
      <c r="H1295" s="8">
        <v>1</v>
      </c>
      <c r="I1295" s="8">
        <f>Table1[[#This Row],[kids]]+Table1[[#This Row],[teens]]</f>
        <v>2</v>
      </c>
      <c r="J1295" s="9">
        <v>41615</v>
      </c>
      <c r="K1295" s="8">
        <v>91</v>
      </c>
      <c r="L1295" s="6">
        <v>4</v>
      </c>
      <c r="M1295" s="5">
        <v>0</v>
      </c>
      <c r="N1295" s="5">
        <v>5</v>
      </c>
      <c r="O1295" s="5">
        <v>0</v>
      </c>
      <c r="P1295" s="5">
        <v>1</v>
      </c>
      <c r="Q1295" s="5">
        <v>5</v>
      </c>
      <c r="R1295" s="8">
        <v>1</v>
      </c>
      <c r="S1295" s="8">
        <v>1</v>
      </c>
      <c r="T1295" s="8">
        <v>0</v>
      </c>
      <c r="U1295" s="8">
        <v>2</v>
      </c>
      <c r="V1295" s="8">
        <v>7</v>
      </c>
      <c r="W1295" t="s">
        <v>473</v>
      </c>
      <c r="X1295" t="s">
        <v>473</v>
      </c>
      <c r="Y1295" t="s">
        <v>473</v>
      </c>
      <c r="Z1295" t="s">
        <v>473</v>
      </c>
      <c r="AA1295" t="s">
        <v>473</v>
      </c>
      <c r="AB1295" t="s">
        <v>473</v>
      </c>
      <c r="AC1295" s="10">
        <v>3</v>
      </c>
      <c r="AD1295" s="10">
        <v>11</v>
      </c>
      <c r="AE1295" t="s">
        <v>473</v>
      </c>
    </row>
    <row r="1296" spans="1:31" x14ac:dyDescent="0.25">
      <c r="A1296">
        <v>2811</v>
      </c>
      <c r="B1296">
        <v>1963</v>
      </c>
      <c r="C1296" t="s">
        <v>33</v>
      </c>
      <c r="D1296" t="s">
        <v>30</v>
      </c>
      <c r="E1296" t="str">
        <f>IF(OR(Table1[[#This Row],[marital_status]]="Married", Table1[[#This Row],[marital_status]]="Together"), "Partnered", "Single")</f>
        <v>Single</v>
      </c>
      <c r="F1296" s="7">
        <v>48918</v>
      </c>
      <c r="G1296" s="8">
        <v>1</v>
      </c>
      <c r="H1296" s="8">
        <v>1</v>
      </c>
      <c r="I1296" s="8">
        <f>Table1[[#This Row],[kids]]+Table1[[#This Row],[teens]]</f>
        <v>2</v>
      </c>
      <c r="J1296" s="9">
        <v>41741</v>
      </c>
      <c r="K1296" s="8">
        <v>21</v>
      </c>
      <c r="L1296" s="6">
        <v>52</v>
      </c>
      <c r="M1296" s="5">
        <v>0</v>
      </c>
      <c r="N1296" s="5">
        <v>9</v>
      </c>
      <c r="O1296" s="5">
        <v>0</v>
      </c>
      <c r="P1296" s="5">
        <v>0</v>
      </c>
      <c r="Q1296" s="5">
        <v>1</v>
      </c>
      <c r="R1296" s="8">
        <v>2</v>
      </c>
      <c r="S1296" s="8">
        <v>1</v>
      </c>
      <c r="T1296" s="8">
        <v>0</v>
      </c>
      <c r="U1296" s="8">
        <v>4</v>
      </c>
      <c r="V1296" s="8">
        <v>4</v>
      </c>
      <c r="W1296" t="s">
        <v>473</v>
      </c>
      <c r="X1296" t="s">
        <v>473</v>
      </c>
      <c r="Y1296" t="s">
        <v>473</v>
      </c>
      <c r="Z1296" t="s">
        <v>473</v>
      </c>
      <c r="AA1296" t="s">
        <v>473</v>
      </c>
      <c r="AB1296" t="s">
        <v>473</v>
      </c>
      <c r="AC1296" s="10">
        <v>3</v>
      </c>
      <c r="AD1296" s="10">
        <v>11</v>
      </c>
      <c r="AE1296" t="s">
        <v>473</v>
      </c>
    </row>
    <row r="1297" spans="1:31" x14ac:dyDescent="0.25">
      <c r="A1297">
        <v>3551</v>
      </c>
      <c r="B1297">
        <v>1954</v>
      </c>
      <c r="C1297" t="s">
        <v>36</v>
      </c>
      <c r="D1297" t="s">
        <v>31</v>
      </c>
      <c r="E1297" t="str">
        <f>IF(OR(Table1[[#This Row],[marital_status]]="Married", Table1[[#This Row],[marital_status]]="Together"), "Partnered", "Single")</f>
        <v>Partnered</v>
      </c>
      <c r="F1297" s="7">
        <v>60033</v>
      </c>
      <c r="G1297" s="8">
        <v>0</v>
      </c>
      <c r="H1297" s="8">
        <v>1</v>
      </c>
      <c r="I1297" s="8">
        <f>Table1[[#This Row],[kids]]+Table1[[#This Row],[teens]]</f>
        <v>1</v>
      </c>
      <c r="J1297" s="9">
        <v>41727</v>
      </c>
      <c r="K1297" s="8">
        <v>28</v>
      </c>
      <c r="L1297" s="6">
        <v>62</v>
      </c>
      <c r="M1297" s="5">
        <v>1</v>
      </c>
      <c r="N1297" s="5">
        <v>57</v>
      </c>
      <c r="O1297" s="5">
        <v>19</v>
      </c>
      <c r="P1297" s="5">
        <v>11</v>
      </c>
      <c r="Q1297" s="5">
        <v>48</v>
      </c>
      <c r="R1297" s="8">
        <v>2</v>
      </c>
      <c r="S1297" s="8">
        <v>2</v>
      </c>
      <c r="T1297" s="8">
        <v>1</v>
      </c>
      <c r="U1297" s="8">
        <v>5</v>
      </c>
      <c r="V1297" s="8">
        <v>2</v>
      </c>
      <c r="W1297" t="s">
        <v>473</v>
      </c>
      <c r="X1297" t="s">
        <v>473</v>
      </c>
      <c r="Y1297" t="s">
        <v>473</v>
      </c>
      <c r="Z1297" t="s">
        <v>473</v>
      </c>
      <c r="AA1297" t="s">
        <v>473</v>
      </c>
      <c r="AB1297" t="s">
        <v>473</v>
      </c>
      <c r="AC1297" s="10">
        <v>3</v>
      </c>
      <c r="AD1297" s="10">
        <v>11</v>
      </c>
      <c r="AE1297" t="s">
        <v>473</v>
      </c>
    </row>
    <row r="1298" spans="1:31" x14ac:dyDescent="0.25">
      <c r="A1298">
        <v>1663</v>
      </c>
      <c r="B1298">
        <v>1978</v>
      </c>
      <c r="C1298" t="s">
        <v>33</v>
      </c>
      <c r="D1298" t="s">
        <v>31</v>
      </c>
      <c r="E1298" t="str">
        <f>IF(OR(Table1[[#This Row],[marital_status]]="Married", Table1[[#This Row],[marital_status]]="Together"), "Partnered", "Single")</f>
        <v>Partnered</v>
      </c>
      <c r="F1298" s="7">
        <v>34043</v>
      </c>
      <c r="G1298" s="8">
        <v>1</v>
      </c>
      <c r="H1298" s="8">
        <v>0</v>
      </c>
      <c r="I1298" s="8">
        <f>Table1[[#This Row],[kids]]+Table1[[#This Row],[teens]]</f>
        <v>1</v>
      </c>
      <c r="J1298" s="9">
        <v>41572</v>
      </c>
      <c r="K1298" s="8">
        <v>97</v>
      </c>
      <c r="L1298" s="6">
        <v>20</v>
      </c>
      <c r="M1298" s="5">
        <v>2</v>
      </c>
      <c r="N1298" s="5">
        <v>14</v>
      </c>
      <c r="O1298" s="5">
        <v>3</v>
      </c>
      <c r="P1298" s="5">
        <v>0</v>
      </c>
      <c r="Q1298" s="5">
        <v>10</v>
      </c>
      <c r="R1298" s="8">
        <v>1</v>
      </c>
      <c r="S1298" s="8">
        <v>2</v>
      </c>
      <c r="T1298" s="8">
        <v>0</v>
      </c>
      <c r="U1298" s="8">
        <v>2</v>
      </c>
      <c r="V1298" s="8">
        <v>9</v>
      </c>
      <c r="W1298" t="s">
        <v>473</v>
      </c>
      <c r="X1298" t="s">
        <v>473</v>
      </c>
      <c r="Y1298" t="s">
        <v>473</v>
      </c>
      <c r="Z1298" t="s">
        <v>473</v>
      </c>
      <c r="AA1298" t="s">
        <v>473</v>
      </c>
      <c r="AB1298" t="s">
        <v>473</v>
      </c>
      <c r="AC1298" s="10">
        <v>3</v>
      </c>
      <c r="AD1298" s="10">
        <v>11</v>
      </c>
      <c r="AE1298" t="s">
        <v>473</v>
      </c>
    </row>
    <row r="1299" spans="1:31" x14ac:dyDescent="0.25">
      <c r="A1299">
        <v>5543</v>
      </c>
      <c r="B1299">
        <v>1966</v>
      </c>
      <c r="C1299" t="s">
        <v>466</v>
      </c>
      <c r="D1299" t="s">
        <v>31</v>
      </c>
      <c r="E1299" t="str">
        <f>IF(OR(Table1[[#This Row],[marital_status]]="Married", Table1[[#This Row],[marital_status]]="Together"), "Partnered", "Single")</f>
        <v>Partnered</v>
      </c>
      <c r="F1299" s="7">
        <v>57811</v>
      </c>
      <c r="G1299" s="8">
        <v>0</v>
      </c>
      <c r="H1299" s="8">
        <v>1</v>
      </c>
      <c r="I1299" s="8">
        <f>Table1[[#This Row],[kids]]+Table1[[#This Row],[teens]]</f>
        <v>1</v>
      </c>
      <c r="J1299" s="9">
        <v>41449</v>
      </c>
      <c r="K1299" s="8">
        <v>49</v>
      </c>
      <c r="L1299" s="6">
        <v>545</v>
      </c>
      <c r="M1299" s="5">
        <v>7</v>
      </c>
      <c r="N1299" s="5">
        <v>114</v>
      </c>
      <c r="O1299" s="5">
        <v>37</v>
      </c>
      <c r="P1299" s="5">
        <v>21</v>
      </c>
      <c r="Q1299" s="5">
        <v>78</v>
      </c>
      <c r="R1299" s="8">
        <v>5</v>
      </c>
      <c r="S1299" s="8">
        <v>7</v>
      </c>
      <c r="T1299" s="8">
        <v>2</v>
      </c>
      <c r="U1299" s="8">
        <v>11</v>
      </c>
      <c r="V1299" s="8">
        <v>5</v>
      </c>
      <c r="W1299" t="s">
        <v>473</v>
      </c>
      <c r="X1299" t="s">
        <v>474</v>
      </c>
      <c r="Y1299" t="s">
        <v>473</v>
      </c>
      <c r="Z1299" t="s">
        <v>473</v>
      </c>
      <c r="AA1299" t="s">
        <v>473</v>
      </c>
      <c r="AB1299" t="s">
        <v>473</v>
      </c>
      <c r="AC1299" s="10">
        <v>3</v>
      </c>
      <c r="AD1299" s="10">
        <v>11</v>
      </c>
      <c r="AE1299" t="s">
        <v>473</v>
      </c>
    </row>
    <row r="1300" spans="1:31" x14ac:dyDescent="0.25">
      <c r="A1300">
        <v>1577</v>
      </c>
      <c r="B1300">
        <v>1946</v>
      </c>
      <c r="C1300" t="s">
        <v>466</v>
      </c>
      <c r="D1300" t="s">
        <v>34</v>
      </c>
      <c r="E1300" t="str">
        <f>IF(OR(Table1[[#This Row],[marital_status]]="Married", Table1[[#This Row],[marital_status]]="Together"), "Partnered", "Single")</f>
        <v>Partnered</v>
      </c>
      <c r="F1300" s="7">
        <v>78569</v>
      </c>
      <c r="G1300" s="8">
        <v>0</v>
      </c>
      <c r="H1300" s="8">
        <v>0</v>
      </c>
      <c r="I1300" s="8">
        <f>Table1[[#This Row],[kids]]+Table1[[#This Row],[teens]]</f>
        <v>0</v>
      </c>
      <c r="J1300" s="9">
        <v>41689</v>
      </c>
      <c r="K1300" s="8">
        <v>14</v>
      </c>
      <c r="L1300" s="6">
        <v>558</v>
      </c>
      <c r="M1300" s="5">
        <v>79</v>
      </c>
      <c r="N1300" s="5">
        <v>622</v>
      </c>
      <c r="O1300" s="5">
        <v>207</v>
      </c>
      <c r="P1300" s="5">
        <v>175</v>
      </c>
      <c r="Q1300" s="5">
        <v>95</v>
      </c>
      <c r="R1300" s="8">
        <v>1</v>
      </c>
      <c r="S1300" s="8">
        <v>4</v>
      </c>
      <c r="T1300" s="8">
        <v>6</v>
      </c>
      <c r="U1300" s="8">
        <v>4</v>
      </c>
      <c r="V1300" s="8">
        <v>1</v>
      </c>
      <c r="W1300" t="s">
        <v>473</v>
      </c>
      <c r="X1300" t="s">
        <v>473</v>
      </c>
      <c r="Y1300" t="s">
        <v>474</v>
      </c>
      <c r="Z1300" t="s">
        <v>473</v>
      </c>
      <c r="AA1300" t="s">
        <v>473</v>
      </c>
      <c r="AB1300" t="s">
        <v>473</v>
      </c>
      <c r="AC1300" s="10">
        <v>3</v>
      </c>
      <c r="AD1300" s="10">
        <v>11</v>
      </c>
      <c r="AE1300" t="s">
        <v>474</v>
      </c>
    </row>
    <row r="1301" spans="1:31" x14ac:dyDescent="0.25">
      <c r="A1301">
        <v>10641</v>
      </c>
      <c r="B1301">
        <v>1978</v>
      </c>
      <c r="C1301" t="s">
        <v>466</v>
      </c>
      <c r="D1301" t="s">
        <v>30</v>
      </c>
      <c r="E1301" t="str">
        <f>IF(OR(Table1[[#This Row],[marital_status]]="Married", Table1[[#This Row],[marital_status]]="Together"), "Partnered", "Single")</f>
        <v>Single</v>
      </c>
      <c r="F1301" s="7">
        <v>7500</v>
      </c>
      <c r="G1301" s="8">
        <v>1</v>
      </c>
      <c r="H1301" s="8">
        <v>1</v>
      </c>
      <c r="I1301" s="8">
        <f>Table1[[#This Row],[kids]]+Table1[[#This Row],[teens]]</f>
        <v>2</v>
      </c>
      <c r="J1301" s="9">
        <v>41270</v>
      </c>
      <c r="K1301" s="8">
        <v>5</v>
      </c>
      <c r="L1301" s="6">
        <v>6</v>
      </c>
      <c r="M1301" s="5">
        <v>5</v>
      </c>
      <c r="N1301" s="5">
        <v>4</v>
      </c>
      <c r="O1301" s="5">
        <v>13</v>
      </c>
      <c r="P1301" s="5">
        <v>4</v>
      </c>
      <c r="Q1301" s="5">
        <v>25</v>
      </c>
      <c r="R1301" s="8">
        <v>4</v>
      </c>
      <c r="S1301" s="8">
        <v>2</v>
      </c>
      <c r="T1301" s="8">
        <v>1</v>
      </c>
      <c r="U1301" s="8">
        <v>3</v>
      </c>
      <c r="V1301" s="8">
        <v>6</v>
      </c>
      <c r="W1301" t="s">
        <v>473</v>
      </c>
      <c r="X1301" t="s">
        <v>473</v>
      </c>
      <c r="Y1301" t="s">
        <v>473</v>
      </c>
      <c r="Z1301" t="s">
        <v>473</v>
      </c>
      <c r="AA1301" t="s">
        <v>473</v>
      </c>
      <c r="AB1301" t="s">
        <v>473</v>
      </c>
      <c r="AC1301" s="10">
        <v>3</v>
      </c>
      <c r="AD1301" s="10">
        <v>11</v>
      </c>
      <c r="AE1301" t="s">
        <v>473</v>
      </c>
    </row>
    <row r="1302" spans="1:31" x14ac:dyDescent="0.25">
      <c r="A1302">
        <v>5336</v>
      </c>
      <c r="B1302">
        <v>1971</v>
      </c>
      <c r="C1302" t="s">
        <v>36</v>
      </c>
      <c r="D1302" t="s">
        <v>31</v>
      </c>
      <c r="E1302" t="str">
        <f>IF(OR(Table1[[#This Row],[marital_status]]="Married", Table1[[#This Row],[marital_status]]="Together"), "Partnered", "Single")</f>
        <v>Partnered</v>
      </c>
      <c r="F1302" s="7">
        <v>157733</v>
      </c>
      <c r="G1302" s="8">
        <v>1</v>
      </c>
      <c r="H1302" s="8">
        <v>0</v>
      </c>
      <c r="I1302" s="8">
        <f>Table1[[#This Row],[kids]]+Table1[[#This Row],[teens]]</f>
        <v>1</v>
      </c>
      <c r="J1302" s="9">
        <v>41429</v>
      </c>
      <c r="K1302" s="8">
        <v>37</v>
      </c>
      <c r="L1302" s="6">
        <v>39</v>
      </c>
      <c r="M1302" s="5">
        <v>1</v>
      </c>
      <c r="N1302" s="5">
        <v>9</v>
      </c>
      <c r="O1302" s="5">
        <v>2</v>
      </c>
      <c r="P1302" s="5">
        <v>0</v>
      </c>
      <c r="Q1302" s="5">
        <v>8</v>
      </c>
      <c r="R1302" s="8">
        <v>0</v>
      </c>
      <c r="S1302" s="8">
        <v>1</v>
      </c>
      <c r="T1302" s="8">
        <v>0</v>
      </c>
      <c r="U1302" s="8">
        <v>1</v>
      </c>
      <c r="V1302" s="8">
        <v>1</v>
      </c>
      <c r="W1302" t="s">
        <v>473</v>
      </c>
      <c r="X1302" t="s">
        <v>473</v>
      </c>
      <c r="Y1302" t="s">
        <v>473</v>
      </c>
      <c r="Z1302" t="s">
        <v>473</v>
      </c>
      <c r="AA1302" t="s">
        <v>473</v>
      </c>
      <c r="AB1302" t="s">
        <v>473</v>
      </c>
      <c r="AC1302" s="10">
        <v>3</v>
      </c>
      <c r="AD1302" s="10">
        <v>11</v>
      </c>
      <c r="AE1302" t="s">
        <v>473</v>
      </c>
    </row>
    <row r="1303" spans="1:31" x14ac:dyDescent="0.25">
      <c r="A1303">
        <v>6024</v>
      </c>
      <c r="B1303">
        <v>1953</v>
      </c>
      <c r="C1303" t="s">
        <v>466</v>
      </c>
      <c r="D1303" t="s">
        <v>31</v>
      </c>
      <c r="E1303" t="str">
        <f>IF(OR(Table1[[#This Row],[marital_status]]="Married", Table1[[#This Row],[marital_status]]="Together"), "Partnered", "Single")</f>
        <v>Partnered</v>
      </c>
      <c r="F1303" s="7">
        <v>94384</v>
      </c>
      <c r="G1303" s="8">
        <v>0</v>
      </c>
      <c r="H1303" s="8">
        <v>0</v>
      </c>
      <c r="I1303" s="8">
        <f>Table1[[#This Row],[kids]]+Table1[[#This Row],[teens]]</f>
        <v>0</v>
      </c>
      <c r="J1303" s="9">
        <v>41337</v>
      </c>
      <c r="K1303" s="8">
        <v>62</v>
      </c>
      <c r="L1303" s="6">
        <v>1111</v>
      </c>
      <c r="M1303" s="5">
        <v>24</v>
      </c>
      <c r="N1303" s="5">
        <v>790</v>
      </c>
      <c r="O1303" s="5">
        <v>160</v>
      </c>
      <c r="P1303" s="5">
        <v>45</v>
      </c>
      <c r="Q1303" s="5">
        <v>172</v>
      </c>
      <c r="R1303" s="8">
        <v>0</v>
      </c>
      <c r="S1303" s="8">
        <v>5</v>
      </c>
      <c r="T1303" s="8">
        <v>8</v>
      </c>
      <c r="U1303" s="8">
        <v>5</v>
      </c>
      <c r="V1303" s="8">
        <v>2</v>
      </c>
      <c r="W1303" t="s">
        <v>473</v>
      </c>
      <c r="X1303" t="s">
        <v>474</v>
      </c>
      <c r="Y1303" t="s">
        <v>474</v>
      </c>
      <c r="Z1303" t="s">
        <v>474</v>
      </c>
      <c r="AA1303" t="s">
        <v>473</v>
      </c>
      <c r="AB1303" t="s">
        <v>473</v>
      </c>
      <c r="AC1303" s="10">
        <v>3</v>
      </c>
      <c r="AD1303" s="10">
        <v>11</v>
      </c>
      <c r="AE1303" t="s">
        <v>474</v>
      </c>
    </row>
    <row r="1304" spans="1:31" x14ac:dyDescent="0.25">
      <c r="A1304">
        <v>1878</v>
      </c>
      <c r="B1304">
        <v>1985</v>
      </c>
      <c r="C1304" t="s">
        <v>46</v>
      </c>
      <c r="D1304" t="s">
        <v>34</v>
      </c>
      <c r="E1304" t="str">
        <f>IF(OR(Table1[[#This Row],[marital_status]]="Married", Table1[[#This Row],[marital_status]]="Together"), "Partnered", "Single")</f>
        <v>Partnered</v>
      </c>
      <c r="F1304" s="7">
        <v>23148</v>
      </c>
      <c r="G1304" s="8">
        <v>0</v>
      </c>
      <c r="H1304" s="8">
        <v>0</v>
      </c>
      <c r="I1304" s="8">
        <f>Table1[[#This Row],[kids]]+Table1[[#This Row],[teens]]</f>
        <v>0</v>
      </c>
      <c r="J1304" s="9">
        <v>41688</v>
      </c>
      <c r="K1304" s="8">
        <v>83</v>
      </c>
      <c r="L1304" s="6">
        <v>4</v>
      </c>
      <c r="M1304" s="5">
        <v>6</v>
      </c>
      <c r="N1304" s="5">
        <v>8</v>
      </c>
      <c r="O1304" s="5">
        <v>6</v>
      </c>
      <c r="P1304" s="5">
        <v>3</v>
      </c>
      <c r="Q1304" s="5">
        <v>10</v>
      </c>
      <c r="R1304" s="8">
        <v>1</v>
      </c>
      <c r="S1304" s="8">
        <v>2</v>
      </c>
      <c r="T1304" s="8">
        <v>0</v>
      </c>
      <c r="U1304" s="8">
        <v>3</v>
      </c>
      <c r="V1304" s="8">
        <v>7</v>
      </c>
      <c r="W1304" t="s">
        <v>473</v>
      </c>
      <c r="X1304" t="s">
        <v>473</v>
      </c>
      <c r="Y1304" t="s">
        <v>473</v>
      </c>
      <c r="Z1304" t="s">
        <v>473</v>
      </c>
      <c r="AA1304" t="s">
        <v>473</v>
      </c>
      <c r="AB1304" t="s">
        <v>473</v>
      </c>
      <c r="AC1304" s="10">
        <v>3</v>
      </c>
      <c r="AD1304" s="10">
        <v>11</v>
      </c>
      <c r="AE1304" t="s">
        <v>473</v>
      </c>
    </row>
    <row r="1305" spans="1:31" x14ac:dyDescent="0.25">
      <c r="A1305">
        <v>3099</v>
      </c>
      <c r="B1305">
        <v>1970</v>
      </c>
      <c r="C1305" t="s">
        <v>466</v>
      </c>
      <c r="D1305" t="s">
        <v>37</v>
      </c>
      <c r="E1305" t="str">
        <f>IF(OR(Table1[[#This Row],[marital_status]]="Married", Table1[[#This Row],[marital_status]]="Together"), "Partnered", "Single")</f>
        <v>Single</v>
      </c>
      <c r="F1305" s="7">
        <v>44267</v>
      </c>
      <c r="G1305" s="8">
        <v>1</v>
      </c>
      <c r="H1305" s="8">
        <v>1</v>
      </c>
      <c r="I1305" s="8">
        <f>Table1[[#This Row],[kids]]+Table1[[#This Row],[teens]]</f>
        <v>2</v>
      </c>
      <c r="J1305" s="9">
        <v>41330</v>
      </c>
      <c r="K1305" s="8">
        <v>48</v>
      </c>
      <c r="L1305" s="6">
        <v>183</v>
      </c>
      <c r="M1305" s="5">
        <v>5</v>
      </c>
      <c r="N1305" s="5">
        <v>65</v>
      </c>
      <c r="O1305" s="5">
        <v>3</v>
      </c>
      <c r="P1305" s="5">
        <v>5</v>
      </c>
      <c r="Q1305" s="5">
        <v>49</v>
      </c>
      <c r="R1305" s="8">
        <v>5</v>
      </c>
      <c r="S1305" s="8">
        <v>5</v>
      </c>
      <c r="T1305" s="8">
        <v>2</v>
      </c>
      <c r="U1305" s="8">
        <v>4</v>
      </c>
      <c r="V1305" s="8">
        <v>9</v>
      </c>
      <c r="W1305" t="s">
        <v>473</v>
      </c>
      <c r="X1305" t="s">
        <v>473</v>
      </c>
      <c r="Y1305" t="s">
        <v>473</v>
      </c>
      <c r="Z1305" t="s">
        <v>473</v>
      </c>
      <c r="AA1305" t="s">
        <v>473</v>
      </c>
      <c r="AB1305" t="s">
        <v>473</v>
      </c>
      <c r="AC1305" s="10">
        <v>3</v>
      </c>
      <c r="AD1305" s="10">
        <v>11</v>
      </c>
      <c r="AE1305" t="s">
        <v>473</v>
      </c>
    </row>
    <row r="1306" spans="1:31" x14ac:dyDescent="0.25">
      <c r="A1306">
        <v>6055</v>
      </c>
      <c r="B1306">
        <v>1979</v>
      </c>
      <c r="C1306" t="s">
        <v>466</v>
      </c>
      <c r="D1306" t="s">
        <v>34</v>
      </c>
      <c r="E1306" t="str">
        <f>IF(OR(Table1[[#This Row],[marital_status]]="Married", Table1[[#This Row],[marital_status]]="Together"), "Partnered", "Single")</f>
        <v>Partnered</v>
      </c>
      <c r="F1306" s="7">
        <v>71626</v>
      </c>
      <c r="G1306" s="8">
        <v>0</v>
      </c>
      <c r="H1306" s="8">
        <v>0</v>
      </c>
      <c r="I1306" s="8">
        <f>Table1[[#This Row],[kids]]+Table1[[#This Row],[teens]]</f>
        <v>0</v>
      </c>
      <c r="J1306" s="9">
        <v>41214</v>
      </c>
      <c r="K1306" s="8">
        <v>94</v>
      </c>
      <c r="L1306" s="6">
        <v>546</v>
      </c>
      <c r="M1306" s="5">
        <v>72</v>
      </c>
      <c r="N1306" s="5">
        <v>376</v>
      </c>
      <c r="O1306" s="5">
        <v>94</v>
      </c>
      <c r="P1306" s="5">
        <v>145</v>
      </c>
      <c r="Q1306" s="5">
        <v>72</v>
      </c>
      <c r="R1306" s="8">
        <v>1</v>
      </c>
      <c r="S1306" s="8">
        <v>5</v>
      </c>
      <c r="T1306" s="8">
        <v>5</v>
      </c>
      <c r="U1306" s="8">
        <v>8</v>
      </c>
      <c r="V1306" s="8">
        <v>3</v>
      </c>
      <c r="W1306" t="s">
        <v>473</v>
      </c>
      <c r="X1306" t="s">
        <v>474</v>
      </c>
      <c r="Y1306" t="s">
        <v>473</v>
      </c>
      <c r="Z1306" t="s">
        <v>473</v>
      </c>
      <c r="AA1306" t="s">
        <v>473</v>
      </c>
      <c r="AB1306" t="s">
        <v>473</v>
      </c>
      <c r="AC1306" s="10">
        <v>3</v>
      </c>
      <c r="AD1306" s="10">
        <v>11</v>
      </c>
      <c r="AE1306" t="s">
        <v>473</v>
      </c>
    </row>
    <row r="1307" spans="1:31" x14ac:dyDescent="0.25">
      <c r="A1307">
        <v>5841</v>
      </c>
      <c r="B1307">
        <v>1966</v>
      </c>
      <c r="C1307" t="s">
        <v>466</v>
      </c>
      <c r="D1307" t="s">
        <v>31</v>
      </c>
      <c r="E1307" t="str">
        <f>IF(OR(Table1[[#This Row],[marital_status]]="Married", Table1[[#This Row],[marital_status]]="Together"), "Partnered", "Single")</f>
        <v>Partnered</v>
      </c>
      <c r="F1307" s="7">
        <v>60894</v>
      </c>
      <c r="G1307" s="8">
        <v>0</v>
      </c>
      <c r="H1307" s="8">
        <v>1</v>
      </c>
      <c r="I1307" s="8">
        <f>Table1[[#This Row],[kids]]+Table1[[#This Row],[teens]]</f>
        <v>1</v>
      </c>
      <c r="J1307" s="9">
        <v>41453</v>
      </c>
      <c r="K1307" s="8">
        <v>61</v>
      </c>
      <c r="L1307" s="6">
        <v>606</v>
      </c>
      <c r="M1307" s="5">
        <v>7</v>
      </c>
      <c r="N1307" s="5">
        <v>155</v>
      </c>
      <c r="O1307" s="5">
        <v>10</v>
      </c>
      <c r="P1307" s="5">
        <v>0</v>
      </c>
      <c r="Q1307" s="5">
        <v>54</v>
      </c>
      <c r="R1307" s="8">
        <v>5</v>
      </c>
      <c r="S1307" s="8">
        <v>10</v>
      </c>
      <c r="T1307" s="8">
        <v>3</v>
      </c>
      <c r="U1307" s="8">
        <v>8</v>
      </c>
      <c r="V1307" s="8">
        <v>7</v>
      </c>
      <c r="W1307" t="s">
        <v>473</v>
      </c>
      <c r="X1307" t="s">
        <v>473</v>
      </c>
      <c r="Y1307" t="s">
        <v>473</v>
      </c>
      <c r="Z1307" t="s">
        <v>473</v>
      </c>
      <c r="AA1307" t="s">
        <v>473</v>
      </c>
      <c r="AB1307" t="s">
        <v>473</v>
      </c>
      <c r="AC1307" s="10">
        <v>3</v>
      </c>
      <c r="AD1307" s="10">
        <v>11</v>
      </c>
      <c r="AE1307" t="s">
        <v>473</v>
      </c>
    </row>
    <row r="1308" spans="1:31" x14ac:dyDescent="0.25">
      <c r="A1308">
        <v>3972</v>
      </c>
      <c r="B1308">
        <v>1976</v>
      </c>
      <c r="C1308" t="s">
        <v>466</v>
      </c>
      <c r="D1308" t="s">
        <v>31</v>
      </c>
      <c r="E1308" t="str">
        <f>IF(OR(Table1[[#This Row],[marital_status]]="Married", Table1[[#This Row],[marital_status]]="Together"), "Partnered", "Single")</f>
        <v>Partnered</v>
      </c>
      <c r="F1308" s="7">
        <v>50200</v>
      </c>
      <c r="G1308" s="8">
        <v>1</v>
      </c>
      <c r="H1308" s="8">
        <v>1</v>
      </c>
      <c r="I1308" s="8">
        <f>Table1[[#This Row],[kids]]+Table1[[#This Row],[teens]]</f>
        <v>2</v>
      </c>
      <c r="J1308" s="9">
        <v>41367</v>
      </c>
      <c r="K1308" s="8">
        <v>70</v>
      </c>
      <c r="L1308" s="6">
        <v>266</v>
      </c>
      <c r="M1308" s="5">
        <v>6</v>
      </c>
      <c r="N1308" s="5">
        <v>51</v>
      </c>
      <c r="O1308" s="5">
        <v>8</v>
      </c>
      <c r="P1308" s="5">
        <v>6</v>
      </c>
      <c r="Q1308" s="5">
        <v>64</v>
      </c>
      <c r="R1308" s="8">
        <v>6</v>
      </c>
      <c r="S1308" s="8">
        <v>7</v>
      </c>
      <c r="T1308" s="8">
        <v>1</v>
      </c>
      <c r="U1308" s="8">
        <v>5</v>
      </c>
      <c r="V1308" s="8">
        <v>8</v>
      </c>
      <c r="W1308" t="s">
        <v>473</v>
      </c>
      <c r="X1308" t="s">
        <v>473</v>
      </c>
      <c r="Y1308" t="s">
        <v>473</v>
      </c>
      <c r="Z1308" t="s">
        <v>473</v>
      </c>
      <c r="AA1308" t="s">
        <v>473</v>
      </c>
      <c r="AB1308" t="s">
        <v>473</v>
      </c>
      <c r="AC1308" s="10">
        <v>3</v>
      </c>
      <c r="AD1308" s="10">
        <v>11</v>
      </c>
      <c r="AE1308" t="s">
        <v>473</v>
      </c>
    </row>
    <row r="1309" spans="1:31" x14ac:dyDescent="0.25">
      <c r="A1309">
        <v>4394</v>
      </c>
      <c r="B1309">
        <v>1965</v>
      </c>
      <c r="C1309" t="s">
        <v>33</v>
      </c>
      <c r="D1309" t="s">
        <v>34</v>
      </c>
      <c r="E1309" t="str">
        <f>IF(OR(Table1[[#This Row],[marital_status]]="Married", Table1[[#This Row],[marital_status]]="Together"), "Partnered", "Single")</f>
        <v>Partnered</v>
      </c>
      <c r="F1309" s="7">
        <v>81051</v>
      </c>
      <c r="G1309" s="8">
        <v>0</v>
      </c>
      <c r="H1309" s="8">
        <v>0</v>
      </c>
      <c r="I1309" s="8">
        <f>Table1[[#This Row],[kids]]+Table1[[#This Row],[teens]]</f>
        <v>0</v>
      </c>
      <c r="J1309" s="9">
        <v>41782</v>
      </c>
      <c r="K1309" s="8">
        <v>43</v>
      </c>
      <c r="L1309" s="6">
        <v>1142</v>
      </c>
      <c r="M1309" s="5">
        <v>29</v>
      </c>
      <c r="N1309" s="5">
        <v>249</v>
      </c>
      <c r="O1309" s="5">
        <v>38</v>
      </c>
      <c r="P1309" s="5">
        <v>29</v>
      </c>
      <c r="Q1309" s="5">
        <v>14</v>
      </c>
      <c r="R1309" s="8">
        <v>1</v>
      </c>
      <c r="S1309" s="8">
        <v>5</v>
      </c>
      <c r="T1309" s="8">
        <v>5</v>
      </c>
      <c r="U1309" s="8">
        <v>12</v>
      </c>
      <c r="V1309" s="8">
        <v>2</v>
      </c>
      <c r="W1309" t="s">
        <v>473</v>
      </c>
      <c r="X1309" t="s">
        <v>474</v>
      </c>
      <c r="Y1309" t="s">
        <v>474</v>
      </c>
      <c r="Z1309" t="s">
        <v>473</v>
      </c>
      <c r="AA1309" t="s">
        <v>473</v>
      </c>
      <c r="AB1309" t="s">
        <v>473</v>
      </c>
      <c r="AC1309" s="10">
        <v>3</v>
      </c>
      <c r="AD1309" s="10">
        <v>11</v>
      </c>
      <c r="AE1309" t="s">
        <v>473</v>
      </c>
    </row>
    <row r="1310" spans="1:31" x14ac:dyDescent="0.25">
      <c r="A1310">
        <v>5758</v>
      </c>
      <c r="B1310">
        <v>1982</v>
      </c>
      <c r="C1310" t="s">
        <v>466</v>
      </c>
      <c r="D1310" t="s">
        <v>34</v>
      </c>
      <c r="E1310" t="str">
        <f>IF(OR(Table1[[#This Row],[marital_status]]="Married", Table1[[#This Row],[marital_status]]="Together"), "Partnered", "Single")</f>
        <v>Partnered</v>
      </c>
      <c r="F1310" s="7">
        <v>65169</v>
      </c>
      <c r="G1310" s="8">
        <v>0</v>
      </c>
      <c r="H1310" s="8">
        <v>0</v>
      </c>
      <c r="I1310" s="8">
        <f>Table1[[#This Row],[kids]]+Table1[[#This Row],[teens]]</f>
        <v>0</v>
      </c>
      <c r="J1310" s="9">
        <v>41653</v>
      </c>
      <c r="K1310" s="8">
        <v>23</v>
      </c>
      <c r="L1310" s="6">
        <v>1074</v>
      </c>
      <c r="M1310" s="5">
        <v>0</v>
      </c>
      <c r="N1310" s="5">
        <v>69</v>
      </c>
      <c r="O1310" s="5">
        <v>0</v>
      </c>
      <c r="P1310" s="5">
        <v>0</v>
      </c>
      <c r="Q1310" s="5">
        <v>46</v>
      </c>
      <c r="R1310" s="8">
        <v>1</v>
      </c>
      <c r="S1310" s="8">
        <v>10</v>
      </c>
      <c r="T1310" s="8">
        <v>4</v>
      </c>
      <c r="U1310" s="8">
        <v>13</v>
      </c>
      <c r="V1310" s="8">
        <v>6</v>
      </c>
      <c r="W1310" t="s">
        <v>474</v>
      </c>
      <c r="X1310" t="s">
        <v>473</v>
      </c>
      <c r="Y1310" t="s">
        <v>474</v>
      </c>
      <c r="Z1310" t="s">
        <v>474</v>
      </c>
      <c r="AA1310" t="s">
        <v>474</v>
      </c>
      <c r="AB1310" t="s">
        <v>473</v>
      </c>
      <c r="AC1310" s="10">
        <v>3</v>
      </c>
      <c r="AD1310" s="10">
        <v>11</v>
      </c>
      <c r="AE1310" t="s">
        <v>474</v>
      </c>
    </row>
    <row r="1311" spans="1:31" x14ac:dyDescent="0.25">
      <c r="A1311">
        <v>6658</v>
      </c>
      <c r="B1311">
        <v>1972</v>
      </c>
      <c r="C1311" t="s">
        <v>466</v>
      </c>
      <c r="D1311" t="s">
        <v>31</v>
      </c>
      <c r="E1311" t="str">
        <f>IF(OR(Table1[[#This Row],[marital_status]]="Married", Table1[[#This Row],[marital_status]]="Together"), "Partnered", "Single")</f>
        <v>Partnered</v>
      </c>
      <c r="F1311" s="7">
        <v>59868</v>
      </c>
      <c r="G1311" s="8">
        <v>0</v>
      </c>
      <c r="H1311" s="8">
        <v>1</v>
      </c>
      <c r="I1311" s="8">
        <f>Table1[[#This Row],[kids]]+Table1[[#This Row],[teens]]</f>
        <v>1</v>
      </c>
      <c r="J1311" s="9">
        <v>41477</v>
      </c>
      <c r="K1311" s="8">
        <v>37</v>
      </c>
      <c r="L1311" s="6">
        <v>771</v>
      </c>
      <c r="M1311" s="5">
        <v>51</v>
      </c>
      <c r="N1311" s="5">
        <v>154</v>
      </c>
      <c r="O1311" s="5">
        <v>54</v>
      </c>
      <c r="P1311" s="5">
        <v>10</v>
      </c>
      <c r="Q1311" s="5">
        <v>154</v>
      </c>
      <c r="R1311" s="8">
        <v>7</v>
      </c>
      <c r="S1311" s="8">
        <v>11</v>
      </c>
      <c r="T1311" s="8">
        <v>2</v>
      </c>
      <c r="U1311" s="8">
        <v>12</v>
      </c>
      <c r="V1311" s="8">
        <v>6</v>
      </c>
      <c r="W1311" t="s">
        <v>473</v>
      </c>
      <c r="X1311" t="s">
        <v>473</v>
      </c>
      <c r="Y1311" t="s">
        <v>473</v>
      </c>
      <c r="Z1311" t="s">
        <v>473</v>
      </c>
      <c r="AA1311" t="s">
        <v>473</v>
      </c>
      <c r="AB1311" t="s">
        <v>473</v>
      </c>
      <c r="AC1311" s="10">
        <v>3</v>
      </c>
      <c r="AD1311" s="10">
        <v>11</v>
      </c>
      <c r="AE1311" t="s">
        <v>473</v>
      </c>
    </row>
    <row r="1312" spans="1:31" x14ac:dyDescent="0.25">
      <c r="A1312">
        <v>4603</v>
      </c>
      <c r="B1312">
        <v>1960</v>
      </c>
      <c r="C1312" t="s">
        <v>33</v>
      </c>
      <c r="D1312" t="s">
        <v>34</v>
      </c>
      <c r="E1312" t="str">
        <f>IF(OR(Table1[[#This Row],[marital_status]]="Married", Table1[[#This Row],[marital_status]]="Together"), "Partnered", "Single")</f>
        <v>Partnered</v>
      </c>
      <c r="F1312" s="7">
        <v>65695</v>
      </c>
      <c r="G1312" s="8">
        <v>0</v>
      </c>
      <c r="H1312" s="8">
        <v>1</v>
      </c>
      <c r="I1312" s="8">
        <f>Table1[[#This Row],[kids]]+Table1[[#This Row],[teens]]</f>
        <v>1</v>
      </c>
      <c r="J1312" s="9">
        <v>41670</v>
      </c>
      <c r="K1312" s="8">
        <v>50</v>
      </c>
      <c r="L1312" s="6">
        <v>371</v>
      </c>
      <c r="M1312" s="5">
        <v>32</v>
      </c>
      <c r="N1312" s="5">
        <v>189</v>
      </c>
      <c r="O1312" s="5">
        <v>0</v>
      </c>
      <c r="P1312" s="5">
        <v>58</v>
      </c>
      <c r="Q1312" s="5">
        <v>6</v>
      </c>
      <c r="R1312" s="8">
        <v>2</v>
      </c>
      <c r="S1312" s="8">
        <v>5</v>
      </c>
      <c r="T1312" s="8">
        <v>4</v>
      </c>
      <c r="U1312" s="8">
        <v>10</v>
      </c>
      <c r="V1312" s="8">
        <v>4</v>
      </c>
      <c r="W1312" t="s">
        <v>473</v>
      </c>
      <c r="X1312" t="s">
        <v>473</v>
      </c>
      <c r="Y1312" t="s">
        <v>473</v>
      </c>
      <c r="Z1312" t="s">
        <v>473</v>
      </c>
      <c r="AA1312" t="s">
        <v>473</v>
      </c>
      <c r="AB1312" t="s">
        <v>473</v>
      </c>
      <c r="AC1312" s="10">
        <v>3</v>
      </c>
      <c r="AD1312" s="10">
        <v>11</v>
      </c>
      <c r="AE1312" t="s">
        <v>473</v>
      </c>
    </row>
    <row r="1313" spans="1:31" x14ac:dyDescent="0.25">
      <c r="A1313">
        <v>8427</v>
      </c>
      <c r="B1313">
        <v>1956</v>
      </c>
      <c r="C1313" t="s">
        <v>36</v>
      </c>
      <c r="D1313" t="s">
        <v>30</v>
      </c>
      <c r="E1313" t="str">
        <f>IF(OR(Table1[[#This Row],[marital_status]]="Married", Table1[[#This Row],[marital_status]]="Together"), "Partnered", "Single")</f>
        <v>Single</v>
      </c>
      <c r="F1313" s="7">
        <v>64857</v>
      </c>
      <c r="G1313" s="8">
        <v>0</v>
      </c>
      <c r="H1313" s="8">
        <v>0</v>
      </c>
      <c r="I1313" s="8">
        <f>Table1[[#This Row],[kids]]+Table1[[#This Row],[teens]]</f>
        <v>0</v>
      </c>
      <c r="J1313" s="9">
        <v>41236</v>
      </c>
      <c r="K1313" s="8">
        <v>78</v>
      </c>
      <c r="L1313" s="6">
        <v>556</v>
      </c>
      <c r="M1313" s="5">
        <v>14</v>
      </c>
      <c r="N1313" s="5">
        <v>717</v>
      </c>
      <c r="O1313" s="5">
        <v>210</v>
      </c>
      <c r="P1313" s="5">
        <v>0</v>
      </c>
      <c r="Q1313" s="5">
        <v>43</v>
      </c>
      <c r="R1313" s="8">
        <v>1</v>
      </c>
      <c r="S1313" s="8">
        <v>7</v>
      </c>
      <c r="T1313" s="8">
        <v>5</v>
      </c>
      <c r="U1313" s="8">
        <v>10</v>
      </c>
      <c r="V1313" s="8">
        <v>4</v>
      </c>
      <c r="W1313" t="s">
        <v>473</v>
      </c>
      <c r="X1313" t="s">
        <v>473</v>
      </c>
      <c r="Y1313" t="s">
        <v>473</v>
      </c>
      <c r="Z1313" t="s">
        <v>473</v>
      </c>
      <c r="AA1313" t="s">
        <v>473</v>
      </c>
      <c r="AB1313" t="s">
        <v>473</v>
      </c>
      <c r="AC1313" s="10">
        <v>3</v>
      </c>
      <c r="AD1313" s="10">
        <v>11</v>
      </c>
      <c r="AE1313" t="s">
        <v>473</v>
      </c>
    </row>
    <row r="1314" spans="1:31" x14ac:dyDescent="0.25">
      <c r="A1314">
        <v>10260</v>
      </c>
      <c r="B1314">
        <v>1965</v>
      </c>
      <c r="C1314" t="s">
        <v>36</v>
      </c>
      <c r="D1314" t="s">
        <v>31</v>
      </c>
      <c r="E1314" t="str">
        <f>IF(OR(Table1[[#This Row],[marital_status]]="Married", Table1[[#This Row],[marital_status]]="Together"), "Partnered", "Single")</f>
        <v>Partnered</v>
      </c>
      <c r="F1314" s="7">
        <v>45143</v>
      </c>
      <c r="G1314" s="8">
        <v>0</v>
      </c>
      <c r="H1314" s="8">
        <v>1</v>
      </c>
      <c r="I1314" s="8">
        <f>Table1[[#This Row],[kids]]+Table1[[#This Row],[teens]]</f>
        <v>1</v>
      </c>
      <c r="J1314" s="9">
        <v>41512</v>
      </c>
      <c r="K1314" s="8">
        <v>74</v>
      </c>
      <c r="L1314" s="6">
        <v>202</v>
      </c>
      <c r="M1314" s="5">
        <v>5</v>
      </c>
      <c r="N1314" s="5">
        <v>74</v>
      </c>
      <c r="O1314" s="5">
        <v>11</v>
      </c>
      <c r="P1314" s="5">
        <v>5</v>
      </c>
      <c r="Q1314" s="5">
        <v>14</v>
      </c>
      <c r="R1314" s="8">
        <v>3</v>
      </c>
      <c r="S1314" s="8">
        <v>6</v>
      </c>
      <c r="T1314" s="8">
        <v>1</v>
      </c>
      <c r="U1314" s="8">
        <v>5</v>
      </c>
      <c r="V1314" s="8">
        <v>7</v>
      </c>
      <c r="W1314" t="s">
        <v>473</v>
      </c>
      <c r="X1314" t="s">
        <v>473</v>
      </c>
      <c r="Y1314" t="s">
        <v>473</v>
      </c>
      <c r="Z1314" t="s">
        <v>473</v>
      </c>
      <c r="AA1314" t="s">
        <v>473</v>
      </c>
      <c r="AB1314" t="s">
        <v>473</v>
      </c>
      <c r="AC1314" s="10">
        <v>3</v>
      </c>
      <c r="AD1314" s="10">
        <v>11</v>
      </c>
      <c r="AE1314" t="s">
        <v>473</v>
      </c>
    </row>
    <row r="1315" spans="1:31" x14ac:dyDescent="0.25">
      <c r="A1315">
        <v>7143</v>
      </c>
      <c r="B1315">
        <v>1955</v>
      </c>
      <c r="C1315" t="s">
        <v>46</v>
      </c>
      <c r="D1315" t="s">
        <v>31</v>
      </c>
      <c r="E1315" t="str">
        <f>IF(OR(Table1[[#This Row],[marital_status]]="Married", Table1[[#This Row],[marital_status]]="Together"), "Partnered", "Single")</f>
        <v>Partnered</v>
      </c>
      <c r="F1315" s="7">
        <v>74805</v>
      </c>
      <c r="G1315" s="8">
        <v>0</v>
      </c>
      <c r="H1315" s="8">
        <v>1</v>
      </c>
      <c r="I1315" s="8">
        <f>Table1[[#This Row],[kids]]+Table1[[#This Row],[teens]]</f>
        <v>1</v>
      </c>
      <c r="J1315" s="9">
        <v>41584</v>
      </c>
      <c r="K1315" s="8">
        <v>14</v>
      </c>
      <c r="L1315" s="6">
        <v>209</v>
      </c>
      <c r="M1315" s="5">
        <v>162</v>
      </c>
      <c r="N1315" s="5">
        <v>209</v>
      </c>
      <c r="O1315" s="5">
        <v>41</v>
      </c>
      <c r="P1315" s="5">
        <v>162</v>
      </c>
      <c r="Q1315" s="5">
        <v>37</v>
      </c>
      <c r="R1315" s="8">
        <v>5</v>
      </c>
      <c r="S1315" s="8">
        <v>4</v>
      </c>
      <c r="T1315" s="8">
        <v>7</v>
      </c>
      <c r="U1315" s="8">
        <v>10</v>
      </c>
      <c r="V1315" s="8">
        <v>2</v>
      </c>
      <c r="W1315" t="s">
        <v>473</v>
      </c>
      <c r="X1315" t="s">
        <v>473</v>
      </c>
      <c r="Y1315" t="s">
        <v>473</v>
      </c>
      <c r="Z1315" t="s">
        <v>473</v>
      </c>
      <c r="AA1315" t="s">
        <v>473</v>
      </c>
      <c r="AB1315" t="s">
        <v>473</v>
      </c>
      <c r="AC1315" s="10">
        <v>3</v>
      </c>
      <c r="AD1315" s="10">
        <v>11</v>
      </c>
      <c r="AE1315" t="s">
        <v>473</v>
      </c>
    </row>
    <row r="1316" spans="1:31" x14ac:dyDescent="0.25">
      <c r="A1316">
        <v>8789</v>
      </c>
      <c r="B1316">
        <v>1989</v>
      </c>
      <c r="C1316" t="s">
        <v>46</v>
      </c>
      <c r="D1316" t="s">
        <v>34</v>
      </c>
      <c r="E1316" t="str">
        <f>IF(OR(Table1[[#This Row],[marital_status]]="Married", Table1[[#This Row],[marital_status]]="Together"), "Partnered", "Single")</f>
        <v>Partnered</v>
      </c>
      <c r="F1316" s="7">
        <v>59060</v>
      </c>
      <c r="G1316" s="8">
        <v>1</v>
      </c>
      <c r="H1316" s="8">
        <v>0</v>
      </c>
      <c r="I1316" s="8">
        <f>Table1[[#This Row],[kids]]+Table1[[#This Row],[teens]]</f>
        <v>1</v>
      </c>
      <c r="J1316" s="9">
        <v>41650</v>
      </c>
      <c r="K1316" s="8">
        <v>77</v>
      </c>
      <c r="L1316" s="6">
        <v>35</v>
      </c>
      <c r="M1316" s="5">
        <v>40</v>
      </c>
      <c r="N1316" s="5">
        <v>111</v>
      </c>
      <c r="O1316" s="5">
        <v>36</v>
      </c>
      <c r="P1316" s="5">
        <v>40</v>
      </c>
      <c r="Q1316" s="5">
        <v>12</v>
      </c>
      <c r="R1316" s="8">
        <v>3</v>
      </c>
      <c r="S1316" s="8">
        <v>3</v>
      </c>
      <c r="T1316" s="8">
        <v>1</v>
      </c>
      <c r="U1316" s="8">
        <v>7</v>
      </c>
      <c r="V1316" s="8">
        <v>4</v>
      </c>
      <c r="W1316" t="s">
        <v>473</v>
      </c>
      <c r="X1316" t="s">
        <v>473</v>
      </c>
      <c r="Y1316" t="s">
        <v>473</v>
      </c>
      <c r="Z1316" t="s">
        <v>473</v>
      </c>
      <c r="AA1316" t="s">
        <v>473</v>
      </c>
      <c r="AB1316" t="s">
        <v>473</v>
      </c>
      <c r="AC1316" s="10">
        <v>3</v>
      </c>
      <c r="AD1316" s="10">
        <v>11</v>
      </c>
      <c r="AE1316" t="s">
        <v>473</v>
      </c>
    </row>
    <row r="1317" spans="1:31" x14ac:dyDescent="0.25">
      <c r="A1317">
        <v>6197</v>
      </c>
      <c r="B1317">
        <v>1962</v>
      </c>
      <c r="C1317" t="s">
        <v>33</v>
      </c>
      <c r="D1317" t="s">
        <v>30</v>
      </c>
      <c r="E1317" t="str">
        <f>IF(OR(Table1[[#This Row],[marital_status]]="Married", Table1[[#This Row],[marital_status]]="Together"), "Partnered", "Single")</f>
        <v>Single</v>
      </c>
      <c r="F1317" s="7">
        <v>27238</v>
      </c>
      <c r="G1317" s="8">
        <v>1</v>
      </c>
      <c r="H1317" s="8">
        <v>1</v>
      </c>
      <c r="I1317" s="8">
        <f>Table1[[#This Row],[kids]]+Table1[[#This Row],[teens]]</f>
        <v>2</v>
      </c>
      <c r="J1317" s="9">
        <v>41384</v>
      </c>
      <c r="K1317" s="8">
        <v>39</v>
      </c>
      <c r="L1317" s="6">
        <v>37</v>
      </c>
      <c r="M1317" s="5">
        <v>0</v>
      </c>
      <c r="N1317" s="5">
        <v>17</v>
      </c>
      <c r="O1317" s="5">
        <v>0</v>
      </c>
      <c r="P1317" s="5">
        <v>0</v>
      </c>
      <c r="Q1317" s="5">
        <v>3</v>
      </c>
      <c r="R1317" s="8">
        <v>3</v>
      </c>
      <c r="S1317" s="8">
        <v>3</v>
      </c>
      <c r="T1317" s="8">
        <v>0</v>
      </c>
      <c r="U1317" s="8">
        <v>3</v>
      </c>
      <c r="V1317" s="8">
        <v>9</v>
      </c>
      <c r="W1317" t="s">
        <v>473</v>
      </c>
      <c r="X1317" t="s">
        <v>473</v>
      </c>
      <c r="Y1317" t="s">
        <v>473</v>
      </c>
      <c r="Z1317" t="s">
        <v>473</v>
      </c>
      <c r="AA1317" t="s">
        <v>473</v>
      </c>
      <c r="AB1317" t="s">
        <v>473</v>
      </c>
      <c r="AC1317" s="10">
        <v>3</v>
      </c>
      <c r="AD1317" s="10">
        <v>11</v>
      </c>
      <c r="AE1317" t="s">
        <v>473</v>
      </c>
    </row>
    <row r="1318" spans="1:31" x14ac:dyDescent="0.25">
      <c r="A1318">
        <v>4554</v>
      </c>
      <c r="B1318">
        <v>1965</v>
      </c>
      <c r="C1318" t="s">
        <v>466</v>
      </c>
      <c r="D1318" t="s">
        <v>31</v>
      </c>
      <c r="E1318" t="str">
        <f>IF(OR(Table1[[#This Row],[marital_status]]="Married", Table1[[#This Row],[marital_status]]="Together"), "Partnered", "Single")</f>
        <v>Partnered</v>
      </c>
      <c r="F1318" s="7">
        <v>47009</v>
      </c>
      <c r="G1318" s="8">
        <v>0</v>
      </c>
      <c r="H1318" s="8">
        <v>1</v>
      </c>
      <c r="I1318" s="8">
        <f>Table1[[#This Row],[kids]]+Table1[[#This Row],[teens]]</f>
        <v>1</v>
      </c>
      <c r="J1318" s="9">
        <v>41548</v>
      </c>
      <c r="K1318" s="8">
        <v>89</v>
      </c>
      <c r="L1318" s="6">
        <v>171</v>
      </c>
      <c r="M1318" s="5">
        <v>45</v>
      </c>
      <c r="N1318" s="5">
        <v>73</v>
      </c>
      <c r="O1318" s="5">
        <v>59</v>
      </c>
      <c r="P1318" s="5">
        <v>10</v>
      </c>
      <c r="Q1318" s="5">
        <v>90</v>
      </c>
      <c r="R1318" s="8">
        <v>4</v>
      </c>
      <c r="S1318" s="8">
        <v>3</v>
      </c>
      <c r="T1318" s="8">
        <v>2</v>
      </c>
      <c r="U1318" s="8">
        <v>8</v>
      </c>
      <c r="V1318" s="8">
        <v>4</v>
      </c>
      <c r="W1318" t="s">
        <v>473</v>
      </c>
      <c r="X1318" t="s">
        <v>473</v>
      </c>
      <c r="Y1318" t="s">
        <v>473</v>
      </c>
      <c r="Z1318" t="s">
        <v>473</v>
      </c>
      <c r="AA1318" t="s">
        <v>473</v>
      </c>
      <c r="AB1318" t="s">
        <v>473</v>
      </c>
      <c r="AC1318" s="10">
        <v>3</v>
      </c>
      <c r="AD1318" s="10">
        <v>11</v>
      </c>
      <c r="AE1318" t="s">
        <v>473</v>
      </c>
    </row>
    <row r="1319" spans="1:31" x14ac:dyDescent="0.25">
      <c r="A1319">
        <v>4937</v>
      </c>
      <c r="B1319">
        <v>1973</v>
      </c>
      <c r="C1319" t="s">
        <v>46</v>
      </c>
      <c r="D1319" t="s">
        <v>34</v>
      </c>
      <c r="E1319" t="str">
        <f>IF(OR(Table1[[#This Row],[marital_status]]="Married", Table1[[#This Row],[marital_status]]="Together"), "Partnered", "Single")</f>
        <v>Partnered</v>
      </c>
      <c r="F1319" s="7">
        <v>46094</v>
      </c>
      <c r="G1319" s="8">
        <v>1</v>
      </c>
      <c r="H1319" s="8">
        <v>1</v>
      </c>
      <c r="I1319" s="8">
        <f>Table1[[#This Row],[kids]]+Table1[[#This Row],[teens]]</f>
        <v>2</v>
      </c>
      <c r="J1319" s="9">
        <v>41800</v>
      </c>
      <c r="K1319" s="8">
        <v>62</v>
      </c>
      <c r="L1319" s="6">
        <v>12</v>
      </c>
      <c r="M1319" s="5">
        <v>2</v>
      </c>
      <c r="N1319" s="5">
        <v>20</v>
      </c>
      <c r="O1319" s="5">
        <v>3</v>
      </c>
      <c r="P1319" s="5">
        <v>2</v>
      </c>
      <c r="Q1319" s="5">
        <v>5</v>
      </c>
      <c r="R1319" s="8">
        <v>1</v>
      </c>
      <c r="S1319" s="8">
        <v>1</v>
      </c>
      <c r="T1319" s="8">
        <v>0</v>
      </c>
      <c r="U1319" s="8">
        <v>3</v>
      </c>
      <c r="V1319" s="8">
        <v>7</v>
      </c>
      <c r="W1319" t="s">
        <v>473</v>
      </c>
      <c r="X1319" t="s">
        <v>473</v>
      </c>
      <c r="Y1319" t="s">
        <v>473</v>
      </c>
      <c r="Z1319" t="s">
        <v>473</v>
      </c>
      <c r="AA1319" t="s">
        <v>473</v>
      </c>
      <c r="AB1319" t="s">
        <v>473</v>
      </c>
      <c r="AC1319" s="10">
        <v>3</v>
      </c>
      <c r="AD1319" s="10">
        <v>11</v>
      </c>
      <c r="AE1319" t="s">
        <v>473</v>
      </c>
    </row>
    <row r="1320" spans="1:31" x14ac:dyDescent="0.25">
      <c r="A1320">
        <v>1920</v>
      </c>
      <c r="B1320">
        <v>1972</v>
      </c>
      <c r="C1320" t="s">
        <v>466</v>
      </c>
      <c r="D1320" t="s">
        <v>34</v>
      </c>
      <c r="E1320" t="str">
        <f>IF(OR(Table1[[#This Row],[marital_status]]="Married", Table1[[#This Row],[marital_status]]="Together"), "Partnered", "Single")</f>
        <v>Partnered</v>
      </c>
      <c r="F1320" s="7">
        <v>40321</v>
      </c>
      <c r="G1320" s="8">
        <v>1</v>
      </c>
      <c r="H1320" s="8">
        <v>1</v>
      </c>
      <c r="I1320" s="8">
        <f>Table1[[#This Row],[kids]]+Table1[[#This Row],[teens]]</f>
        <v>2</v>
      </c>
      <c r="J1320" s="9">
        <v>41484</v>
      </c>
      <c r="K1320" s="8">
        <v>59</v>
      </c>
      <c r="L1320" s="6">
        <v>44</v>
      </c>
      <c r="M1320" s="5">
        <v>4</v>
      </c>
      <c r="N1320" s="5">
        <v>21</v>
      </c>
      <c r="O1320" s="5">
        <v>6</v>
      </c>
      <c r="P1320" s="5">
        <v>0</v>
      </c>
      <c r="Q1320" s="5">
        <v>27</v>
      </c>
      <c r="R1320" s="8">
        <v>2</v>
      </c>
      <c r="S1320" s="8">
        <v>3</v>
      </c>
      <c r="T1320" s="8">
        <v>0</v>
      </c>
      <c r="U1320" s="8">
        <v>3</v>
      </c>
      <c r="V1320" s="8">
        <v>7</v>
      </c>
      <c r="W1320" t="s">
        <v>473</v>
      </c>
      <c r="X1320" t="s">
        <v>473</v>
      </c>
      <c r="Y1320" t="s">
        <v>473</v>
      </c>
      <c r="Z1320" t="s">
        <v>473</v>
      </c>
      <c r="AA1320" t="s">
        <v>473</v>
      </c>
      <c r="AB1320" t="s">
        <v>473</v>
      </c>
      <c r="AC1320" s="10">
        <v>3</v>
      </c>
      <c r="AD1320" s="10">
        <v>11</v>
      </c>
      <c r="AE1320" t="s">
        <v>473</v>
      </c>
    </row>
    <row r="1321" spans="1:31" x14ac:dyDescent="0.25">
      <c r="A1321">
        <v>8749</v>
      </c>
      <c r="B1321">
        <v>1984</v>
      </c>
      <c r="C1321" t="s">
        <v>466</v>
      </c>
      <c r="D1321" t="s">
        <v>31</v>
      </c>
      <c r="E1321" t="str">
        <f>IF(OR(Table1[[#This Row],[marital_status]]="Married", Table1[[#This Row],[marital_status]]="Together"), "Partnered", "Single")</f>
        <v>Partnered</v>
      </c>
      <c r="F1321" s="7">
        <v>37235</v>
      </c>
      <c r="G1321" s="8">
        <v>1</v>
      </c>
      <c r="H1321" s="8">
        <v>0</v>
      </c>
      <c r="I1321" s="8">
        <f>Table1[[#This Row],[kids]]+Table1[[#This Row],[teens]]</f>
        <v>1</v>
      </c>
      <c r="J1321" s="9">
        <v>41671</v>
      </c>
      <c r="K1321" s="8">
        <v>68</v>
      </c>
      <c r="L1321" s="6">
        <v>20</v>
      </c>
      <c r="M1321" s="5">
        <v>2</v>
      </c>
      <c r="N1321" s="5">
        <v>9</v>
      </c>
      <c r="O1321" s="5">
        <v>4</v>
      </c>
      <c r="P1321" s="5">
        <v>6</v>
      </c>
      <c r="Q1321" s="5">
        <v>20</v>
      </c>
      <c r="R1321" s="8">
        <v>1</v>
      </c>
      <c r="S1321" s="8">
        <v>1</v>
      </c>
      <c r="T1321" s="8">
        <v>1</v>
      </c>
      <c r="U1321" s="8">
        <v>2</v>
      </c>
      <c r="V1321" s="8">
        <v>4</v>
      </c>
      <c r="W1321" t="s">
        <v>473</v>
      </c>
      <c r="X1321" t="s">
        <v>473</v>
      </c>
      <c r="Y1321" t="s">
        <v>473</v>
      </c>
      <c r="Z1321" t="s">
        <v>473</v>
      </c>
      <c r="AA1321" t="s">
        <v>473</v>
      </c>
      <c r="AB1321" t="s">
        <v>473</v>
      </c>
      <c r="AC1321" s="10">
        <v>3</v>
      </c>
      <c r="AD1321" s="10">
        <v>11</v>
      </c>
      <c r="AE1321" t="s">
        <v>473</v>
      </c>
    </row>
    <row r="1322" spans="1:31" x14ac:dyDescent="0.25">
      <c r="A1322">
        <v>1650</v>
      </c>
      <c r="B1322">
        <v>1960</v>
      </c>
      <c r="C1322" t="s">
        <v>36</v>
      </c>
      <c r="D1322" t="s">
        <v>34</v>
      </c>
      <c r="E1322" t="str">
        <f>IF(OR(Table1[[#This Row],[marital_status]]="Married", Table1[[#This Row],[marital_status]]="Together"), "Partnered", "Single")</f>
        <v>Partnered</v>
      </c>
      <c r="F1322" s="7">
        <v>81843</v>
      </c>
      <c r="G1322" s="8">
        <v>0</v>
      </c>
      <c r="H1322" s="8">
        <v>0</v>
      </c>
      <c r="I1322" s="8">
        <f>Table1[[#This Row],[kids]]+Table1[[#This Row],[teens]]</f>
        <v>0</v>
      </c>
      <c r="J1322" s="9">
        <v>41386</v>
      </c>
      <c r="K1322" s="8">
        <v>13</v>
      </c>
      <c r="L1322" s="6">
        <v>779</v>
      </c>
      <c r="M1322" s="5">
        <v>86</v>
      </c>
      <c r="N1322" s="5">
        <v>537</v>
      </c>
      <c r="O1322" s="5">
        <v>34</v>
      </c>
      <c r="P1322" s="5">
        <v>69</v>
      </c>
      <c r="Q1322" s="5">
        <v>138</v>
      </c>
      <c r="R1322" s="8">
        <v>1</v>
      </c>
      <c r="S1322" s="8">
        <v>5</v>
      </c>
      <c r="T1322" s="8">
        <v>9</v>
      </c>
      <c r="U1322" s="8">
        <v>12</v>
      </c>
      <c r="V1322" s="8">
        <v>3</v>
      </c>
      <c r="W1322" t="s">
        <v>473</v>
      </c>
      <c r="X1322" t="s">
        <v>473</v>
      </c>
      <c r="Y1322" t="s">
        <v>473</v>
      </c>
      <c r="Z1322" t="s">
        <v>473</v>
      </c>
      <c r="AA1322" t="s">
        <v>473</v>
      </c>
      <c r="AB1322" t="s">
        <v>473</v>
      </c>
      <c r="AC1322" s="10">
        <v>3</v>
      </c>
      <c r="AD1322" s="10">
        <v>11</v>
      </c>
      <c r="AE1322" t="s">
        <v>473</v>
      </c>
    </row>
    <row r="1323" spans="1:31" x14ac:dyDescent="0.25">
      <c r="A1323">
        <v>10377</v>
      </c>
      <c r="B1323">
        <v>1958</v>
      </c>
      <c r="C1323" t="s">
        <v>36</v>
      </c>
      <c r="D1323" t="s">
        <v>31</v>
      </c>
      <c r="E1323" t="str">
        <f>IF(OR(Table1[[#This Row],[marital_status]]="Married", Table1[[#This Row],[marital_status]]="Together"), "Partnered", "Single")</f>
        <v>Partnered</v>
      </c>
      <c r="F1323" s="7">
        <v>46692</v>
      </c>
      <c r="G1323" s="8">
        <v>0</v>
      </c>
      <c r="H1323" s="8">
        <v>1</v>
      </c>
      <c r="I1323" s="8">
        <f>Table1[[#This Row],[kids]]+Table1[[#This Row],[teens]]</f>
        <v>1</v>
      </c>
      <c r="J1323" s="9">
        <v>41431</v>
      </c>
      <c r="K1323" s="8">
        <v>37</v>
      </c>
      <c r="L1323" s="6">
        <v>170</v>
      </c>
      <c r="M1323" s="5">
        <v>6</v>
      </c>
      <c r="N1323" s="5">
        <v>97</v>
      </c>
      <c r="O1323" s="5">
        <v>24</v>
      </c>
      <c r="P1323" s="5">
        <v>12</v>
      </c>
      <c r="Q1323" s="5">
        <v>88</v>
      </c>
      <c r="R1323" s="8">
        <v>3</v>
      </c>
      <c r="S1323" s="8">
        <v>6</v>
      </c>
      <c r="T1323" s="8">
        <v>1</v>
      </c>
      <c r="U1323" s="8">
        <v>5</v>
      </c>
      <c r="V1323" s="8">
        <v>6</v>
      </c>
      <c r="W1323" t="s">
        <v>473</v>
      </c>
      <c r="X1323" t="s">
        <v>473</v>
      </c>
      <c r="Y1323" t="s">
        <v>473</v>
      </c>
      <c r="Z1323" t="s">
        <v>473</v>
      </c>
      <c r="AA1323" t="s">
        <v>473</v>
      </c>
      <c r="AB1323" t="s">
        <v>473</v>
      </c>
      <c r="AC1323" s="10">
        <v>3</v>
      </c>
      <c r="AD1323" s="10">
        <v>11</v>
      </c>
      <c r="AE1323" t="s">
        <v>473</v>
      </c>
    </row>
    <row r="1324" spans="1:31" x14ac:dyDescent="0.25">
      <c r="A1324">
        <v>9206</v>
      </c>
      <c r="B1324">
        <v>1968</v>
      </c>
      <c r="C1324" t="s">
        <v>466</v>
      </c>
      <c r="D1324" t="s">
        <v>31</v>
      </c>
      <c r="E1324" t="str">
        <f>IF(OR(Table1[[#This Row],[marital_status]]="Married", Table1[[#This Row],[marital_status]]="Together"), "Partnered", "Single")</f>
        <v>Partnered</v>
      </c>
      <c r="F1324" s="7">
        <v>77382</v>
      </c>
      <c r="G1324" s="8">
        <v>0</v>
      </c>
      <c r="H1324" s="8">
        <v>1</v>
      </c>
      <c r="I1324" s="8">
        <f>Table1[[#This Row],[kids]]+Table1[[#This Row],[teens]]</f>
        <v>1</v>
      </c>
      <c r="J1324" s="9">
        <v>41646</v>
      </c>
      <c r="K1324" s="8">
        <v>36</v>
      </c>
      <c r="L1324" s="6">
        <v>491</v>
      </c>
      <c r="M1324" s="5">
        <v>48</v>
      </c>
      <c r="N1324" s="5">
        <v>231</v>
      </c>
      <c r="O1324" s="5">
        <v>112</v>
      </c>
      <c r="P1324" s="5">
        <v>105</v>
      </c>
      <c r="Q1324" s="5">
        <v>134</v>
      </c>
      <c r="R1324" s="8">
        <v>2</v>
      </c>
      <c r="S1324" s="8">
        <v>5</v>
      </c>
      <c r="T1324" s="8">
        <v>7</v>
      </c>
      <c r="U1324" s="8">
        <v>12</v>
      </c>
      <c r="V1324" s="8">
        <v>1</v>
      </c>
      <c r="W1324" t="s">
        <v>473</v>
      </c>
      <c r="X1324" t="s">
        <v>473</v>
      </c>
      <c r="Y1324" t="s">
        <v>474</v>
      </c>
      <c r="Z1324" t="s">
        <v>473</v>
      </c>
      <c r="AA1324" t="s">
        <v>473</v>
      </c>
      <c r="AB1324" t="s">
        <v>473</v>
      </c>
      <c r="AC1324" s="10">
        <v>3</v>
      </c>
      <c r="AD1324" s="10">
        <v>11</v>
      </c>
      <c r="AE1324" t="s">
        <v>473</v>
      </c>
    </row>
    <row r="1325" spans="1:31" x14ac:dyDescent="0.25">
      <c r="A1325">
        <v>10971</v>
      </c>
      <c r="B1325">
        <v>1977</v>
      </c>
      <c r="C1325" t="s">
        <v>466</v>
      </c>
      <c r="D1325" t="s">
        <v>30</v>
      </c>
      <c r="E1325" t="str">
        <f>IF(OR(Table1[[#This Row],[marital_status]]="Married", Table1[[#This Row],[marital_status]]="Together"), "Partnered", "Single")</f>
        <v>Single</v>
      </c>
      <c r="F1325" s="7">
        <v>37774</v>
      </c>
      <c r="G1325" s="8">
        <v>2</v>
      </c>
      <c r="H1325" s="8">
        <v>0</v>
      </c>
      <c r="I1325" s="8">
        <f>Table1[[#This Row],[kids]]+Table1[[#This Row],[teens]]</f>
        <v>2</v>
      </c>
      <c r="J1325" s="9">
        <v>41155</v>
      </c>
      <c r="K1325" s="8">
        <v>28</v>
      </c>
      <c r="L1325" s="6">
        <v>173</v>
      </c>
      <c r="M1325" s="5">
        <v>8</v>
      </c>
      <c r="N1325" s="5">
        <v>107</v>
      </c>
      <c r="O1325" s="5">
        <v>7</v>
      </c>
      <c r="P1325" s="5">
        <v>2</v>
      </c>
      <c r="Q1325" s="5">
        <v>176</v>
      </c>
      <c r="R1325" s="8">
        <v>4</v>
      </c>
      <c r="S1325" s="8">
        <v>7</v>
      </c>
      <c r="T1325" s="8">
        <v>2</v>
      </c>
      <c r="U1325" s="8">
        <v>3</v>
      </c>
      <c r="V1325" s="8">
        <v>9</v>
      </c>
      <c r="W1325" t="s">
        <v>474</v>
      </c>
      <c r="X1325" t="s">
        <v>473</v>
      </c>
      <c r="Y1325" t="s">
        <v>473</v>
      </c>
      <c r="Z1325" t="s">
        <v>473</v>
      </c>
      <c r="AA1325" t="s">
        <v>473</v>
      </c>
      <c r="AB1325" t="s">
        <v>474</v>
      </c>
      <c r="AC1325" s="10">
        <v>3</v>
      </c>
      <c r="AD1325" s="10">
        <v>11</v>
      </c>
      <c r="AE1325" t="s">
        <v>474</v>
      </c>
    </row>
    <row r="1326" spans="1:31" x14ac:dyDescent="0.25">
      <c r="A1326">
        <v>6398</v>
      </c>
      <c r="B1326">
        <v>1974</v>
      </c>
      <c r="C1326" t="s">
        <v>41</v>
      </c>
      <c r="D1326" t="s">
        <v>34</v>
      </c>
      <c r="E1326" t="str">
        <f>IF(OR(Table1[[#This Row],[marital_status]]="Married", Table1[[#This Row],[marital_status]]="Together"), "Partnered", "Single")</f>
        <v>Partnered</v>
      </c>
      <c r="F1326" s="7">
        <v>18393</v>
      </c>
      <c r="G1326" s="8">
        <v>1</v>
      </c>
      <c r="H1326" s="8">
        <v>0</v>
      </c>
      <c r="I1326" s="8">
        <f>Table1[[#This Row],[kids]]+Table1[[#This Row],[teens]]</f>
        <v>1</v>
      </c>
      <c r="J1326" s="9">
        <v>41727</v>
      </c>
      <c r="K1326" s="8">
        <v>2</v>
      </c>
      <c r="L1326" s="6">
        <v>7</v>
      </c>
      <c r="M1326" s="5">
        <v>10</v>
      </c>
      <c r="N1326" s="5">
        <v>13</v>
      </c>
      <c r="O1326" s="5">
        <v>16</v>
      </c>
      <c r="P1326" s="5">
        <v>0</v>
      </c>
      <c r="Q1326" s="5">
        <v>4</v>
      </c>
      <c r="R1326" s="8">
        <v>2</v>
      </c>
      <c r="S1326" s="8">
        <v>3</v>
      </c>
      <c r="T1326" s="8">
        <v>0</v>
      </c>
      <c r="U1326" s="8">
        <v>3</v>
      </c>
      <c r="V1326" s="8">
        <v>8</v>
      </c>
      <c r="W1326" t="s">
        <v>473</v>
      </c>
      <c r="X1326" t="s">
        <v>473</v>
      </c>
      <c r="Y1326" t="s">
        <v>473</v>
      </c>
      <c r="Z1326" t="s">
        <v>473</v>
      </c>
      <c r="AA1326" t="s">
        <v>473</v>
      </c>
      <c r="AB1326" t="s">
        <v>473</v>
      </c>
      <c r="AC1326" s="10">
        <v>3</v>
      </c>
      <c r="AD1326" s="10">
        <v>11</v>
      </c>
      <c r="AE1326" t="s">
        <v>473</v>
      </c>
    </row>
    <row r="1327" spans="1:31" x14ac:dyDescent="0.25">
      <c r="A1327">
        <v>9212</v>
      </c>
      <c r="B1327">
        <v>1962</v>
      </c>
      <c r="C1327" t="s">
        <v>36</v>
      </c>
      <c r="D1327" t="s">
        <v>34</v>
      </c>
      <c r="E1327" t="str">
        <f>IF(OR(Table1[[#This Row],[marital_status]]="Married", Table1[[#This Row],[marital_status]]="Together"), "Partnered", "Single")</f>
        <v>Partnered</v>
      </c>
      <c r="F1327" s="7">
        <v>72828</v>
      </c>
      <c r="G1327" s="8">
        <v>0</v>
      </c>
      <c r="H1327" s="8">
        <v>1</v>
      </c>
      <c r="I1327" s="8">
        <f>Table1[[#This Row],[kids]]+Table1[[#This Row],[teens]]</f>
        <v>1</v>
      </c>
      <c r="J1327" s="9">
        <v>41319</v>
      </c>
      <c r="K1327" s="8">
        <v>17</v>
      </c>
      <c r="L1327" s="6">
        <v>1205</v>
      </c>
      <c r="M1327" s="5">
        <v>0</v>
      </c>
      <c r="N1327" s="5">
        <v>235</v>
      </c>
      <c r="O1327" s="5">
        <v>19</v>
      </c>
      <c r="P1327" s="5">
        <v>14</v>
      </c>
      <c r="Q1327" s="5">
        <v>205</v>
      </c>
      <c r="R1327" s="8">
        <v>6</v>
      </c>
      <c r="S1327" s="8">
        <v>6</v>
      </c>
      <c r="T1327" s="8">
        <v>3</v>
      </c>
      <c r="U1327" s="8">
        <v>13</v>
      </c>
      <c r="V1327" s="8">
        <v>7</v>
      </c>
      <c r="W1327" t="s">
        <v>473</v>
      </c>
      <c r="X1327" t="s">
        <v>473</v>
      </c>
      <c r="Y1327" t="s">
        <v>473</v>
      </c>
      <c r="Z1327" t="s">
        <v>473</v>
      </c>
      <c r="AA1327" t="s">
        <v>473</v>
      </c>
      <c r="AB1327" t="s">
        <v>473</v>
      </c>
      <c r="AC1327" s="10">
        <v>3</v>
      </c>
      <c r="AD1327" s="10">
        <v>11</v>
      </c>
      <c r="AE1327" t="s">
        <v>473</v>
      </c>
    </row>
    <row r="1328" spans="1:31" x14ac:dyDescent="0.25">
      <c r="A1328">
        <v>7937</v>
      </c>
      <c r="B1328">
        <v>1982</v>
      </c>
      <c r="C1328" t="s">
        <v>466</v>
      </c>
      <c r="D1328" t="s">
        <v>34</v>
      </c>
      <c r="E1328" t="str">
        <f>IF(OR(Table1[[#This Row],[marital_status]]="Married", Table1[[#This Row],[marital_status]]="Together"), "Partnered", "Single")</f>
        <v>Partnered</v>
      </c>
      <c r="F1328" s="7">
        <v>24711</v>
      </c>
      <c r="G1328" s="8">
        <v>0</v>
      </c>
      <c r="H1328" s="8">
        <v>0</v>
      </c>
      <c r="I1328" s="8">
        <f>Table1[[#This Row],[kids]]+Table1[[#This Row],[teens]]</f>
        <v>0</v>
      </c>
      <c r="J1328" s="9">
        <v>41747</v>
      </c>
      <c r="K1328" s="8">
        <v>86</v>
      </c>
      <c r="L1328" s="6">
        <v>10</v>
      </c>
      <c r="M1328" s="5">
        <v>7</v>
      </c>
      <c r="N1328" s="5">
        <v>25</v>
      </c>
      <c r="O1328" s="5">
        <v>6</v>
      </c>
      <c r="P1328" s="5">
        <v>3</v>
      </c>
      <c r="Q1328" s="5">
        <v>7</v>
      </c>
      <c r="R1328" s="8">
        <v>1</v>
      </c>
      <c r="S1328" s="8">
        <v>3</v>
      </c>
      <c r="T1328" s="8">
        <v>0</v>
      </c>
      <c r="U1328" s="8">
        <v>3</v>
      </c>
      <c r="V1328" s="8">
        <v>7</v>
      </c>
      <c r="W1328" t="s">
        <v>473</v>
      </c>
      <c r="X1328" t="s">
        <v>473</v>
      </c>
      <c r="Y1328" t="s">
        <v>473</v>
      </c>
      <c r="Z1328" t="s">
        <v>473</v>
      </c>
      <c r="AA1328" t="s">
        <v>473</v>
      </c>
      <c r="AB1328" t="s">
        <v>473</v>
      </c>
      <c r="AC1328" s="10">
        <v>3</v>
      </c>
      <c r="AD1328" s="10">
        <v>11</v>
      </c>
      <c r="AE1328" t="s">
        <v>473</v>
      </c>
    </row>
    <row r="1329" spans="1:31" x14ac:dyDescent="0.25">
      <c r="A1329">
        <v>839</v>
      </c>
      <c r="B1329">
        <v>1975</v>
      </c>
      <c r="C1329" t="s">
        <v>33</v>
      </c>
      <c r="D1329" t="s">
        <v>34</v>
      </c>
      <c r="E1329" t="str">
        <f>IF(OR(Table1[[#This Row],[marital_status]]="Married", Table1[[#This Row],[marital_status]]="Together"), "Partnered", "Single")</f>
        <v>Partnered</v>
      </c>
      <c r="F1329" s="7">
        <v>45503</v>
      </c>
      <c r="G1329" s="8">
        <v>1</v>
      </c>
      <c r="H1329" s="8">
        <v>0</v>
      </c>
      <c r="I1329" s="8">
        <f>Table1[[#This Row],[kids]]+Table1[[#This Row],[teens]]</f>
        <v>1</v>
      </c>
      <c r="J1329" s="9">
        <v>41542</v>
      </c>
      <c r="K1329" s="8">
        <v>54</v>
      </c>
      <c r="L1329" s="6">
        <v>97</v>
      </c>
      <c r="M1329" s="5">
        <v>4</v>
      </c>
      <c r="N1329" s="5">
        <v>44</v>
      </c>
      <c r="O1329" s="5">
        <v>6</v>
      </c>
      <c r="P1329" s="5">
        <v>1</v>
      </c>
      <c r="Q1329" s="5">
        <v>18</v>
      </c>
      <c r="R1329" s="8">
        <v>1</v>
      </c>
      <c r="S1329" s="8">
        <v>3</v>
      </c>
      <c r="T1329" s="8">
        <v>1</v>
      </c>
      <c r="U1329" s="8">
        <v>4</v>
      </c>
      <c r="V1329" s="8">
        <v>5</v>
      </c>
      <c r="W1329" t="s">
        <v>473</v>
      </c>
      <c r="X1329" t="s">
        <v>473</v>
      </c>
      <c r="Y1329" t="s">
        <v>473</v>
      </c>
      <c r="Z1329" t="s">
        <v>473</v>
      </c>
      <c r="AA1329" t="s">
        <v>473</v>
      </c>
      <c r="AB1329" t="s">
        <v>473</v>
      </c>
      <c r="AC1329" s="10">
        <v>3</v>
      </c>
      <c r="AD1329" s="10">
        <v>11</v>
      </c>
      <c r="AE1329" t="s">
        <v>473</v>
      </c>
    </row>
    <row r="1330" spans="1:31" x14ac:dyDescent="0.25">
      <c r="A1330">
        <v>4246</v>
      </c>
      <c r="B1330">
        <v>1982</v>
      </c>
      <c r="C1330" t="s">
        <v>36</v>
      </c>
      <c r="D1330" t="s">
        <v>30</v>
      </c>
      <c r="E1330" t="str">
        <f>IF(OR(Table1[[#This Row],[marital_status]]="Married", Table1[[#This Row],[marital_status]]="Together"), "Partnered", "Single")</f>
        <v>Single</v>
      </c>
      <c r="F1330" s="7">
        <v>6560</v>
      </c>
      <c r="G1330" s="8">
        <v>0</v>
      </c>
      <c r="H1330" s="8">
        <v>0</v>
      </c>
      <c r="I1330" s="8">
        <f>Table1[[#This Row],[kids]]+Table1[[#This Row],[teens]]</f>
        <v>0</v>
      </c>
      <c r="J1330" s="9">
        <v>41620</v>
      </c>
      <c r="K1330" s="8">
        <v>2</v>
      </c>
      <c r="L1330" s="6">
        <v>67</v>
      </c>
      <c r="M1330" s="5">
        <v>11</v>
      </c>
      <c r="N1330" s="5">
        <v>26</v>
      </c>
      <c r="O1330" s="5">
        <v>4</v>
      </c>
      <c r="P1330" s="5">
        <v>3</v>
      </c>
      <c r="Q1330" s="5">
        <v>262</v>
      </c>
      <c r="R1330" s="8">
        <v>0</v>
      </c>
      <c r="S1330" s="8">
        <v>1</v>
      </c>
      <c r="T1330" s="8">
        <v>0</v>
      </c>
      <c r="U1330" s="8">
        <v>1</v>
      </c>
      <c r="V1330" s="8">
        <v>17</v>
      </c>
      <c r="W1330" t="s">
        <v>473</v>
      </c>
      <c r="X1330" t="s">
        <v>473</v>
      </c>
      <c r="Y1330" t="s">
        <v>473</v>
      </c>
      <c r="Z1330" t="s">
        <v>473</v>
      </c>
      <c r="AA1330" t="s">
        <v>473</v>
      </c>
      <c r="AB1330" t="s">
        <v>473</v>
      </c>
      <c r="AC1330" s="10">
        <v>3</v>
      </c>
      <c r="AD1330" s="10">
        <v>11</v>
      </c>
      <c r="AE1330" t="s">
        <v>473</v>
      </c>
    </row>
    <row r="1331" spans="1:31" x14ac:dyDescent="0.25">
      <c r="A1331">
        <v>158</v>
      </c>
      <c r="B1331">
        <v>1945</v>
      </c>
      <c r="C1331" t="s">
        <v>33</v>
      </c>
      <c r="D1331" t="s">
        <v>31</v>
      </c>
      <c r="E1331" t="str">
        <f>IF(OR(Table1[[#This Row],[marital_status]]="Married", Table1[[#This Row],[marital_status]]="Together"), "Partnered", "Single")</f>
        <v>Partnered</v>
      </c>
      <c r="F1331" s="7">
        <v>71604</v>
      </c>
      <c r="G1331" s="8">
        <v>0</v>
      </c>
      <c r="H1331" s="8">
        <v>0</v>
      </c>
      <c r="I1331" s="8">
        <f>Table1[[#This Row],[kids]]+Table1[[#This Row],[teens]]</f>
        <v>0</v>
      </c>
      <c r="J1331" s="9">
        <v>41595</v>
      </c>
      <c r="K1331" s="8">
        <v>3</v>
      </c>
      <c r="L1331" s="6">
        <v>345</v>
      </c>
      <c r="M1331" s="5">
        <v>53</v>
      </c>
      <c r="N1331" s="5">
        <v>528</v>
      </c>
      <c r="O1331" s="5">
        <v>98</v>
      </c>
      <c r="P1331" s="5">
        <v>75</v>
      </c>
      <c r="Q1331" s="5">
        <v>97</v>
      </c>
      <c r="R1331" s="8">
        <v>1</v>
      </c>
      <c r="S1331" s="8">
        <v>8</v>
      </c>
      <c r="T1331" s="8">
        <v>3</v>
      </c>
      <c r="U1331" s="8">
        <v>5</v>
      </c>
      <c r="V1331" s="8">
        <v>4</v>
      </c>
      <c r="W1331" t="s">
        <v>474</v>
      </c>
      <c r="X1331" t="s">
        <v>473</v>
      </c>
      <c r="Y1331" t="s">
        <v>473</v>
      </c>
      <c r="Z1331" t="s">
        <v>473</v>
      </c>
      <c r="AA1331" t="s">
        <v>473</v>
      </c>
      <c r="AB1331" t="s">
        <v>473</v>
      </c>
      <c r="AC1331" s="10">
        <v>3</v>
      </c>
      <c r="AD1331" s="10">
        <v>11</v>
      </c>
      <c r="AE1331" t="s">
        <v>474</v>
      </c>
    </row>
    <row r="1332" spans="1:31" x14ac:dyDescent="0.25">
      <c r="A1332">
        <v>4832</v>
      </c>
      <c r="B1332">
        <v>1979</v>
      </c>
      <c r="C1332" t="s">
        <v>466</v>
      </c>
      <c r="D1332" t="s">
        <v>34</v>
      </c>
      <c r="E1332" t="str">
        <f>IF(OR(Table1[[#This Row],[marital_status]]="Married", Table1[[#This Row],[marital_status]]="Together"), "Partnered", "Single")</f>
        <v>Partnered</v>
      </c>
      <c r="F1332" s="7">
        <v>27244</v>
      </c>
      <c r="G1332" s="8">
        <v>1</v>
      </c>
      <c r="H1332" s="8">
        <v>0</v>
      </c>
      <c r="I1332" s="8">
        <f>Table1[[#This Row],[kids]]+Table1[[#This Row],[teens]]</f>
        <v>1</v>
      </c>
      <c r="J1332" s="9">
        <v>41705</v>
      </c>
      <c r="K1332" s="8">
        <v>84</v>
      </c>
      <c r="L1332" s="6">
        <v>6</v>
      </c>
      <c r="M1332" s="5">
        <v>5</v>
      </c>
      <c r="N1332" s="5">
        <v>17</v>
      </c>
      <c r="O1332" s="5">
        <v>3</v>
      </c>
      <c r="P1332" s="5">
        <v>24</v>
      </c>
      <c r="Q1332" s="5">
        <v>46</v>
      </c>
      <c r="R1332" s="8">
        <v>2</v>
      </c>
      <c r="S1332" s="8">
        <v>2</v>
      </c>
      <c r="T1332" s="8">
        <v>2</v>
      </c>
      <c r="U1332" s="8">
        <v>2</v>
      </c>
      <c r="V1332" s="8">
        <v>7</v>
      </c>
      <c r="W1332" t="s">
        <v>473</v>
      </c>
      <c r="X1332" t="s">
        <v>473</v>
      </c>
      <c r="Y1332" t="s">
        <v>473</v>
      </c>
      <c r="Z1332" t="s">
        <v>473</v>
      </c>
      <c r="AA1332" t="s">
        <v>473</v>
      </c>
      <c r="AB1332" t="s">
        <v>473</v>
      </c>
      <c r="AC1332" s="10">
        <v>3</v>
      </c>
      <c r="AD1332" s="10">
        <v>11</v>
      </c>
      <c r="AE1332" t="s">
        <v>473</v>
      </c>
    </row>
    <row r="1333" spans="1:31" x14ac:dyDescent="0.25">
      <c r="A1333">
        <v>5621</v>
      </c>
      <c r="B1333">
        <v>1969</v>
      </c>
      <c r="C1333" t="s">
        <v>466</v>
      </c>
      <c r="D1333" t="s">
        <v>34</v>
      </c>
      <c r="E1333" t="str">
        <f>IF(OR(Table1[[#This Row],[marital_status]]="Married", Table1[[#This Row],[marital_status]]="Together"), "Partnered", "Single")</f>
        <v>Partnered</v>
      </c>
      <c r="F1333" s="7">
        <v>48752</v>
      </c>
      <c r="G1333" s="8">
        <v>1</v>
      </c>
      <c r="H1333" s="8">
        <v>1</v>
      </c>
      <c r="I1333" s="8">
        <f>Table1[[#This Row],[kids]]+Table1[[#This Row],[teens]]</f>
        <v>2</v>
      </c>
      <c r="J1333" s="9">
        <v>41255</v>
      </c>
      <c r="K1333" s="8">
        <v>8</v>
      </c>
      <c r="L1333" s="6">
        <v>73</v>
      </c>
      <c r="M1333" s="5">
        <v>57</v>
      </c>
      <c r="N1333" s="5">
        <v>100</v>
      </c>
      <c r="O1333" s="5">
        <v>71</v>
      </c>
      <c r="P1333" s="5">
        <v>15</v>
      </c>
      <c r="Q1333" s="5">
        <v>0</v>
      </c>
      <c r="R1333" s="8">
        <v>5</v>
      </c>
      <c r="S1333" s="8">
        <v>6</v>
      </c>
      <c r="T1333" s="8">
        <v>1</v>
      </c>
      <c r="U1333" s="8">
        <v>5</v>
      </c>
      <c r="V1333" s="8">
        <v>9</v>
      </c>
      <c r="W1333" t="s">
        <v>473</v>
      </c>
      <c r="X1333" t="s">
        <v>473</v>
      </c>
      <c r="Y1333" t="s">
        <v>473</v>
      </c>
      <c r="Z1333" t="s">
        <v>473</v>
      </c>
      <c r="AA1333" t="s">
        <v>473</v>
      </c>
      <c r="AB1333" t="s">
        <v>473</v>
      </c>
      <c r="AC1333" s="10">
        <v>3</v>
      </c>
      <c r="AD1333" s="10">
        <v>11</v>
      </c>
      <c r="AE1333" t="s">
        <v>474</v>
      </c>
    </row>
    <row r="1334" spans="1:31" x14ac:dyDescent="0.25">
      <c r="A1334">
        <v>1945</v>
      </c>
      <c r="B1334">
        <v>1962</v>
      </c>
      <c r="C1334" t="s">
        <v>466</v>
      </c>
      <c r="D1334" t="s">
        <v>34</v>
      </c>
      <c r="E1334" t="str">
        <f>IF(OR(Table1[[#This Row],[marital_status]]="Married", Table1[[#This Row],[marital_status]]="Together"), "Partnered", "Single")</f>
        <v>Partnered</v>
      </c>
      <c r="F1334" s="7">
        <v>71434</v>
      </c>
      <c r="G1334" s="8">
        <v>0</v>
      </c>
      <c r="H1334" s="8">
        <v>1</v>
      </c>
      <c r="I1334" s="8">
        <f>Table1[[#This Row],[kids]]+Table1[[#This Row],[teens]]</f>
        <v>1</v>
      </c>
      <c r="J1334" s="9">
        <v>41535</v>
      </c>
      <c r="K1334" s="8">
        <v>4</v>
      </c>
      <c r="L1334" s="6">
        <v>711</v>
      </c>
      <c r="M1334" s="5">
        <v>36</v>
      </c>
      <c r="N1334" s="5">
        <v>217</v>
      </c>
      <c r="O1334" s="5">
        <v>172</v>
      </c>
      <c r="P1334" s="5">
        <v>96</v>
      </c>
      <c r="Q1334" s="5">
        <v>168</v>
      </c>
      <c r="R1334" s="8">
        <v>3</v>
      </c>
      <c r="S1334" s="8">
        <v>7</v>
      </c>
      <c r="T1334" s="8">
        <v>4</v>
      </c>
      <c r="U1334" s="8">
        <v>7</v>
      </c>
      <c r="V1334" s="8">
        <v>4</v>
      </c>
      <c r="W1334" t="s">
        <v>473</v>
      </c>
      <c r="X1334" t="s">
        <v>474</v>
      </c>
      <c r="Y1334" t="s">
        <v>473</v>
      </c>
      <c r="Z1334" t="s">
        <v>474</v>
      </c>
      <c r="AA1334" t="s">
        <v>473</v>
      </c>
      <c r="AB1334" t="s">
        <v>473</v>
      </c>
      <c r="AC1334" s="10">
        <v>3</v>
      </c>
      <c r="AD1334" s="10">
        <v>11</v>
      </c>
      <c r="AE1334" t="s">
        <v>473</v>
      </c>
    </row>
    <row r="1335" spans="1:31" x14ac:dyDescent="0.25">
      <c r="A1335">
        <v>5147</v>
      </c>
      <c r="B1335">
        <v>1948</v>
      </c>
      <c r="C1335" t="s">
        <v>466</v>
      </c>
      <c r="D1335" t="s">
        <v>30</v>
      </c>
      <c r="E1335" t="str">
        <f>IF(OR(Table1[[#This Row],[marital_status]]="Married", Table1[[#This Row],[marital_status]]="Together"), "Partnered", "Single")</f>
        <v>Single</v>
      </c>
      <c r="F1335" s="7">
        <v>90842</v>
      </c>
      <c r="G1335" s="8">
        <v>0</v>
      </c>
      <c r="H1335" s="8">
        <v>0</v>
      </c>
      <c r="I1335" s="8">
        <f>Table1[[#This Row],[kids]]+Table1[[#This Row],[teens]]</f>
        <v>0</v>
      </c>
      <c r="J1335" s="9">
        <v>41484</v>
      </c>
      <c r="K1335" s="8">
        <v>57</v>
      </c>
      <c r="L1335" s="6">
        <v>774</v>
      </c>
      <c r="M1335" s="5">
        <v>70</v>
      </c>
      <c r="N1335" s="5">
        <v>118</v>
      </c>
      <c r="O1335" s="5">
        <v>182</v>
      </c>
      <c r="P1335" s="5">
        <v>187</v>
      </c>
      <c r="Q1335" s="5">
        <v>93</v>
      </c>
      <c r="R1335" s="8">
        <v>1</v>
      </c>
      <c r="S1335" s="8">
        <v>4</v>
      </c>
      <c r="T1335" s="8">
        <v>9</v>
      </c>
      <c r="U1335" s="8">
        <v>13</v>
      </c>
      <c r="V1335" s="8">
        <v>1</v>
      </c>
      <c r="W1335" t="s">
        <v>473</v>
      </c>
      <c r="X1335" t="s">
        <v>473</v>
      </c>
      <c r="Y1335" t="s">
        <v>473</v>
      </c>
      <c r="Z1335" t="s">
        <v>473</v>
      </c>
      <c r="AA1335" t="s">
        <v>473</v>
      </c>
      <c r="AB1335" t="s">
        <v>473</v>
      </c>
      <c r="AC1335" s="10">
        <v>3</v>
      </c>
      <c r="AD1335" s="10">
        <v>11</v>
      </c>
      <c r="AE1335" t="s">
        <v>473</v>
      </c>
    </row>
    <row r="1336" spans="1:31" x14ac:dyDescent="0.25">
      <c r="A1336">
        <v>2535</v>
      </c>
      <c r="B1336">
        <v>1978</v>
      </c>
      <c r="C1336" t="s">
        <v>36</v>
      </c>
      <c r="D1336" t="s">
        <v>34</v>
      </c>
      <c r="E1336" t="str">
        <f>IF(OR(Table1[[#This Row],[marital_status]]="Married", Table1[[#This Row],[marital_status]]="Together"), "Partnered", "Single")</f>
        <v>Partnered</v>
      </c>
      <c r="F1336" s="7">
        <v>88097</v>
      </c>
      <c r="G1336" s="8">
        <v>1</v>
      </c>
      <c r="H1336" s="8">
        <v>0</v>
      </c>
      <c r="I1336" s="8">
        <f>Table1[[#This Row],[kids]]+Table1[[#This Row],[teens]]</f>
        <v>1</v>
      </c>
      <c r="J1336" s="9">
        <v>41139</v>
      </c>
      <c r="K1336" s="8">
        <v>24</v>
      </c>
      <c r="L1336" s="6">
        <v>163</v>
      </c>
      <c r="M1336" s="5">
        <v>0</v>
      </c>
      <c r="N1336" s="5">
        <v>480</v>
      </c>
      <c r="O1336" s="5">
        <v>0</v>
      </c>
      <c r="P1336" s="5">
        <v>126</v>
      </c>
      <c r="Q1336" s="5">
        <v>75</v>
      </c>
      <c r="R1336" s="8">
        <v>1</v>
      </c>
      <c r="S1336" s="8">
        <v>6</v>
      </c>
      <c r="T1336" s="8">
        <v>5</v>
      </c>
      <c r="U1336" s="8">
        <v>8</v>
      </c>
      <c r="V1336" s="8">
        <v>9</v>
      </c>
      <c r="W1336" t="s">
        <v>473</v>
      </c>
      <c r="X1336" t="s">
        <v>474</v>
      </c>
      <c r="Y1336" t="s">
        <v>474</v>
      </c>
      <c r="Z1336" t="s">
        <v>474</v>
      </c>
      <c r="AA1336" t="s">
        <v>473</v>
      </c>
      <c r="AB1336" t="s">
        <v>473</v>
      </c>
      <c r="AC1336" s="10">
        <v>3</v>
      </c>
      <c r="AD1336" s="10">
        <v>11</v>
      </c>
      <c r="AE1336" t="s">
        <v>474</v>
      </c>
    </row>
    <row r="1337" spans="1:31" x14ac:dyDescent="0.25">
      <c r="A1337">
        <v>11039</v>
      </c>
      <c r="B1337">
        <v>1975</v>
      </c>
      <c r="C1337" t="s">
        <v>466</v>
      </c>
      <c r="D1337" t="s">
        <v>34</v>
      </c>
      <c r="E1337" t="str">
        <f>IF(OR(Table1[[#This Row],[marital_status]]="Married", Table1[[#This Row],[marital_status]]="Together"), "Partnered", "Single")</f>
        <v>Partnered</v>
      </c>
      <c r="F1337" s="7">
        <v>51948</v>
      </c>
      <c r="G1337" s="8">
        <v>0</v>
      </c>
      <c r="H1337" s="8">
        <v>1</v>
      </c>
      <c r="I1337" s="8">
        <f>Table1[[#This Row],[kids]]+Table1[[#This Row],[teens]]</f>
        <v>1</v>
      </c>
      <c r="J1337" s="9">
        <v>41534</v>
      </c>
      <c r="K1337" s="8">
        <v>51</v>
      </c>
      <c r="L1337" s="6">
        <v>82</v>
      </c>
      <c r="M1337" s="5">
        <v>33</v>
      </c>
      <c r="N1337" s="5">
        <v>54</v>
      </c>
      <c r="O1337" s="5">
        <v>71</v>
      </c>
      <c r="P1337" s="5">
        <v>30</v>
      </c>
      <c r="Q1337" s="5">
        <v>41</v>
      </c>
      <c r="R1337" s="8">
        <v>2</v>
      </c>
      <c r="S1337" s="8">
        <v>5</v>
      </c>
      <c r="T1337" s="8">
        <v>2</v>
      </c>
      <c r="U1337" s="8">
        <v>4</v>
      </c>
      <c r="V1337" s="8">
        <v>5</v>
      </c>
      <c r="W1337" t="s">
        <v>473</v>
      </c>
      <c r="X1337" t="s">
        <v>473</v>
      </c>
      <c r="Y1337" t="s">
        <v>473</v>
      </c>
      <c r="Z1337" t="s">
        <v>473</v>
      </c>
      <c r="AA1337" t="s">
        <v>473</v>
      </c>
      <c r="AB1337" t="s">
        <v>473</v>
      </c>
      <c r="AC1337" s="10">
        <v>3</v>
      </c>
      <c r="AD1337" s="10">
        <v>11</v>
      </c>
      <c r="AE1337" t="s">
        <v>473</v>
      </c>
    </row>
    <row r="1338" spans="1:31" x14ac:dyDescent="0.25">
      <c r="A1338">
        <v>9495</v>
      </c>
      <c r="B1338">
        <v>1982</v>
      </c>
      <c r="C1338" t="s">
        <v>466</v>
      </c>
      <c r="D1338" t="s">
        <v>31</v>
      </c>
      <c r="E1338" t="str">
        <f>IF(OR(Table1[[#This Row],[marital_status]]="Married", Table1[[#This Row],[marital_status]]="Together"), "Partnered", "Single")</f>
        <v>Partnered</v>
      </c>
      <c r="F1338" s="7">
        <v>71853</v>
      </c>
      <c r="G1338" s="8">
        <v>0</v>
      </c>
      <c r="H1338" s="8">
        <v>0</v>
      </c>
      <c r="I1338" s="8">
        <f>Table1[[#This Row],[kids]]+Table1[[#This Row],[teens]]</f>
        <v>0</v>
      </c>
      <c r="J1338" s="9">
        <v>41402</v>
      </c>
      <c r="K1338" s="8">
        <v>29</v>
      </c>
      <c r="L1338" s="6">
        <v>358</v>
      </c>
      <c r="M1338" s="5">
        <v>108</v>
      </c>
      <c r="N1338" s="5">
        <v>413</v>
      </c>
      <c r="O1338" s="5">
        <v>141</v>
      </c>
      <c r="P1338" s="5">
        <v>97</v>
      </c>
      <c r="Q1338" s="5">
        <v>32</v>
      </c>
      <c r="R1338" s="8">
        <v>1</v>
      </c>
      <c r="S1338" s="8">
        <v>2</v>
      </c>
      <c r="T1338" s="8">
        <v>8</v>
      </c>
      <c r="U1338" s="8">
        <v>6</v>
      </c>
      <c r="V1338" s="8">
        <v>1</v>
      </c>
      <c r="W1338" t="s">
        <v>473</v>
      </c>
      <c r="X1338" t="s">
        <v>473</v>
      </c>
      <c r="Y1338" t="s">
        <v>473</v>
      </c>
      <c r="Z1338" t="s">
        <v>473</v>
      </c>
      <c r="AA1338" t="s">
        <v>473</v>
      </c>
      <c r="AB1338" t="s">
        <v>473</v>
      </c>
      <c r="AC1338" s="10">
        <v>3</v>
      </c>
      <c r="AD1338" s="10">
        <v>11</v>
      </c>
      <c r="AE1338" t="s">
        <v>473</v>
      </c>
    </row>
    <row r="1339" spans="1:31" x14ac:dyDescent="0.25">
      <c r="A1339">
        <v>9635</v>
      </c>
      <c r="B1339">
        <v>1983</v>
      </c>
      <c r="C1339" t="s">
        <v>36</v>
      </c>
      <c r="D1339" t="s">
        <v>34</v>
      </c>
      <c r="E1339" t="str">
        <f>IF(OR(Table1[[#This Row],[marital_status]]="Married", Table1[[#This Row],[marital_status]]="Together"), "Partnered", "Single")</f>
        <v>Partnered</v>
      </c>
      <c r="F1339" s="7">
        <v>35876</v>
      </c>
      <c r="G1339" s="8">
        <v>0</v>
      </c>
      <c r="H1339" s="8">
        <v>0</v>
      </c>
      <c r="I1339" s="8">
        <f>Table1[[#This Row],[kids]]+Table1[[#This Row],[teens]]</f>
        <v>0</v>
      </c>
      <c r="J1339" s="9">
        <v>41749</v>
      </c>
      <c r="K1339" s="8">
        <v>13</v>
      </c>
      <c r="L1339" s="6">
        <v>66</v>
      </c>
      <c r="M1339" s="5">
        <v>2</v>
      </c>
      <c r="N1339" s="5">
        <v>40</v>
      </c>
      <c r="O1339" s="5">
        <v>4</v>
      </c>
      <c r="P1339" s="5">
        <v>3</v>
      </c>
      <c r="Q1339" s="5">
        <v>14</v>
      </c>
      <c r="R1339" s="8">
        <v>1</v>
      </c>
      <c r="S1339" s="8">
        <v>3</v>
      </c>
      <c r="T1339" s="8">
        <v>1</v>
      </c>
      <c r="U1339" s="8">
        <v>3</v>
      </c>
      <c r="V1339" s="8">
        <v>6</v>
      </c>
      <c r="W1339" t="s">
        <v>473</v>
      </c>
      <c r="X1339" t="s">
        <v>473</v>
      </c>
      <c r="Y1339" t="s">
        <v>473</v>
      </c>
      <c r="Z1339" t="s">
        <v>473</v>
      </c>
      <c r="AA1339" t="s">
        <v>473</v>
      </c>
      <c r="AB1339" t="s">
        <v>473</v>
      </c>
      <c r="AC1339" s="10">
        <v>3</v>
      </c>
      <c r="AD1339" s="10">
        <v>11</v>
      </c>
      <c r="AE1339" t="s">
        <v>473</v>
      </c>
    </row>
    <row r="1340" spans="1:31" x14ac:dyDescent="0.25">
      <c r="A1340">
        <v>2173</v>
      </c>
      <c r="B1340">
        <v>1952</v>
      </c>
      <c r="C1340" t="s">
        <v>466</v>
      </c>
      <c r="D1340" t="s">
        <v>57</v>
      </c>
      <c r="E1340" t="str">
        <f>IF(OR(Table1[[#This Row],[marital_status]]="Married", Table1[[#This Row],[marital_status]]="Together"), "Partnered", "Single")</f>
        <v>Single</v>
      </c>
      <c r="F1340" s="7">
        <v>40049</v>
      </c>
      <c r="G1340" s="8">
        <v>0</v>
      </c>
      <c r="H1340" s="8">
        <v>1</v>
      </c>
      <c r="I1340" s="8">
        <f>Table1[[#This Row],[kids]]+Table1[[#This Row],[teens]]</f>
        <v>1</v>
      </c>
      <c r="J1340" s="9">
        <v>41563</v>
      </c>
      <c r="K1340" s="8">
        <v>23</v>
      </c>
      <c r="L1340" s="6">
        <v>13</v>
      </c>
      <c r="M1340" s="5">
        <v>6</v>
      </c>
      <c r="N1340" s="5">
        <v>7</v>
      </c>
      <c r="O1340" s="5">
        <v>0</v>
      </c>
      <c r="P1340" s="5">
        <v>3</v>
      </c>
      <c r="Q1340" s="5">
        <v>3</v>
      </c>
      <c r="R1340" s="8">
        <v>1</v>
      </c>
      <c r="S1340" s="8">
        <v>1</v>
      </c>
      <c r="T1340" s="8">
        <v>0</v>
      </c>
      <c r="U1340" s="8">
        <v>3</v>
      </c>
      <c r="V1340" s="8">
        <v>6</v>
      </c>
      <c r="W1340" t="s">
        <v>473</v>
      </c>
      <c r="X1340" t="s">
        <v>473</v>
      </c>
      <c r="Y1340" t="s">
        <v>473</v>
      </c>
      <c r="Z1340" t="s">
        <v>473</v>
      </c>
      <c r="AA1340" t="s">
        <v>473</v>
      </c>
      <c r="AB1340" t="s">
        <v>473</v>
      </c>
      <c r="AC1340" s="10">
        <v>3</v>
      </c>
      <c r="AD1340" s="10">
        <v>11</v>
      </c>
      <c r="AE1340" t="s">
        <v>473</v>
      </c>
    </row>
    <row r="1341" spans="1:31" x14ac:dyDescent="0.25">
      <c r="A1341">
        <v>942</v>
      </c>
      <c r="B1341">
        <v>1982</v>
      </c>
      <c r="C1341" t="s">
        <v>466</v>
      </c>
      <c r="D1341" t="s">
        <v>30</v>
      </c>
      <c r="E1341" t="str">
        <f>IF(OR(Table1[[#This Row],[marital_status]]="Married", Table1[[#This Row],[marital_status]]="Together"), "Partnered", "Single")</f>
        <v>Single</v>
      </c>
      <c r="F1341" s="7">
        <v>39660</v>
      </c>
      <c r="G1341" s="8">
        <v>1</v>
      </c>
      <c r="H1341" s="8">
        <v>0</v>
      </c>
      <c r="I1341" s="8">
        <f>Table1[[#This Row],[kids]]+Table1[[#This Row],[teens]]</f>
        <v>1</v>
      </c>
      <c r="J1341" s="9">
        <v>41129</v>
      </c>
      <c r="K1341" s="8">
        <v>36</v>
      </c>
      <c r="L1341" s="6">
        <v>139</v>
      </c>
      <c r="M1341" s="5">
        <v>13</v>
      </c>
      <c r="N1341" s="5">
        <v>78</v>
      </c>
      <c r="O1341" s="5">
        <v>20</v>
      </c>
      <c r="P1341" s="5">
        <v>13</v>
      </c>
      <c r="Q1341" s="5">
        <v>36</v>
      </c>
      <c r="R1341" s="8">
        <v>3</v>
      </c>
      <c r="S1341" s="8">
        <v>7</v>
      </c>
      <c r="T1341" s="8">
        <v>1</v>
      </c>
      <c r="U1341" s="8">
        <v>3</v>
      </c>
      <c r="V1341" s="8">
        <v>9</v>
      </c>
      <c r="W1341" t="s">
        <v>473</v>
      </c>
      <c r="X1341" t="s">
        <v>473</v>
      </c>
      <c r="Y1341" t="s">
        <v>473</v>
      </c>
      <c r="Z1341" t="s">
        <v>473</v>
      </c>
      <c r="AA1341" t="s">
        <v>473</v>
      </c>
      <c r="AB1341" t="s">
        <v>473</v>
      </c>
      <c r="AC1341" s="10">
        <v>3</v>
      </c>
      <c r="AD1341" s="10">
        <v>11</v>
      </c>
      <c r="AE1341" t="s">
        <v>474</v>
      </c>
    </row>
    <row r="1342" spans="1:31" x14ac:dyDescent="0.25">
      <c r="A1342">
        <v>9386</v>
      </c>
      <c r="B1342">
        <v>1962</v>
      </c>
      <c r="C1342" t="s">
        <v>466</v>
      </c>
      <c r="D1342" t="s">
        <v>31</v>
      </c>
      <c r="E1342" t="str">
        <f>IF(OR(Table1[[#This Row],[marital_status]]="Married", Table1[[#This Row],[marital_status]]="Together"), "Partnered", "Single")</f>
        <v>Partnered</v>
      </c>
      <c r="F1342" s="7">
        <v>50127</v>
      </c>
      <c r="G1342" s="8">
        <v>0</v>
      </c>
      <c r="H1342" s="8">
        <v>1</v>
      </c>
      <c r="I1342" s="8">
        <f>Table1[[#This Row],[kids]]+Table1[[#This Row],[teens]]</f>
        <v>1</v>
      </c>
      <c r="J1342" s="9">
        <v>41788</v>
      </c>
      <c r="K1342" s="8">
        <v>88</v>
      </c>
      <c r="L1342" s="6">
        <v>274</v>
      </c>
      <c r="M1342" s="5">
        <v>0</v>
      </c>
      <c r="N1342" s="5">
        <v>21</v>
      </c>
      <c r="O1342" s="5">
        <v>4</v>
      </c>
      <c r="P1342" s="5">
        <v>6</v>
      </c>
      <c r="Q1342" s="5">
        <v>15</v>
      </c>
      <c r="R1342" s="8">
        <v>1</v>
      </c>
      <c r="S1342" s="8">
        <v>5</v>
      </c>
      <c r="T1342" s="8">
        <v>1</v>
      </c>
      <c r="U1342" s="8">
        <v>6</v>
      </c>
      <c r="V1342" s="8">
        <v>6</v>
      </c>
      <c r="W1342" t="s">
        <v>473</v>
      </c>
      <c r="X1342" t="s">
        <v>474</v>
      </c>
      <c r="Y1342" t="s">
        <v>473</v>
      </c>
      <c r="Z1342" t="s">
        <v>473</v>
      </c>
      <c r="AA1342" t="s">
        <v>473</v>
      </c>
      <c r="AB1342" t="s">
        <v>473</v>
      </c>
      <c r="AC1342" s="10">
        <v>3</v>
      </c>
      <c r="AD1342" s="10">
        <v>11</v>
      </c>
      <c r="AE1342" t="s">
        <v>473</v>
      </c>
    </row>
    <row r="1343" spans="1:31" x14ac:dyDescent="0.25">
      <c r="A1343">
        <v>5510</v>
      </c>
      <c r="B1343">
        <v>1977</v>
      </c>
      <c r="C1343" t="s">
        <v>36</v>
      </c>
      <c r="D1343" t="s">
        <v>34</v>
      </c>
      <c r="E1343" t="str">
        <f>IF(OR(Table1[[#This Row],[marital_status]]="Married", Table1[[#This Row],[marital_status]]="Together"), "Partnered", "Single")</f>
        <v>Partnered</v>
      </c>
      <c r="F1343" s="7">
        <v>43263</v>
      </c>
      <c r="G1343" s="8">
        <v>0</v>
      </c>
      <c r="H1343" s="8">
        <v>1</v>
      </c>
      <c r="I1343" s="8">
        <f>Table1[[#This Row],[kids]]+Table1[[#This Row],[teens]]</f>
        <v>1</v>
      </c>
      <c r="J1343" s="9">
        <v>41234</v>
      </c>
      <c r="K1343" s="8">
        <v>2</v>
      </c>
      <c r="L1343" s="6">
        <v>262</v>
      </c>
      <c r="M1343" s="5">
        <v>6</v>
      </c>
      <c r="N1343" s="5">
        <v>61</v>
      </c>
      <c r="O1343" s="5">
        <v>0</v>
      </c>
      <c r="P1343" s="5">
        <v>10</v>
      </c>
      <c r="Q1343" s="5">
        <v>102</v>
      </c>
      <c r="R1343" s="8">
        <v>3</v>
      </c>
      <c r="S1343" s="8">
        <v>5</v>
      </c>
      <c r="T1343" s="8">
        <v>2</v>
      </c>
      <c r="U1343" s="8">
        <v>6</v>
      </c>
      <c r="V1343" s="8">
        <v>5</v>
      </c>
      <c r="W1343" t="s">
        <v>473</v>
      </c>
      <c r="X1343" t="s">
        <v>473</v>
      </c>
      <c r="Y1343" t="s">
        <v>473</v>
      </c>
      <c r="Z1343" t="s">
        <v>473</v>
      </c>
      <c r="AA1343" t="s">
        <v>473</v>
      </c>
      <c r="AB1343" t="s">
        <v>473</v>
      </c>
      <c r="AC1343" s="10">
        <v>3</v>
      </c>
      <c r="AD1343" s="10">
        <v>11</v>
      </c>
      <c r="AE1343" t="s">
        <v>473</v>
      </c>
    </row>
    <row r="1344" spans="1:31" x14ac:dyDescent="0.25">
      <c r="A1344">
        <v>873</v>
      </c>
      <c r="B1344">
        <v>1949</v>
      </c>
      <c r="C1344" t="s">
        <v>36</v>
      </c>
      <c r="D1344" t="s">
        <v>34</v>
      </c>
      <c r="E1344" t="str">
        <f>IF(OR(Table1[[#This Row],[marital_status]]="Married", Table1[[#This Row],[marital_status]]="Together"), "Partnered", "Single")</f>
        <v>Partnered</v>
      </c>
      <c r="F1344" s="7">
        <v>62845</v>
      </c>
      <c r="G1344" s="8">
        <v>1</v>
      </c>
      <c r="H1344" s="8">
        <v>1</v>
      </c>
      <c r="I1344" s="8">
        <f>Table1[[#This Row],[kids]]+Table1[[#This Row],[teens]]</f>
        <v>2</v>
      </c>
      <c r="J1344" s="9">
        <v>41183</v>
      </c>
      <c r="K1344" s="8">
        <v>3</v>
      </c>
      <c r="L1344" s="6">
        <v>1099</v>
      </c>
      <c r="M1344" s="5">
        <v>0</v>
      </c>
      <c r="N1344" s="5">
        <v>45</v>
      </c>
      <c r="O1344" s="5">
        <v>0</v>
      </c>
      <c r="P1344" s="5">
        <v>0</v>
      </c>
      <c r="Q1344" s="5">
        <v>34</v>
      </c>
      <c r="R1344" s="8">
        <v>11</v>
      </c>
      <c r="S1344" s="8">
        <v>3</v>
      </c>
      <c r="T1344" s="8">
        <v>4</v>
      </c>
      <c r="U1344" s="8">
        <v>10</v>
      </c>
      <c r="V1344" s="8">
        <v>8</v>
      </c>
      <c r="W1344" t="s">
        <v>473</v>
      </c>
      <c r="X1344" t="s">
        <v>474</v>
      </c>
      <c r="Y1344" t="s">
        <v>473</v>
      </c>
      <c r="Z1344" t="s">
        <v>473</v>
      </c>
      <c r="AA1344" t="s">
        <v>473</v>
      </c>
      <c r="AB1344" t="s">
        <v>473</v>
      </c>
      <c r="AC1344" s="10">
        <v>3</v>
      </c>
      <c r="AD1344" s="10">
        <v>11</v>
      </c>
      <c r="AE1344" t="s">
        <v>474</v>
      </c>
    </row>
    <row r="1345" spans="1:31" x14ac:dyDescent="0.25">
      <c r="A1345">
        <v>2253</v>
      </c>
      <c r="B1345">
        <v>1990</v>
      </c>
      <c r="C1345" t="s">
        <v>466</v>
      </c>
      <c r="D1345" t="s">
        <v>34</v>
      </c>
      <c r="E1345" t="str">
        <f>IF(OR(Table1[[#This Row],[marital_status]]="Married", Table1[[#This Row],[marital_status]]="Together"), "Partnered", "Single")</f>
        <v>Partnered</v>
      </c>
      <c r="F1345" s="7">
        <v>18929</v>
      </c>
      <c r="G1345" s="8">
        <v>0</v>
      </c>
      <c r="H1345" s="8">
        <v>0</v>
      </c>
      <c r="I1345" s="8">
        <f>Table1[[#This Row],[kids]]+Table1[[#This Row],[teens]]</f>
        <v>0</v>
      </c>
      <c r="J1345" s="9">
        <v>41321</v>
      </c>
      <c r="K1345" s="8">
        <v>15</v>
      </c>
      <c r="L1345" s="6">
        <v>32</v>
      </c>
      <c r="M1345" s="5">
        <v>0</v>
      </c>
      <c r="N1345" s="5">
        <v>8</v>
      </c>
      <c r="O1345" s="5">
        <v>23</v>
      </c>
      <c r="P1345" s="5">
        <v>4</v>
      </c>
      <c r="Q1345" s="5">
        <v>18</v>
      </c>
      <c r="R1345" s="8">
        <v>1</v>
      </c>
      <c r="S1345" s="8">
        <v>1</v>
      </c>
      <c r="T1345" s="8">
        <v>0</v>
      </c>
      <c r="U1345" s="8">
        <v>4</v>
      </c>
      <c r="V1345" s="8">
        <v>6</v>
      </c>
      <c r="W1345" t="s">
        <v>473</v>
      </c>
      <c r="X1345" t="s">
        <v>473</v>
      </c>
      <c r="Y1345" t="s">
        <v>473</v>
      </c>
      <c r="Z1345" t="s">
        <v>473</v>
      </c>
      <c r="AA1345" t="s">
        <v>473</v>
      </c>
      <c r="AB1345" t="s">
        <v>473</v>
      </c>
      <c r="AC1345" s="10">
        <v>3</v>
      </c>
      <c r="AD1345" s="10">
        <v>11</v>
      </c>
      <c r="AE1345" t="s">
        <v>473</v>
      </c>
    </row>
    <row r="1346" spans="1:31" x14ac:dyDescent="0.25">
      <c r="A1346">
        <v>5181</v>
      </c>
      <c r="B1346">
        <v>1982</v>
      </c>
      <c r="C1346" t="s">
        <v>41</v>
      </c>
      <c r="D1346" t="s">
        <v>30</v>
      </c>
      <c r="E1346" t="str">
        <f>IF(OR(Table1[[#This Row],[marital_status]]="Married", Table1[[#This Row],[marital_status]]="Together"), "Partnered", "Single")</f>
        <v>Single</v>
      </c>
      <c r="F1346" s="7">
        <v>24367</v>
      </c>
      <c r="G1346" s="8">
        <v>1</v>
      </c>
      <c r="H1346" s="8">
        <v>0</v>
      </c>
      <c r="I1346" s="8">
        <f>Table1[[#This Row],[kids]]+Table1[[#This Row],[teens]]</f>
        <v>1</v>
      </c>
      <c r="J1346" s="9">
        <v>41353</v>
      </c>
      <c r="K1346" s="8">
        <v>58</v>
      </c>
      <c r="L1346" s="6">
        <v>2</v>
      </c>
      <c r="M1346" s="5">
        <v>4</v>
      </c>
      <c r="N1346" s="5">
        <v>2</v>
      </c>
      <c r="O1346" s="5">
        <v>0</v>
      </c>
      <c r="P1346" s="5">
        <v>11</v>
      </c>
      <c r="Q1346" s="5">
        <v>5</v>
      </c>
      <c r="R1346" s="8">
        <v>1</v>
      </c>
      <c r="S1346" s="8">
        <v>1</v>
      </c>
      <c r="T1346" s="8">
        <v>0</v>
      </c>
      <c r="U1346" s="8">
        <v>2</v>
      </c>
      <c r="V1346" s="8">
        <v>9</v>
      </c>
      <c r="W1346" t="s">
        <v>473</v>
      </c>
      <c r="X1346" t="s">
        <v>473</v>
      </c>
      <c r="Y1346" t="s">
        <v>473</v>
      </c>
      <c r="Z1346" t="s">
        <v>473</v>
      </c>
      <c r="AA1346" t="s">
        <v>473</v>
      </c>
      <c r="AB1346" t="s">
        <v>473</v>
      </c>
      <c r="AC1346" s="10">
        <v>3</v>
      </c>
      <c r="AD1346" s="10">
        <v>11</v>
      </c>
      <c r="AE1346" t="s">
        <v>473</v>
      </c>
    </row>
    <row r="1347" spans="1:31" x14ac:dyDescent="0.25">
      <c r="A1347">
        <v>979</v>
      </c>
      <c r="B1347">
        <v>1975</v>
      </c>
      <c r="C1347" t="s">
        <v>466</v>
      </c>
      <c r="D1347" t="s">
        <v>30</v>
      </c>
      <c r="E1347" t="str">
        <f>IF(OR(Table1[[#This Row],[marital_status]]="Married", Table1[[#This Row],[marital_status]]="Together"), "Partnered", "Single")</f>
        <v>Single</v>
      </c>
      <c r="F1347" s="7">
        <v>33249</v>
      </c>
      <c r="G1347" s="8">
        <v>1</v>
      </c>
      <c r="H1347" s="8">
        <v>0</v>
      </c>
      <c r="I1347" s="8">
        <f>Table1[[#This Row],[kids]]+Table1[[#This Row],[teens]]</f>
        <v>1</v>
      </c>
      <c r="J1347" s="9">
        <v>41325</v>
      </c>
      <c r="K1347" s="8">
        <v>11</v>
      </c>
      <c r="L1347" s="6">
        <v>6</v>
      </c>
      <c r="M1347" s="5">
        <v>10</v>
      </c>
      <c r="N1347" s="5">
        <v>21</v>
      </c>
      <c r="O1347" s="5">
        <v>19</v>
      </c>
      <c r="P1347" s="5">
        <v>14</v>
      </c>
      <c r="Q1347" s="5">
        <v>42</v>
      </c>
      <c r="R1347" s="8">
        <v>2</v>
      </c>
      <c r="S1347" s="8">
        <v>2</v>
      </c>
      <c r="T1347" s="8">
        <v>1</v>
      </c>
      <c r="U1347" s="8">
        <v>3</v>
      </c>
      <c r="V1347" s="8">
        <v>6</v>
      </c>
      <c r="W1347" t="s">
        <v>473</v>
      </c>
      <c r="X1347" t="s">
        <v>473</v>
      </c>
      <c r="Y1347" t="s">
        <v>473</v>
      </c>
      <c r="Z1347" t="s">
        <v>473</v>
      </c>
      <c r="AA1347" t="s">
        <v>473</v>
      </c>
      <c r="AB1347" t="s">
        <v>473</v>
      </c>
      <c r="AC1347" s="10">
        <v>3</v>
      </c>
      <c r="AD1347" s="10">
        <v>11</v>
      </c>
      <c r="AE1347" t="s">
        <v>473</v>
      </c>
    </row>
    <row r="1348" spans="1:31" x14ac:dyDescent="0.25">
      <c r="A1348">
        <v>10390</v>
      </c>
      <c r="B1348">
        <v>1959</v>
      </c>
      <c r="C1348" t="s">
        <v>46</v>
      </c>
      <c r="D1348" t="s">
        <v>34</v>
      </c>
      <c r="E1348" t="str">
        <f>IF(OR(Table1[[#This Row],[marital_status]]="Married", Table1[[#This Row],[marital_status]]="Together"), "Partnered", "Single")</f>
        <v>Partnered</v>
      </c>
      <c r="F1348" s="7">
        <v>26887</v>
      </c>
      <c r="G1348" s="8">
        <v>0</v>
      </c>
      <c r="H1348" s="8">
        <v>1</v>
      </c>
      <c r="I1348" s="8">
        <f>Table1[[#This Row],[kids]]+Table1[[#This Row],[teens]]</f>
        <v>1</v>
      </c>
      <c r="J1348" s="9">
        <v>41315</v>
      </c>
      <c r="K1348" s="8">
        <v>27</v>
      </c>
      <c r="L1348" s="6">
        <v>6</v>
      </c>
      <c r="M1348" s="5">
        <v>7</v>
      </c>
      <c r="N1348" s="5">
        <v>4</v>
      </c>
      <c r="O1348" s="5">
        <v>3</v>
      </c>
      <c r="P1348" s="5">
        <v>4</v>
      </c>
      <c r="Q1348" s="5">
        <v>6</v>
      </c>
      <c r="R1348" s="8">
        <v>1</v>
      </c>
      <c r="S1348" s="8">
        <v>1</v>
      </c>
      <c r="T1348" s="8">
        <v>0</v>
      </c>
      <c r="U1348" s="8">
        <v>3</v>
      </c>
      <c r="V1348" s="8">
        <v>6</v>
      </c>
      <c r="W1348" t="s">
        <v>473</v>
      </c>
      <c r="X1348" t="s">
        <v>473</v>
      </c>
      <c r="Y1348" t="s">
        <v>473</v>
      </c>
      <c r="Z1348" t="s">
        <v>473</v>
      </c>
      <c r="AA1348" t="s">
        <v>473</v>
      </c>
      <c r="AB1348" t="s">
        <v>473</v>
      </c>
      <c r="AC1348" s="10">
        <v>3</v>
      </c>
      <c r="AD1348" s="10">
        <v>11</v>
      </c>
      <c r="AE1348" t="s">
        <v>473</v>
      </c>
    </row>
    <row r="1349" spans="1:31" x14ac:dyDescent="0.25">
      <c r="A1349">
        <v>4698</v>
      </c>
      <c r="B1349">
        <v>1983</v>
      </c>
      <c r="C1349" t="s">
        <v>33</v>
      </c>
      <c r="D1349" t="s">
        <v>34</v>
      </c>
      <c r="E1349" t="str">
        <f>IF(OR(Table1[[#This Row],[marital_status]]="Married", Table1[[#This Row],[marital_status]]="Together"), "Partnered", "Single")</f>
        <v>Partnered</v>
      </c>
      <c r="F1349" s="7">
        <v>50150</v>
      </c>
      <c r="G1349" s="8">
        <v>0</v>
      </c>
      <c r="H1349" s="8">
        <v>0</v>
      </c>
      <c r="I1349" s="8">
        <f>Table1[[#This Row],[kids]]+Table1[[#This Row],[teens]]</f>
        <v>0</v>
      </c>
      <c r="J1349" s="9">
        <v>41445</v>
      </c>
      <c r="K1349" s="8">
        <v>32</v>
      </c>
      <c r="L1349" s="6">
        <v>135</v>
      </c>
      <c r="M1349" s="5">
        <v>46</v>
      </c>
      <c r="N1349" s="5">
        <v>92</v>
      </c>
      <c r="O1349" s="5">
        <v>65</v>
      </c>
      <c r="P1349" s="5">
        <v>61</v>
      </c>
      <c r="Q1349" s="5">
        <v>11</v>
      </c>
      <c r="R1349" s="8">
        <v>2</v>
      </c>
      <c r="S1349" s="8">
        <v>5</v>
      </c>
      <c r="T1349" s="8">
        <v>2</v>
      </c>
      <c r="U1349" s="8">
        <v>7</v>
      </c>
      <c r="V1349" s="8">
        <v>5</v>
      </c>
      <c r="W1349" t="s">
        <v>473</v>
      </c>
      <c r="X1349" t="s">
        <v>473</v>
      </c>
      <c r="Y1349" t="s">
        <v>473</v>
      </c>
      <c r="Z1349" t="s">
        <v>473</v>
      </c>
      <c r="AA1349" t="s">
        <v>473</v>
      </c>
      <c r="AB1349" t="s">
        <v>473</v>
      </c>
      <c r="AC1349" s="10">
        <v>3</v>
      </c>
      <c r="AD1349" s="10">
        <v>11</v>
      </c>
      <c r="AE1349" t="s">
        <v>473</v>
      </c>
    </row>
    <row r="1350" spans="1:31" x14ac:dyDescent="0.25">
      <c r="A1350">
        <v>7793</v>
      </c>
      <c r="B1350">
        <v>1976</v>
      </c>
      <c r="C1350" t="s">
        <v>466</v>
      </c>
      <c r="D1350" t="s">
        <v>31</v>
      </c>
      <c r="E1350" t="str">
        <f>IF(OR(Table1[[#This Row],[marital_status]]="Married", Table1[[#This Row],[marital_status]]="Together"), "Partnered", "Single")</f>
        <v>Partnered</v>
      </c>
      <c r="F1350" s="7">
        <v>62061</v>
      </c>
      <c r="G1350" s="8">
        <v>0</v>
      </c>
      <c r="H1350" s="8">
        <v>1</v>
      </c>
      <c r="I1350" s="8">
        <f>Table1[[#This Row],[kids]]+Table1[[#This Row],[teens]]</f>
        <v>1</v>
      </c>
      <c r="J1350" s="9">
        <v>41517</v>
      </c>
      <c r="K1350" s="8">
        <v>12</v>
      </c>
      <c r="L1350" s="6">
        <v>641</v>
      </c>
      <c r="M1350" s="5">
        <v>7</v>
      </c>
      <c r="N1350" s="5">
        <v>84</v>
      </c>
      <c r="O1350" s="5">
        <v>0</v>
      </c>
      <c r="P1350" s="5">
        <v>30</v>
      </c>
      <c r="Q1350" s="5">
        <v>38</v>
      </c>
      <c r="R1350" s="8">
        <v>3</v>
      </c>
      <c r="S1350" s="8">
        <v>10</v>
      </c>
      <c r="T1350" s="8">
        <v>4</v>
      </c>
      <c r="U1350" s="8">
        <v>7</v>
      </c>
      <c r="V1350" s="8">
        <v>6</v>
      </c>
      <c r="W1350" t="s">
        <v>473</v>
      </c>
      <c r="X1350" t="s">
        <v>474</v>
      </c>
      <c r="Y1350" t="s">
        <v>473</v>
      </c>
      <c r="Z1350" t="s">
        <v>473</v>
      </c>
      <c r="AA1350" t="s">
        <v>473</v>
      </c>
      <c r="AB1350" t="s">
        <v>473</v>
      </c>
      <c r="AC1350" s="10">
        <v>3</v>
      </c>
      <c r="AD1350" s="10">
        <v>11</v>
      </c>
      <c r="AE1350" t="s">
        <v>473</v>
      </c>
    </row>
    <row r="1351" spans="1:31" x14ac:dyDescent="0.25">
      <c r="A1351">
        <v>1745</v>
      </c>
      <c r="B1351">
        <v>1962</v>
      </c>
      <c r="C1351" t="s">
        <v>33</v>
      </c>
      <c r="D1351" t="s">
        <v>37</v>
      </c>
      <c r="E1351" t="str">
        <f>IF(OR(Table1[[#This Row],[marital_status]]="Married", Table1[[#This Row],[marital_status]]="Together"), "Partnered", "Single")</f>
        <v>Single</v>
      </c>
      <c r="F1351" s="7">
        <v>85696</v>
      </c>
      <c r="G1351" s="8">
        <v>0</v>
      </c>
      <c r="H1351" s="8">
        <v>0</v>
      </c>
      <c r="I1351" s="8">
        <f>Table1[[#This Row],[kids]]+Table1[[#This Row],[teens]]</f>
        <v>0</v>
      </c>
      <c r="J1351" s="9">
        <v>41397</v>
      </c>
      <c r="K1351" s="8">
        <v>88</v>
      </c>
      <c r="L1351" s="6">
        <v>714</v>
      </c>
      <c r="M1351" s="5">
        <v>76</v>
      </c>
      <c r="N1351" s="5">
        <v>395</v>
      </c>
      <c r="O1351" s="5">
        <v>116</v>
      </c>
      <c r="P1351" s="5">
        <v>0</v>
      </c>
      <c r="Q1351" s="5">
        <v>12</v>
      </c>
      <c r="R1351" s="8">
        <v>1</v>
      </c>
      <c r="S1351" s="8">
        <v>4</v>
      </c>
      <c r="T1351" s="8">
        <v>6</v>
      </c>
      <c r="U1351" s="8">
        <v>9</v>
      </c>
      <c r="V1351" s="8">
        <v>1</v>
      </c>
      <c r="W1351" t="s">
        <v>473</v>
      </c>
      <c r="X1351" t="s">
        <v>473</v>
      </c>
      <c r="Y1351" t="s">
        <v>473</v>
      </c>
      <c r="Z1351" t="s">
        <v>473</v>
      </c>
      <c r="AA1351" t="s">
        <v>473</v>
      </c>
      <c r="AB1351" t="s">
        <v>473</v>
      </c>
      <c r="AC1351" s="10">
        <v>3</v>
      </c>
      <c r="AD1351" s="10">
        <v>11</v>
      </c>
      <c r="AE1351" t="s">
        <v>474</v>
      </c>
    </row>
    <row r="1352" spans="1:31" x14ac:dyDescent="0.25">
      <c r="A1352">
        <v>10590</v>
      </c>
      <c r="B1352">
        <v>1956</v>
      </c>
      <c r="C1352" t="s">
        <v>33</v>
      </c>
      <c r="D1352" t="s">
        <v>31</v>
      </c>
      <c r="E1352" t="str">
        <f>IF(OR(Table1[[#This Row],[marital_status]]="Married", Table1[[#This Row],[marital_status]]="Together"), "Partnered", "Single")</f>
        <v>Partnered</v>
      </c>
      <c r="F1352" s="7">
        <v>76542</v>
      </c>
      <c r="G1352" s="8">
        <v>0</v>
      </c>
      <c r="H1352" s="8">
        <v>0</v>
      </c>
      <c r="I1352" s="8">
        <f>Table1[[#This Row],[kids]]+Table1[[#This Row],[teens]]</f>
        <v>0</v>
      </c>
      <c r="J1352" s="9">
        <v>41363</v>
      </c>
      <c r="K1352" s="8">
        <v>91</v>
      </c>
      <c r="L1352" s="6">
        <v>794</v>
      </c>
      <c r="M1352" s="5">
        <v>73</v>
      </c>
      <c r="N1352" s="5">
        <v>573</v>
      </c>
      <c r="O1352" s="5">
        <v>0</v>
      </c>
      <c r="P1352" s="5">
        <v>29</v>
      </c>
      <c r="Q1352" s="5">
        <v>14</v>
      </c>
      <c r="R1352" s="8">
        <v>1</v>
      </c>
      <c r="S1352" s="8">
        <v>4</v>
      </c>
      <c r="T1352" s="8">
        <v>8</v>
      </c>
      <c r="U1352" s="8">
        <v>10</v>
      </c>
      <c r="V1352" s="8">
        <v>2</v>
      </c>
      <c r="W1352" t="s">
        <v>473</v>
      </c>
      <c r="X1352" t="s">
        <v>473</v>
      </c>
      <c r="Y1352" t="s">
        <v>473</v>
      </c>
      <c r="Z1352" t="s">
        <v>473</v>
      </c>
      <c r="AA1352" t="s">
        <v>473</v>
      </c>
      <c r="AB1352" t="s">
        <v>473</v>
      </c>
      <c r="AC1352" s="10">
        <v>3</v>
      </c>
      <c r="AD1352" s="10">
        <v>11</v>
      </c>
      <c r="AE1352" t="s">
        <v>473</v>
      </c>
    </row>
    <row r="1353" spans="1:31" x14ac:dyDescent="0.25">
      <c r="A1353">
        <v>5080</v>
      </c>
      <c r="B1353">
        <v>1993</v>
      </c>
      <c r="C1353" t="s">
        <v>466</v>
      </c>
      <c r="D1353" t="s">
        <v>30</v>
      </c>
      <c r="E1353" t="str">
        <f>IF(OR(Table1[[#This Row],[marital_status]]="Married", Table1[[#This Row],[marital_status]]="Together"), "Partnered", "Single")</f>
        <v>Single</v>
      </c>
      <c r="F1353" s="7">
        <v>70515</v>
      </c>
      <c r="G1353" s="8">
        <v>0</v>
      </c>
      <c r="H1353" s="8">
        <v>0</v>
      </c>
      <c r="I1353" s="8">
        <f>Table1[[#This Row],[kids]]+Table1[[#This Row],[teens]]</f>
        <v>0</v>
      </c>
      <c r="J1353" s="9">
        <v>41568</v>
      </c>
      <c r="K1353" s="8">
        <v>12</v>
      </c>
      <c r="L1353" s="6">
        <v>420</v>
      </c>
      <c r="M1353" s="5">
        <v>0</v>
      </c>
      <c r="N1353" s="5">
        <v>452</v>
      </c>
      <c r="O1353" s="5">
        <v>182</v>
      </c>
      <c r="P1353" s="5">
        <v>64</v>
      </c>
      <c r="Q1353" s="5">
        <v>140</v>
      </c>
      <c r="R1353" s="8">
        <v>1</v>
      </c>
      <c r="S1353" s="8">
        <v>6</v>
      </c>
      <c r="T1353" s="8">
        <v>6</v>
      </c>
      <c r="U1353" s="8">
        <v>4</v>
      </c>
      <c r="V1353" s="8">
        <v>2</v>
      </c>
      <c r="W1353" t="s">
        <v>473</v>
      </c>
      <c r="X1353" t="s">
        <v>473</v>
      </c>
      <c r="Y1353" t="s">
        <v>473</v>
      </c>
      <c r="Z1353" t="s">
        <v>473</v>
      </c>
      <c r="AA1353" t="s">
        <v>473</v>
      </c>
      <c r="AB1353" t="s">
        <v>473</v>
      </c>
      <c r="AC1353" s="10">
        <v>3</v>
      </c>
      <c r="AD1353" s="10">
        <v>11</v>
      </c>
      <c r="AE1353" t="s">
        <v>474</v>
      </c>
    </row>
    <row r="1354" spans="1:31" x14ac:dyDescent="0.25">
      <c r="A1354">
        <v>8369</v>
      </c>
      <c r="B1354">
        <v>1987</v>
      </c>
      <c r="C1354" t="s">
        <v>466</v>
      </c>
      <c r="D1354" t="s">
        <v>31</v>
      </c>
      <c r="E1354" t="str">
        <f>IF(OR(Table1[[#This Row],[marital_status]]="Married", Table1[[#This Row],[marital_status]]="Together"), "Partnered", "Single")</f>
        <v>Partnered</v>
      </c>
      <c r="F1354" s="7">
        <v>18227</v>
      </c>
      <c r="G1354" s="8">
        <v>1</v>
      </c>
      <c r="H1354" s="8">
        <v>0</v>
      </c>
      <c r="I1354" s="8">
        <f>Table1[[#This Row],[kids]]+Table1[[#This Row],[teens]]</f>
        <v>1</v>
      </c>
      <c r="J1354" s="9">
        <v>41221</v>
      </c>
      <c r="K1354" s="8">
        <v>21</v>
      </c>
      <c r="L1354" s="6">
        <v>1</v>
      </c>
      <c r="M1354" s="5">
        <v>2</v>
      </c>
      <c r="N1354" s="5">
        <v>7</v>
      </c>
      <c r="O1354" s="5">
        <v>4</v>
      </c>
      <c r="P1354" s="5">
        <v>3</v>
      </c>
      <c r="Q1354" s="5">
        <v>11</v>
      </c>
      <c r="R1354" s="8">
        <v>1</v>
      </c>
      <c r="S1354" s="8">
        <v>0</v>
      </c>
      <c r="T1354" s="8">
        <v>1</v>
      </c>
      <c r="U1354" s="8">
        <v>2</v>
      </c>
      <c r="V1354" s="8">
        <v>8</v>
      </c>
      <c r="W1354" t="s">
        <v>473</v>
      </c>
      <c r="X1354" t="s">
        <v>473</v>
      </c>
      <c r="Y1354" t="s">
        <v>473</v>
      </c>
      <c r="Z1354" t="s">
        <v>473</v>
      </c>
      <c r="AA1354" t="s">
        <v>473</v>
      </c>
      <c r="AB1354" t="s">
        <v>473</v>
      </c>
      <c r="AC1354" s="10">
        <v>3</v>
      </c>
      <c r="AD1354" s="10">
        <v>11</v>
      </c>
      <c r="AE1354" t="s">
        <v>473</v>
      </c>
    </row>
    <row r="1355" spans="1:31" x14ac:dyDescent="0.25">
      <c r="A1355">
        <v>5232</v>
      </c>
      <c r="B1355">
        <v>1965</v>
      </c>
      <c r="C1355" t="s">
        <v>466</v>
      </c>
      <c r="D1355" t="s">
        <v>34</v>
      </c>
      <c r="E1355" t="str">
        <f>IF(OR(Table1[[#This Row],[marital_status]]="Married", Table1[[#This Row],[marital_status]]="Together"), "Partnered", "Single")</f>
        <v>Partnered</v>
      </c>
      <c r="F1355" s="7">
        <v>69139</v>
      </c>
      <c r="G1355" s="8">
        <v>0</v>
      </c>
      <c r="H1355" s="8">
        <v>1</v>
      </c>
      <c r="I1355" s="8">
        <f>Table1[[#This Row],[kids]]+Table1[[#This Row],[teens]]</f>
        <v>1</v>
      </c>
      <c r="J1355" s="9">
        <v>41666</v>
      </c>
      <c r="K1355" s="8">
        <v>23</v>
      </c>
      <c r="L1355" s="6">
        <v>86</v>
      </c>
      <c r="M1355" s="5">
        <v>12</v>
      </c>
      <c r="N1355" s="5">
        <v>75</v>
      </c>
      <c r="O1355" s="5">
        <v>33</v>
      </c>
      <c r="P1355" s="5">
        <v>15</v>
      </c>
      <c r="Q1355" s="5">
        <v>6</v>
      </c>
      <c r="R1355" s="8">
        <v>1</v>
      </c>
      <c r="S1355" s="8">
        <v>4</v>
      </c>
      <c r="T1355" s="8">
        <v>1</v>
      </c>
      <c r="U1355" s="8">
        <v>5</v>
      </c>
      <c r="V1355" s="8">
        <v>4</v>
      </c>
      <c r="W1355" t="s">
        <v>473</v>
      </c>
      <c r="X1355" t="s">
        <v>473</v>
      </c>
      <c r="Y1355" t="s">
        <v>473</v>
      </c>
      <c r="Z1355" t="s">
        <v>473</v>
      </c>
      <c r="AA1355" t="s">
        <v>473</v>
      </c>
      <c r="AB1355" t="s">
        <v>473</v>
      </c>
      <c r="AC1355" s="10">
        <v>3</v>
      </c>
      <c r="AD1355" s="10">
        <v>11</v>
      </c>
      <c r="AE1355" t="s">
        <v>473</v>
      </c>
    </row>
    <row r="1356" spans="1:31" x14ac:dyDescent="0.25">
      <c r="A1356">
        <v>2407</v>
      </c>
      <c r="B1356">
        <v>1982</v>
      </c>
      <c r="C1356" t="s">
        <v>466</v>
      </c>
      <c r="D1356" t="s">
        <v>34</v>
      </c>
      <c r="E1356" t="str">
        <f>IF(OR(Table1[[#This Row],[marital_status]]="Married", Table1[[#This Row],[marital_status]]="Together"), "Partnered", "Single")</f>
        <v>Partnered</v>
      </c>
      <c r="F1356" s="7">
        <v>69109</v>
      </c>
      <c r="G1356" s="8">
        <v>0</v>
      </c>
      <c r="H1356" s="8">
        <v>0</v>
      </c>
      <c r="I1356" s="8">
        <f>Table1[[#This Row],[kids]]+Table1[[#This Row],[teens]]</f>
        <v>0</v>
      </c>
      <c r="J1356" s="9">
        <v>41222</v>
      </c>
      <c r="K1356" s="8">
        <v>10</v>
      </c>
      <c r="L1356" s="6">
        <v>823</v>
      </c>
      <c r="M1356" s="5">
        <v>25</v>
      </c>
      <c r="N1356" s="5">
        <v>459</v>
      </c>
      <c r="O1356" s="5">
        <v>124</v>
      </c>
      <c r="P1356" s="5">
        <v>29</v>
      </c>
      <c r="Q1356" s="5">
        <v>95</v>
      </c>
      <c r="R1356" s="8">
        <v>1</v>
      </c>
      <c r="S1356" s="8">
        <v>6</v>
      </c>
      <c r="T1356" s="8">
        <v>6</v>
      </c>
      <c r="U1356" s="8">
        <v>7</v>
      </c>
      <c r="V1356" s="8">
        <v>4</v>
      </c>
      <c r="W1356" t="s">
        <v>473</v>
      </c>
      <c r="X1356" t="s">
        <v>473</v>
      </c>
      <c r="Y1356" t="s">
        <v>474</v>
      </c>
      <c r="Z1356" t="s">
        <v>473</v>
      </c>
      <c r="AA1356" t="s">
        <v>473</v>
      </c>
      <c r="AB1356" t="s">
        <v>473</v>
      </c>
      <c r="AC1356" s="10">
        <v>3</v>
      </c>
      <c r="AD1356" s="10">
        <v>11</v>
      </c>
      <c r="AE1356" t="s">
        <v>474</v>
      </c>
    </row>
    <row r="1357" spans="1:31" x14ac:dyDescent="0.25">
      <c r="A1357">
        <v>3834</v>
      </c>
      <c r="B1357">
        <v>1962</v>
      </c>
      <c r="C1357" t="s">
        <v>466</v>
      </c>
      <c r="D1357" t="s">
        <v>30</v>
      </c>
      <c r="E1357" t="str">
        <f>IF(OR(Table1[[#This Row],[marital_status]]="Married", Table1[[#This Row],[marital_status]]="Together"), "Partnered", "Single")</f>
        <v>Single</v>
      </c>
      <c r="F1357" s="7">
        <v>69627</v>
      </c>
      <c r="G1357" s="8">
        <v>0</v>
      </c>
      <c r="H1357" s="8">
        <v>1</v>
      </c>
      <c r="I1357" s="8">
        <f>Table1[[#This Row],[kids]]+Table1[[#This Row],[teens]]</f>
        <v>1</v>
      </c>
      <c r="J1357" s="9">
        <v>41350</v>
      </c>
      <c r="K1357" s="8">
        <v>35</v>
      </c>
      <c r="L1357" s="6">
        <v>231</v>
      </c>
      <c r="M1357" s="5">
        <v>161</v>
      </c>
      <c r="N1357" s="5">
        <v>215</v>
      </c>
      <c r="O1357" s="5">
        <v>171</v>
      </c>
      <c r="P1357" s="5">
        <v>30</v>
      </c>
      <c r="Q1357" s="5">
        <v>53</v>
      </c>
      <c r="R1357" s="8">
        <v>2</v>
      </c>
      <c r="S1357" s="8">
        <v>8</v>
      </c>
      <c r="T1357" s="8">
        <v>2</v>
      </c>
      <c r="U1357" s="8">
        <v>11</v>
      </c>
      <c r="V1357" s="8">
        <v>5</v>
      </c>
      <c r="W1357" t="s">
        <v>473</v>
      </c>
      <c r="X1357" t="s">
        <v>473</v>
      </c>
      <c r="Y1357" t="s">
        <v>473</v>
      </c>
      <c r="Z1357" t="s">
        <v>473</v>
      </c>
      <c r="AA1357" t="s">
        <v>473</v>
      </c>
      <c r="AB1357" t="s">
        <v>473</v>
      </c>
      <c r="AC1357" s="10">
        <v>3</v>
      </c>
      <c r="AD1357" s="10">
        <v>11</v>
      </c>
      <c r="AE1357" t="s">
        <v>473</v>
      </c>
    </row>
    <row r="1358" spans="1:31" x14ac:dyDescent="0.25">
      <c r="A1358">
        <v>7912</v>
      </c>
      <c r="B1358">
        <v>1978</v>
      </c>
      <c r="C1358" t="s">
        <v>466</v>
      </c>
      <c r="D1358" t="s">
        <v>34</v>
      </c>
      <c r="E1358" t="str">
        <f>IF(OR(Table1[[#This Row],[marital_status]]="Married", Table1[[#This Row],[marital_status]]="Together"), "Partnered", "Single")</f>
        <v>Partnered</v>
      </c>
      <c r="F1358" s="7">
        <v>38136</v>
      </c>
      <c r="G1358" s="8">
        <v>1</v>
      </c>
      <c r="H1358" s="8">
        <v>0</v>
      </c>
      <c r="I1358" s="8">
        <f>Table1[[#This Row],[kids]]+Table1[[#This Row],[teens]]</f>
        <v>1</v>
      </c>
      <c r="J1358" s="9">
        <v>41386</v>
      </c>
      <c r="K1358" s="8">
        <v>69</v>
      </c>
      <c r="L1358" s="6">
        <v>8</v>
      </c>
      <c r="M1358" s="5">
        <v>15</v>
      </c>
      <c r="N1358" s="5">
        <v>27</v>
      </c>
      <c r="O1358" s="5">
        <v>0</v>
      </c>
      <c r="P1358" s="5">
        <v>20</v>
      </c>
      <c r="Q1358" s="5">
        <v>33</v>
      </c>
      <c r="R1358" s="8">
        <v>2</v>
      </c>
      <c r="S1358" s="8">
        <v>3</v>
      </c>
      <c r="T1358" s="8">
        <v>1</v>
      </c>
      <c r="U1358" s="8">
        <v>2</v>
      </c>
      <c r="V1358" s="8">
        <v>8</v>
      </c>
      <c r="W1358" t="s">
        <v>474</v>
      </c>
      <c r="X1358" t="s">
        <v>473</v>
      </c>
      <c r="Y1358" t="s">
        <v>473</v>
      </c>
      <c r="Z1358" t="s">
        <v>473</v>
      </c>
      <c r="AA1358" t="s">
        <v>473</v>
      </c>
      <c r="AB1358" t="s">
        <v>473</v>
      </c>
      <c r="AC1358" s="10">
        <v>3</v>
      </c>
      <c r="AD1358" s="10">
        <v>11</v>
      </c>
      <c r="AE1358" t="s">
        <v>473</v>
      </c>
    </row>
    <row r="1359" spans="1:31" x14ac:dyDescent="0.25">
      <c r="A1359">
        <v>7712</v>
      </c>
      <c r="B1359">
        <v>1946</v>
      </c>
      <c r="C1359" t="s">
        <v>33</v>
      </c>
      <c r="D1359" t="s">
        <v>30</v>
      </c>
      <c r="E1359" t="str">
        <f>IF(OR(Table1[[#This Row],[marital_status]]="Married", Table1[[#This Row],[marital_status]]="Together"), "Partnered", "Single")</f>
        <v>Single</v>
      </c>
      <c r="F1359" s="7">
        <v>62159</v>
      </c>
      <c r="G1359" s="8">
        <v>0</v>
      </c>
      <c r="H1359" s="8">
        <v>0</v>
      </c>
      <c r="I1359" s="8">
        <f>Table1[[#This Row],[kids]]+Table1[[#This Row],[teens]]</f>
        <v>0</v>
      </c>
      <c r="J1359" s="9">
        <v>41757</v>
      </c>
      <c r="K1359" s="8">
        <v>68</v>
      </c>
      <c r="L1359" s="6">
        <v>182</v>
      </c>
      <c r="M1359" s="5">
        <v>17</v>
      </c>
      <c r="N1359" s="5">
        <v>259</v>
      </c>
      <c r="O1359" s="5">
        <v>77</v>
      </c>
      <c r="P1359" s="5">
        <v>70</v>
      </c>
      <c r="Q1359" s="5">
        <v>29</v>
      </c>
      <c r="R1359" s="8">
        <v>1</v>
      </c>
      <c r="S1359" s="8">
        <v>6</v>
      </c>
      <c r="T1359" s="8">
        <v>2</v>
      </c>
      <c r="U1359" s="8">
        <v>10</v>
      </c>
      <c r="V1359" s="8">
        <v>4</v>
      </c>
      <c r="W1359" t="s">
        <v>473</v>
      </c>
      <c r="X1359" t="s">
        <v>473</v>
      </c>
      <c r="Y1359" t="s">
        <v>473</v>
      </c>
      <c r="Z1359" t="s">
        <v>473</v>
      </c>
      <c r="AA1359" t="s">
        <v>473</v>
      </c>
      <c r="AB1359" t="s">
        <v>473</v>
      </c>
      <c r="AC1359" s="10">
        <v>3</v>
      </c>
      <c r="AD1359" s="10">
        <v>11</v>
      </c>
      <c r="AE1359" t="s">
        <v>473</v>
      </c>
    </row>
    <row r="1360" spans="1:31" x14ac:dyDescent="0.25">
      <c r="A1360">
        <v>1065</v>
      </c>
      <c r="B1360">
        <v>1963</v>
      </c>
      <c r="C1360" t="s">
        <v>466</v>
      </c>
      <c r="D1360" t="s">
        <v>30</v>
      </c>
      <c r="E1360" t="str">
        <f>IF(OR(Table1[[#This Row],[marital_status]]="Married", Table1[[#This Row],[marital_status]]="Together"), "Partnered", "Single")</f>
        <v>Single</v>
      </c>
      <c r="F1360" s="7">
        <v>80695</v>
      </c>
      <c r="G1360" s="8">
        <v>0</v>
      </c>
      <c r="H1360" s="8">
        <v>0</v>
      </c>
      <c r="I1360" s="8">
        <f>Table1[[#This Row],[kids]]+Table1[[#This Row],[teens]]</f>
        <v>0</v>
      </c>
      <c r="J1360" s="9">
        <v>41637</v>
      </c>
      <c r="K1360" s="8">
        <v>85</v>
      </c>
      <c r="L1360" s="6">
        <v>557</v>
      </c>
      <c r="M1360" s="5">
        <v>129</v>
      </c>
      <c r="N1360" s="5">
        <v>984</v>
      </c>
      <c r="O1360" s="5">
        <v>193</v>
      </c>
      <c r="P1360" s="5">
        <v>37</v>
      </c>
      <c r="Q1360" s="5">
        <v>18</v>
      </c>
      <c r="R1360" s="8">
        <v>1</v>
      </c>
      <c r="S1360" s="8">
        <v>5</v>
      </c>
      <c r="T1360" s="8">
        <v>8</v>
      </c>
      <c r="U1360" s="8">
        <v>5</v>
      </c>
      <c r="V1360" s="8">
        <v>2</v>
      </c>
      <c r="W1360" t="s">
        <v>473</v>
      </c>
      <c r="X1360" t="s">
        <v>473</v>
      </c>
      <c r="Y1360" t="s">
        <v>473</v>
      </c>
      <c r="Z1360" t="s">
        <v>473</v>
      </c>
      <c r="AA1360" t="s">
        <v>473</v>
      </c>
      <c r="AB1360" t="s">
        <v>473</v>
      </c>
      <c r="AC1360" s="10">
        <v>3</v>
      </c>
      <c r="AD1360" s="10">
        <v>11</v>
      </c>
      <c r="AE1360" t="s">
        <v>473</v>
      </c>
    </row>
    <row r="1361" spans="1:31" x14ac:dyDescent="0.25">
      <c r="A1361">
        <v>7275</v>
      </c>
      <c r="B1361">
        <v>1971</v>
      </c>
      <c r="C1361" t="s">
        <v>36</v>
      </c>
      <c r="D1361" t="s">
        <v>30</v>
      </c>
      <c r="E1361" t="str">
        <f>IF(OR(Table1[[#This Row],[marital_status]]="Married", Table1[[#This Row],[marital_status]]="Together"), "Partnered", "Single")</f>
        <v>Single</v>
      </c>
      <c r="F1361" s="7">
        <v>33316</v>
      </c>
      <c r="G1361" s="8">
        <v>1</v>
      </c>
      <c r="H1361" s="8">
        <v>1</v>
      </c>
      <c r="I1361" s="8">
        <f>Table1[[#This Row],[kids]]+Table1[[#This Row],[teens]]</f>
        <v>2</v>
      </c>
      <c r="J1361" s="9">
        <v>41551</v>
      </c>
      <c r="K1361" s="8">
        <v>34</v>
      </c>
      <c r="L1361" s="6">
        <v>79</v>
      </c>
      <c r="M1361" s="5">
        <v>1</v>
      </c>
      <c r="N1361" s="5">
        <v>31</v>
      </c>
      <c r="O1361" s="5">
        <v>4</v>
      </c>
      <c r="P1361" s="5">
        <v>4</v>
      </c>
      <c r="Q1361" s="5">
        <v>12</v>
      </c>
      <c r="R1361" s="8">
        <v>3</v>
      </c>
      <c r="S1361" s="8">
        <v>2</v>
      </c>
      <c r="T1361" s="8">
        <v>1</v>
      </c>
      <c r="U1361" s="8">
        <v>4</v>
      </c>
      <c r="V1361" s="8">
        <v>6</v>
      </c>
      <c r="W1361" t="s">
        <v>473</v>
      </c>
      <c r="X1361" t="s">
        <v>473</v>
      </c>
      <c r="Y1361" t="s">
        <v>473</v>
      </c>
      <c r="Z1361" t="s">
        <v>473</v>
      </c>
      <c r="AA1361" t="s">
        <v>473</v>
      </c>
      <c r="AB1361" t="s">
        <v>473</v>
      </c>
      <c r="AC1361" s="10">
        <v>3</v>
      </c>
      <c r="AD1361" s="10">
        <v>11</v>
      </c>
      <c r="AE1361" t="s">
        <v>473</v>
      </c>
    </row>
    <row r="1362" spans="1:31" x14ac:dyDescent="0.25">
      <c r="A1362">
        <v>1343</v>
      </c>
      <c r="B1362">
        <v>1968</v>
      </c>
      <c r="C1362" t="s">
        <v>466</v>
      </c>
      <c r="D1362" t="s">
        <v>31</v>
      </c>
      <c r="E1362" t="str">
        <f>IF(OR(Table1[[#This Row],[marital_status]]="Married", Table1[[#This Row],[marital_status]]="Together"), "Partnered", "Single")</f>
        <v>Partnered</v>
      </c>
      <c r="F1362" s="7">
        <v>58554</v>
      </c>
      <c r="G1362" s="8">
        <v>1</v>
      </c>
      <c r="H1362" s="8">
        <v>1</v>
      </c>
      <c r="I1362" s="8">
        <f>Table1[[#This Row],[kids]]+Table1[[#This Row],[teens]]</f>
        <v>2</v>
      </c>
      <c r="J1362" s="9">
        <v>41178</v>
      </c>
      <c r="K1362" s="8">
        <v>55</v>
      </c>
      <c r="L1362" s="6">
        <v>368</v>
      </c>
      <c r="M1362" s="5">
        <v>24</v>
      </c>
      <c r="N1362" s="5">
        <v>68</v>
      </c>
      <c r="O1362" s="5">
        <v>38</v>
      </c>
      <c r="P1362" s="5">
        <v>0</v>
      </c>
      <c r="Q1362" s="5">
        <v>88</v>
      </c>
      <c r="R1362" s="8">
        <v>6</v>
      </c>
      <c r="S1362" s="8">
        <v>8</v>
      </c>
      <c r="T1362" s="8">
        <v>2</v>
      </c>
      <c r="U1362" s="8">
        <v>6</v>
      </c>
      <c r="V1362" s="8">
        <v>7</v>
      </c>
      <c r="W1362" t="s">
        <v>473</v>
      </c>
      <c r="X1362" t="s">
        <v>473</v>
      </c>
      <c r="Y1362" t="s">
        <v>473</v>
      </c>
      <c r="Z1362" t="s">
        <v>473</v>
      </c>
      <c r="AA1362" t="s">
        <v>473</v>
      </c>
      <c r="AB1362" t="s">
        <v>473</v>
      </c>
      <c r="AC1362" s="10">
        <v>3</v>
      </c>
      <c r="AD1362" s="10">
        <v>11</v>
      </c>
      <c r="AE1362" t="s">
        <v>473</v>
      </c>
    </row>
    <row r="1363" spans="1:31" x14ac:dyDescent="0.25">
      <c r="A1363">
        <v>1384</v>
      </c>
      <c r="B1363">
        <v>1992</v>
      </c>
      <c r="C1363" t="s">
        <v>41</v>
      </c>
      <c r="D1363" t="s">
        <v>34</v>
      </c>
      <c r="E1363" t="str">
        <f>IF(OR(Table1[[#This Row],[marital_status]]="Married", Table1[[#This Row],[marital_status]]="Together"), "Partnered", "Single")</f>
        <v>Partnered</v>
      </c>
      <c r="F1363" s="7">
        <v>17256</v>
      </c>
      <c r="G1363" s="8">
        <v>1</v>
      </c>
      <c r="H1363" s="8">
        <v>0</v>
      </c>
      <c r="I1363" s="8">
        <f>Table1[[#This Row],[kids]]+Table1[[#This Row],[teens]]</f>
        <v>1</v>
      </c>
      <c r="J1363" s="9">
        <v>41601</v>
      </c>
      <c r="K1363" s="8">
        <v>10</v>
      </c>
      <c r="L1363" s="6">
        <v>6</v>
      </c>
      <c r="M1363" s="5">
        <v>4</v>
      </c>
      <c r="N1363" s="5">
        <v>14</v>
      </c>
      <c r="O1363" s="5">
        <v>8</v>
      </c>
      <c r="P1363" s="5">
        <v>8</v>
      </c>
      <c r="Q1363" s="5">
        <v>22</v>
      </c>
      <c r="R1363" s="8">
        <v>2</v>
      </c>
      <c r="S1363" s="8">
        <v>2</v>
      </c>
      <c r="T1363" s="8">
        <v>1</v>
      </c>
      <c r="U1363" s="8">
        <v>2</v>
      </c>
      <c r="V1363" s="8">
        <v>8</v>
      </c>
      <c r="W1363" t="s">
        <v>474</v>
      </c>
      <c r="X1363" t="s">
        <v>473</v>
      </c>
      <c r="Y1363" t="s">
        <v>473</v>
      </c>
      <c r="Z1363" t="s">
        <v>473</v>
      </c>
      <c r="AA1363" t="s">
        <v>473</v>
      </c>
      <c r="AB1363" t="s">
        <v>473</v>
      </c>
      <c r="AC1363" s="10">
        <v>3</v>
      </c>
      <c r="AD1363" s="10">
        <v>11</v>
      </c>
      <c r="AE1363" t="s">
        <v>473</v>
      </c>
    </row>
    <row r="1364" spans="1:31" x14ac:dyDescent="0.25">
      <c r="A1364">
        <v>9967</v>
      </c>
      <c r="B1364">
        <v>1974</v>
      </c>
      <c r="C1364" t="s">
        <v>466</v>
      </c>
      <c r="D1364" t="s">
        <v>37</v>
      </c>
      <c r="E1364" t="str">
        <f>IF(OR(Table1[[#This Row],[marital_status]]="Married", Table1[[#This Row],[marital_status]]="Together"), "Partnered", "Single")</f>
        <v>Single</v>
      </c>
      <c r="F1364" s="7">
        <v>53034</v>
      </c>
      <c r="G1364" s="8">
        <v>1</v>
      </c>
      <c r="H1364" s="8">
        <v>1</v>
      </c>
      <c r="I1364" s="8">
        <f>Table1[[#This Row],[kids]]+Table1[[#This Row],[teens]]</f>
        <v>2</v>
      </c>
      <c r="J1364" s="9">
        <v>41424</v>
      </c>
      <c r="K1364" s="8">
        <v>30</v>
      </c>
      <c r="L1364" s="6">
        <v>160</v>
      </c>
      <c r="M1364" s="5">
        <v>15</v>
      </c>
      <c r="N1364" s="5">
        <v>196</v>
      </c>
      <c r="O1364" s="5">
        <v>15</v>
      </c>
      <c r="P1364" s="5">
        <v>11</v>
      </c>
      <c r="Q1364" s="5">
        <v>50</v>
      </c>
      <c r="R1364" s="8">
        <v>8</v>
      </c>
      <c r="S1364" s="8">
        <v>6</v>
      </c>
      <c r="T1364" s="8">
        <v>1</v>
      </c>
      <c r="U1364" s="8">
        <v>7</v>
      </c>
      <c r="V1364" s="8">
        <v>8</v>
      </c>
      <c r="W1364" t="s">
        <v>473</v>
      </c>
      <c r="X1364" t="s">
        <v>473</v>
      </c>
      <c r="Y1364" t="s">
        <v>473</v>
      </c>
      <c r="Z1364" t="s">
        <v>473</v>
      </c>
      <c r="AA1364" t="s">
        <v>473</v>
      </c>
      <c r="AB1364" t="s">
        <v>473</v>
      </c>
      <c r="AC1364" s="10">
        <v>3</v>
      </c>
      <c r="AD1364" s="10">
        <v>11</v>
      </c>
      <c r="AE1364" t="s">
        <v>473</v>
      </c>
    </row>
    <row r="1365" spans="1:31" x14ac:dyDescent="0.25">
      <c r="A1365">
        <v>6181</v>
      </c>
      <c r="B1365">
        <v>1950</v>
      </c>
      <c r="C1365" t="s">
        <v>46</v>
      </c>
      <c r="D1365" t="s">
        <v>31</v>
      </c>
      <c r="E1365" t="str">
        <f>IF(OR(Table1[[#This Row],[marital_status]]="Married", Table1[[#This Row],[marital_status]]="Together"), "Partnered", "Single")</f>
        <v>Partnered</v>
      </c>
      <c r="F1365" s="7">
        <v>52203</v>
      </c>
      <c r="G1365" s="8">
        <v>0</v>
      </c>
      <c r="H1365" s="8">
        <v>0</v>
      </c>
      <c r="I1365" s="8">
        <f>Table1[[#This Row],[kids]]+Table1[[#This Row],[teens]]</f>
        <v>0</v>
      </c>
      <c r="J1365" s="9">
        <v>41121</v>
      </c>
      <c r="K1365" s="8">
        <v>36</v>
      </c>
      <c r="L1365" s="6">
        <v>488</v>
      </c>
      <c r="M1365" s="5">
        <v>21</v>
      </c>
      <c r="N1365" s="5">
        <v>238</v>
      </c>
      <c r="O1365" s="5">
        <v>56</v>
      </c>
      <c r="P1365" s="5">
        <v>108</v>
      </c>
      <c r="Q1365" s="5">
        <v>28</v>
      </c>
      <c r="R1365" s="8">
        <v>1</v>
      </c>
      <c r="S1365" s="8">
        <v>8</v>
      </c>
      <c r="T1365" s="8">
        <v>7</v>
      </c>
      <c r="U1365" s="8">
        <v>11</v>
      </c>
      <c r="V1365" s="8">
        <v>6</v>
      </c>
      <c r="W1365" t="s">
        <v>473</v>
      </c>
      <c r="X1365" t="s">
        <v>473</v>
      </c>
      <c r="Y1365" t="s">
        <v>473</v>
      </c>
      <c r="Z1365" t="s">
        <v>473</v>
      </c>
      <c r="AA1365" t="s">
        <v>473</v>
      </c>
      <c r="AB1365" t="s">
        <v>473</v>
      </c>
      <c r="AC1365" s="10">
        <v>3</v>
      </c>
      <c r="AD1365" s="10">
        <v>11</v>
      </c>
      <c r="AE1365" t="s">
        <v>473</v>
      </c>
    </row>
    <row r="1366" spans="1:31" x14ac:dyDescent="0.25">
      <c r="A1366">
        <v>10507</v>
      </c>
      <c r="B1366">
        <v>1977</v>
      </c>
      <c r="C1366" t="s">
        <v>46</v>
      </c>
      <c r="D1366" t="s">
        <v>37</v>
      </c>
      <c r="E1366" t="str">
        <f>IF(OR(Table1[[#This Row],[marital_status]]="Married", Table1[[#This Row],[marital_status]]="Together"), "Partnered", "Single")</f>
        <v>Single</v>
      </c>
      <c r="F1366" s="7">
        <v>59601</v>
      </c>
      <c r="G1366" s="8">
        <v>0</v>
      </c>
      <c r="H1366" s="8">
        <v>1</v>
      </c>
      <c r="I1366" s="8">
        <f>Table1[[#This Row],[kids]]+Table1[[#This Row],[teens]]</f>
        <v>1</v>
      </c>
      <c r="J1366" s="9">
        <v>41480</v>
      </c>
      <c r="K1366" s="8">
        <v>14</v>
      </c>
      <c r="L1366" s="6">
        <v>691</v>
      </c>
      <c r="M1366" s="5">
        <v>7</v>
      </c>
      <c r="N1366" s="5">
        <v>69</v>
      </c>
      <c r="O1366" s="5">
        <v>0</v>
      </c>
      <c r="P1366" s="5">
        <v>7</v>
      </c>
      <c r="Q1366" s="5">
        <v>23</v>
      </c>
      <c r="R1366" s="8">
        <v>4</v>
      </c>
      <c r="S1366" s="8">
        <v>2</v>
      </c>
      <c r="T1366" s="8">
        <v>2</v>
      </c>
      <c r="U1366" s="8">
        <v>7</v>
      </c>
      <c r="V1366" s="8">
        <v>8</v>
      </c>
      <c r="W1366" t="s">
        <v>473</v>
      </c>
      <c r="X1366" t="s">
        <v>474</v>
      </c>
      <c r="Y1366" t="s">
        <v>473</v>
      </c>
      <c r="Z1366" t="s">
        <v>473</v>
      </c>
      <c r="AA1366" t="s">
        <v>473</v>
      </c>
      <c r="AB1366" t="s">
        <v>473</v>
      </c>
      <c r="AC1366" s="10">
        <v>3</v>
      </c>
      <c r="AD1366" s="10">
        <v>11</v>
      </c>
      <c r="AE1366" t="s">
        <v>473</v>
      </c>
    </row>
    <row r="1367" spans="1:31" x14ac:dyDescent="0.25">
      <c r="A1367">
        <v>2674</v>
      </c>
      <c r="B1367">
        <v>1958</v>
      </c>
      <c r="C1367" t="s">
        <v>36</v>
      </c>
      <c r="D1367" t="s">
        <v>30</v>
      </c>
      <c r="E1367" t="str">
        <f>IF(OR(Table1[[#This Row],[marital_status]]="Married", Table1[[#This Row],[marital_status]]="Together"), "Partnered", "Single")</f>
        <v>Single</v>
      </c>
      <c r="F1367" s="7">
        <v>75154</v>
      </c>
      <c r="G1367" s="8">
        <v>0</v>
      </c>
      <c r="H1367" s="8">
        <v>1</v>
      </c>
      <c r="I1367" s="8">
        <f>Table1[[#This Row],[kids]]+Table1[[#This Row],[teens]]</f>
        <v>1</v>
      </c>
      <c r="J1367" s="9">
        <v>41156</v>
      </c>
      <c r="K1367" s="8">
        <v>79</v>
      </c>
      <c r="L1367" s="6">
        <v>543</v>
      </c>
      <c r="M1367" s="5">
        <v>10</v>
      </c>
      <c r="N1367" s="5">
        <v>205</v>
      </c>
      <c r="O1367" s="5">
        <v>160</v>
      </c>
      <c r="P1367" s="5">
        <v>143</v>
      </c>
      <c r="Q1367" s="5">
        <v>82</v>
      </c>
      <c r="R1367" s="8">
        <v>1</v>
      </c>
      <c r="S1367" s="8">
        <v>6</v>
      </c>
      <c r="T1367" s="8">
        <v>3</v>
      </c>
      <c r="U1367" s="8">
        <v>6</v>
      </c>
      <c r="V1367" s="8">
        <v>3</v>
      </c>
      <c r="W1367" t="s">
        <v>473</v>
      </c>
      <c r="X1367" t="s">
        <v>473</v>
      </c>
      <c r="Y1367" t="s">
        <v>473</v>
      </c>
      <c r="Z1367" t="s">
        <v>473</v>
      </c>
      <c r="AA1367" t="s">
        <v>473</v>
      </c>
      <c r="AB1367" t="s">
        <v>473</v>
      </c>
      <c r="AC1367" s="10">
        <v>3</v>
      </c>
      <c r="AD1367" s="10">
        <v>11</v>
      </c>
      <c r="AE1367" t="s">
        <v>474</v>
      </c>
    </row>
    <row r="1368" spans="1:31" x14ac:dyDescent="0.25">
      <c r="A1368">
        <v>2698</v>
      </c>
      <c r="B1368">
        <v>1976</v>
      </c>
      <c r="C1368" t="s">
        <v>466</v>
      </c>
      <c r="D1368" t="s">
        <v>30</v>
      </c>
      <c r="E1368" t="str">
        <f>IF(OR(Table1[[#This Row],[marital_status]]="Married", Table1[[#This Row],[marital_status]]="Together"), "Partnered", "Single")</f>
        <v>Single</v>
      </c>
      <c r="F1368" s="7">
        <v>47025</v>
      </c>
      <c r="G1368" s="8">
        <v>0</v>
      </c>
      <c r="H1368" s="8">
        <v>1</v>
      </c>
      <c r="I1368" s="8">
        <f>Table1[[#This Row],[kids]]+Table1[[#This Row],[teens]]</f>
        <v>1</v>
      </c>
      <c r="J1368" s="9">
        <v>41585</v>
      </c>
      <c r="K1368" s="8">
        <v>52</v>
      </c>
      <c r="L1368" s="6">
        <v>254</v>
      </c>
      <c r="M1368" s="5">
        <v>7</v>
      </c>
      <c r="N1368" s="5">
        <v>108</v>
      </c>
      <c r="O1368" s="5">
        <v>20</v>
      </c>
      <c r="P1368" s="5">
        <v>0</v>
      </c>
      <c r="Q1368" s="5">
        <v>26</v>
      </c>
      <c r="R1368" s="8">
        <v>3</v>
      </c>
      <c r="S1368" s="8">
        <v>6</v>
      </c>
      <c r="T1368" s="8">
        <v>3</v>
      </c>
      <c r="U1368" s="8">
        <v>5</v>
      </c>
      <c r="V1368" s="8">
        <v>6</v>
      </c>
      <c r="W1368" t="s">
        <v>473</v>
      </c>
      <c r="X1368" t="s">
        <v>473</v>
      </c>
      <c r="Y1368" t="s">
        <v>473</v>
      </c>
      <c r="Z1368" t="s">
        <v>473</v>
      </c>
      <c r="AA1368" t="s">
        <v>473</v>
      </c>
      <c r="AB1368" t="s">
        <v>473</v>
      </c>
      <c r="AC1368" s="10">
        <v>3</v>
      </c>
      <c r="AD1368" s="10">
        <v>11</v>
      </c>
      <c r="AE1368" t="s">
        <v>473</v>
      </c>
    </row>
    <row r="1369" spans="1:31" x14ac:dyDescent="0.25">
      <c r="A1369">
        <v>3231</v>
      </c>
      <c r="B1369">
        <v>1973</v>
      </c>
      <c r="C1369" t="s">
        <v>466</v>
      </c>
      <c r="D1369" t="s">
        <v>34</v>
      </c>
      <c r="E1369" t="str">
        <f>IF(OR(Table1[[#This Row],[marital_status]]="Married", Table1[[#This Row],[marital_status]]="Together"), "Partnered", "Single")</f>
        <v>Partnered</v>
      </c>
      <c r="F1369" s="7">
        <v>37971</v>
      </c>
      <c r="G1369" s="8">
        <v>1</v>
      </c>
      <c r="H1369" s="8">
        <v>0</v>
      </c>
      <c r="I1369" s="8">
        <f>Table1[[#This Row],[kids]]+Table1[[#This Row],[teens]]</f>
        <v>1</v>
      </c>
      <c r="J1369" s="9">
        <v>41603</v>
      </c>
      <c r="K1369" s="8">
        <v>97</v>
      </c>
      <c r="L1369" s="6">
        <v>5</v>
      </c>
      <c r="M1369" s="5">
        <v>4</v>
      </c>
      <c r="N1369" s="5">
        <v>10</v>
      </c>
      <c r="O1369" s="5">
        <v>2</v>
      </c>
      <c r="P1369" s="5">
        <v>2</v>
      </c>
      <c r="Q1369" s="5">
        <v>7</v>
      </c>
      <c r="R1369" s="8">
        <v>1</v>
      </c>
      <c r="S1369" s="8">
        <v>1</v>
      </c>
      <c r="T1369" s="8">
        <v>0</v>
      </c>
      <c r="U1369" s="8">
        <v>3</v>
      </c>
      <c r="V1369" s="8">
        <v>8</v>
      </c>
      <c r="W1369" t="s">
        <v>473</v>
      </c>
      <c r="X1369" t="s">
        <v>473</v>
      </c>
      <c r="Y1369" t="s">
        <v>473</v>
      </c>
      <c r="Z1369" t="s">
        <v>473</v>
      </c>
      <c r="AA1369" t="s">
        <v>473</v>
      </c>
      <c r="AB1369" t="s">
        <v>473</v>
      </c>
      <c r="AC1369" s="10">
        <v>3</v>
      </c>
      <c r="AD1369" s="10">
        <v>11</v>
      </c>
      <c r="AE1369" t="s">
        <v>473</v>
      </c>
    </row>
    <row r="1370" spans="1:31" x14ac:dyDescent="0.25">
      <c r="A1370">
        <v>4096</v>
      </c>
      <c r="B1370">
        <v>1968</v>
      </c>
      <c r="C1370" t="s">
        <v>36</v>
      </c>
      <c r="D1370" t="s">
        <v>37</v>
      </c>
      <c r="E1370" t="str">
        <f>IF(OR(Table1[[#This Row],[marital_status]]="Married", Table1[[#This Row],[marital_status]]="Together"), "Partnered", "Single")</f>
        <v>Single</v>
      </c>
      <c r="F1370" s="7">
        <v>41335</v>
      </c>
      <c r="G1370" s="8">
        <v>1</v>
      </c>
      <c r="H1370" s="8">
        <v>0</v>
      </c>
      <c r="I1370" s="8">
        <f>Table1[[#This Row],[kids]]+Table1[[#This Row],[teens]]</f>
        <v>1</v>
      </c>
      <c r="J1370" s="9">
        <v>41634</v>
      </c>
      <c r="K1370" s="8">
        <v>24</v>
      </c>
      <c r="L1370" s="6">
        <v>112</v>
      </c>
      <c r="M1370" s="5">
        <v>19</v>
      </c>
      <c r="N1370" s="5">
        <v>21</v>
      </c>
      <c r="O1370" s="5">
        <v>16</v>
      </c>
      <c r="P1370" s="5">
        <v>14</v>
      </c>
      <c r="Q1370" s="5">
        <v>5</v>
      </c>
      <c r="R1370" s="8">
        <v>3</v>
      </c>
      <c r="S1370" s="8">
        <v>4</v>
      </c>
      <c r="T1370" s="8">
        <v>1</v>
      </c>
      <c r="U1370" s="8">
        <v>4</v>
      </c>
      <c r="V1370" s="8">
        <v>7</v>
      </c>
      <c r="W1370" t="s">
        <v>473</v>
      </c>
      <c r="X1370" t="s">
        <v>473</v>
      </c>
      <c r="Y1370" t="s">
        <v>473</v>
      </c>
      <c r="Z1370" t="s">
        <v>473</v>
      </c>
      <c r="AA1370" t="s">
        <v>473</v>
      </c>
      <c r="AB1370" t="s">
        <v>473</v>
      </c>
      <c r="AC1370" s="10">
        <v>3</v>
      </c>
      <c r="AD1370" s="10">
        <v>11</v>
      </c>
      <c r="AE1370" t="s">
        <v>473</v>
      </c>
    </row>
    <row r="1371" spans="1:31" x14ac:dyDescent="0.25">
      <c r="A1371">
        <v>10476</v>
      </c>
      <c r="B1371">
        <v>1958</v>
      </c>
      <c r="C1371" t="s">
        <v>466</v>
      </c>
      <c r="D1371" t="s">
        <v>34</v>
      </c>
      <c r="E1371" t="str">
        <f>IF(OR(Table1[[#This Row],[marital_status]]="Married", Table1[[#This Row],[marital_status]]="Together"), "Partnered", "Single")</f>
        <v>Partnered</v>
      </c>
      <c r="F1371" s="7">
        <v>67267</v>
      </c>
      <c r="G1371" s="8">
        <v>0</v>
      </c>
      <c r="H1371" s="8">
        <v>1</v>
      </c>
      <c r="I1371" s="8">
        <f>Table1[[#This Row],[kids]]+Table1[[#This Row],[teens]]</f>
        <v>1</v>
      </c>
      <c r="J1371" s="9">
        <v>41772</v>
      </c>
      <c r="K1371" s="8">
        <v>0</v>
      </c>
      <c r="L1371" s="6">
        <v>134</v>
      </c>
      <c r="M1371" s="5">
        <v>11</v>
      </c>
      <c r="N1371" s="5">
        <v>59</v>
      </c>
      <c r="O1371" s="5">
        <v>15</v>
      </c>
      <c r="P1371" s="5">
        <v>2</v>
      </c>
      <c r="Q1371" s="5">
        <v>30</v>
      </c>
      <c r="R1371" s="8">
        <v>1</v>
      </c>
      <c r="S1371" s="8">
        <v>3</v>
      </c>
      <c r="T1371" s="8">
        <v>2</v>
      </c>
      <c r="U1371" s="8">
        <v>5</v>
      </c>
      <c r="V1371" s="8">
        <v>2</v>
      </c>
      <c r="W1371" t="s">
        <v>473</v>
      </c>
      <c r="X1371" t="s">
        <v>473</v>
      </c>
      <c r="Y1371" t="s">
        <v>473</v>
      </c>
      <c r="Z1371" t="s">
        <v>473</v>
      </c>
      <c r="AA1371" t="s">
        <v>473</v>
      </c>
      <c r="AB1371" t="s">
        <v>473</v>
      </c>
      <c r="AC1371" s="10">
        <v>3</v>
      </c>
      <c r="AD1371" s="10">
        <v>11</v>
      </c>
      <c r="AE1371" t="s">
        <v>473</v>
      </c>
    </row>
    <row r="1372" spans="1:31" x14ac:dyDescent="0.25">
      <c r="A1372">
        <v>5948</v>
      </c>
      <c r="B1372">
        <v>1975</v>
      </c>
      <c r="C1372" t="s">
        <v>466</v>
      </c>
      <c r="D1372" t="s">
        <v>30</v>
      </c>
      <c r="E1372" t="str">
        <f>IF(OR(Table1[[#This Row],[marital_status]]="Married", Table1[[#This Row],[marital_status]]="Together"), "Partnered", "Single")</f>
        <v>Single</v>
      </c>
      <c r="F1372" s="7">
        <v>57338</v>
      </c>
      <c r="G1372" s="8">
        <v>0</v>
      </c>
      <c r="H1372" s="8">
        <v>1</v>
      </c>
      <c r="I1372" s="8">
        <f>Table1[[#This Row],[kids]]+Table1[[#This Row],[teens]]</f>
        <v>1</v>
      </c>
      <c r="J1372" s="9">
        <v>41758</v>
      </c>
      <c r="K1372" s="8">
        <v>96</v>
      </c>
      <c r="L1372" s="6">
        <v>143</v>
      </c>
      <c r="M1372" s="5">
        <v>6</v>
      </c>
      <c r="N1372" s="5">
        <v>52</v>
      </c>
      <c r="O1372" s="5">
        <v>11</v>
      </c>
      <c r="P1372" s="5">
        <v>8</v>
      </c>
      <c r="Q1372" s="5">
        <v>17</v>
      </c>
      <c r="R1372" s="8">
        <v>2</v>
      </c>
      <c r="S1372" s="8">
        <v>4</v>
      </c>
      <c r="T1372" s="8">
        <v>1</v>
      </c>
      <c r="U1372" s="8">
        <v>5</v>
      </c>
      <c r="V1372" s="8">
        <v>5</v>
      </c>
      <c r="W1372" t="s">
        <v>473</v>
      </c>
      <c r="X1372" t="s">
        <v>473</v>
      </c>
      <c r="Y1372" t="s">
        <v>473</v>
      </c>
      <c r="Z1372" t="s">
        <v>473</v>
      </c>
      <c r="AA1372" t="s">
        <v>473</v>
      </c>
      <c r="AB1372" t="s">
        <v>473</v>
      </c>
      <c r="AC1372" s="10">
        <v>3</v>
      </c>
      <c r="AD1372" s="10">
        <v>11</v>
      </c>
      <c r="AE1372" t="s">
        <v>473</v>
      </c>
    </row>
    <row r="1373" spans="1:31" x14ac:dyDescent="0.25">
      <c r="A1373">
        <v>9140</v>
      </c>
      <c r="B1373">
        <v>1960</v>
      </c>
      <c r="C1373" t="s">
        <v>46</v>
      </c>
      <c r="D1373" t="s">
        <v>31</v>
      </c>
      <c r="E1373" t="str">
        <f>IF(OR(Table1[[#This Row],[marital_status]]="Married", Table1[[#This Row],[marital_status]]="Together"), "Partnered", "Single")</f>
        <v>Partnered</v>
      </c>
      <c r="F1373" s="7">
        <v>50523</v>
      </c>
      <c r="G1373" s="8">
        <v>1</v>
      </c>
      <c r="H1373" s="8">
        <v>1</v>
      </c>
      <c r="I1373" s="8">
        <f>Table1[[#This Row],[kids]]+Table1[[#This Row],[teens]]</f>
        <v>2</v>
      </c>
      <c r="J1373" s="9">
        <v>41633</v>
      </c>
      <c r="K1373" s="8">
        <v>89</v>
      </c>
      <c r="L1373" s="6">
        <v>51</v>
      </c>
      <c r="M1373" s="5">
        <v>4</v>
      </c>
      <c r="N1373" s="5">
        <v>24</v>
      </c>
      <c r="O1373" s="5">
        <v>4</v>
      </c>
      <c r="P1373" s="5">
        <v>7</v>
      </c>
      <c r="Q1373" s="5">
        <v>1</v>
      </c>
      <c r="R1373" s="8">
        <v>2</v>
      </c>
      <c r="S1373" s="8">
        <v>2</v>
      </c>
      <c r="T1373" s="8">
        <v>0</v>
      </c>
      <c r="U1373" s="8">
        <v>4</v>
      </c>
      <c r="V1373" s="8">
        <v>6</v>
      </c>
      <c r="W1373" t="s">
        <v>473</v>
      </c>
      <c r="X1373" t="s">
        <v>473</v>
      </c>
      <c r="Y1373" t="s">
        <v>473</v>
      </c>
      <c r="Z1373" t="s">
        <v>473</v>
      </c>
      <c r="AA1373" t="s">
        <v>473</v>
      </c>
      <c r="AB1373" t="s">
        <v>473</v>
      </c>
      <c r="AC1373" s="10">
        <v>3</v>
      </c>
      <c r="AD1373" s="10">
        <v>11</v>
      </c>
      <c r="AE1373" t="s">
        <v>473</v>
      </c>
    </row>
    <row r="1374" spans="1:31" x14ac:dyDescent="0.25">
      <c r="A1374">
        <v>10258</v>
      </c>
      <c r="B1374">
        <v>1965</v>
      </c>
      <c r="C1374" t="s">
        <v>36</v>
      </c>
      <c r="D1374" t="s">
        <v>30</v>
      </c>
      <c r="E1374" t="str">
        <f>IF(OR(Table1[[#This Row],[marital_status]]="Married", Table1[[#This Row],[marital_status]]="Together"), "Partnered", "Single")</f>
        <v>Single</v>
      </c>
      <c r="F1374" s="7">
        <v>35791</v>
      </c>
      <c r="G1374" s="8">
        <v>2</v>
      </c>
      <c r="H1374" s="8">
        <v>1</v>
      </c>
      <c r="I1374" s="8">
        <f>Table1[[#This Row],[kids]]+Table1[[#This Row],[teens]]</f>
        <v>3</v>
      </c>
      <c r="J1374" s="9">
        <v>41400</v>
      </c>
      <c r="K1374" s="8">
        <v>94</v>
      </c>
      <c r="L1374" s="6">
        <v>27</v>
      </c>
      <c r="M1374" s="5">
        <v>0</v>
      </c>
      <c r="N1374" s="5">
        <v>5</v>
      </c>
      <c r="O1374" s="5">
        <v>0</v>
      </c>
      <c r="P1374" s="5">
        <v>0</v>
      </c>
      <c r="Q1374" s="5">
        <v>3</v>
      </c>
      <c r="R1374" s="8">
        <v>2</v>
      </c>
      <c r="S1374" s="8">
        <v>1</v>
      </c>
      <c r="T1374" s="8">
        <v>0</v>
      </c>
      <c r="U1374" s="8">
        <v>3</v>
      </c>
      <c r="V1374" s="8">
        <v>8</v>
      </c>
      <c r="W1374" t="s">
        <v>473</v>
      </c>
      <c r="X1374" t="s">
        <v>473</v>
      </c>
      <c r="Y1374" t="s">
        <v>473</v>
      </c>
      <c r="Z1374" t="s">
        <v>473</v>
      </c>
      <c r="AA1374" t="s">
        <v>473</v>
      </c>
      <c r="AB1374" t="s">
        <v>473</v>
      </c>
      <c r="AC1374" s="10">
        <v>3</v>
      </c>
      <c r="AD1374" s="10">
        <v>11</v>
      </c>
      <c r="AE1374" t="s">
        <v>473</v>
      </c>
    </row>
    <row r="1375" spans="1:31" x14ac:dyDescent="0.25">
      <c r="A1375">
        <v>5675</v>
      </c>
      <c r="B1375">
        <v>1960</v>
      </c>
      <c r="C1375" t="s">
        <v>33</v>
      </c>
      <c r="D1375" t="s">
        <v>37</v>
      </c>
      <c r="E1375" t="str">
        <f>IF(OR(Table1[[#This Row],[marital_status]]="Married", Table1[[#This Row],[marital_status]]="Together"), "Partnered", "Single")</f>
        <v>Single</v>
      </c>
      <c r="F1375" s="7">
        <v>50611</v>
      </c>
      <c r="G1375" s="8">
        <v>0</v>
      </c>
      <c r="H1375" s="8">
        <v>1</v>
      </c>
      <c r="I1375" s="8">
        <f>Table1[[#This Row],[kids]]+Table1[[#This Row],[teens]]</f>
        <v>1</v>
      </c>
      <c r="J1375" s="9">
        <v>41186</v>
      </c>
      <c r="K1375" s="8">
        <v>98</v>
      </c>
      <c r="L1375" s="6">
        <v>459</v>
      </c>
      <c r="M1375" s="5">
        <v>0</v>
      </c>
      <c r="N1375" s="5">
        <v>24</v>
      </c>
      <c r="O1375" s="5">
        <v>6</v>
      </c>
      <c r="P1375" s="5">
        <v>0</v>
      </c>
      <c r="Q1375" s="5">
        <v>4</v>
      </c>
      <c r="R1375" s="8">
        <v>6</v>
      </c>
      <c r="S1375" s="8">
        <v>4</v>
      </c>
      <c r="T1375" s="8">
        <v>5</v>
      </c>
      <c r="U1375" s="8">
        <v>7</v>
      </c>
      <c r="V1375" s="8">
        <v>6</v>
      </c>
      <c r="W1375" t="s">
        <v>473</v>
      </c>
      <c r="X1375" t="s">
        <v>474</v>
      </c>
      <c r="Y1375" t="s">
        <v>473</v>
      </c>
      <c r="Z1375" t="s">
        <v>473</v>
      </c>
      <c r="AA1375" t="s">
        <v>473</v>
      </c>
      <c r="AB1375" t="s">
        <v>473</v>
      </c>
      <c r="AC1375" s="10">
        <v>3</v>
      </c>
      <c r="AD1375" s="10">
        <v>11</v>
      </c>
      <c r="AE1375" t="s">
        <v>473</v>
      </c>
    </row>
    <row r="1376" spans="1:31" x14ac:dyDescent="0.25">
      <c r="A1376">
        <v>4743</v>
      </c>
      <c r="B1376">
        <v>1969</v>
      </c>
      <c r="C1376" t="s">
        <v>33</v>
      </c>
      <c r="D1376" t="s">
        <v>34</v>
      </c>
      <c r="E1376" t="str">
        <f>IF(OR(Table1[[#This Row],[marital_status]]="Married", Table1[[#This Row],[marital_status]]="Together"), "Partnered", "Single")</f>
        <v>Partnered</v>
      </c>
      <c r="F1376" s="7">
        <v>56242</v>
      </c>
      <c r="G1376" s="8">
        <v>0</v>
      </c>
      <c r="H1376" s="8">
        <v>1</v>
      </c>
      <c r="I1376" s="8">
        <f>Table1[[#This Row],[kids]]+Table1[[#This Row],[teens]]</f>
        <v>1</v>
      </c>
      <c r="J1376" s="9">
        <v>41336</v>
      </c>
      <c r="K1376" s="8">
        <v>72</v>
      </c>
      <c r="L1376" s="6">
        <v>689</v>
      </c>
      <c r="M1376" s="5">
        <v>8</v>
      </c>
      <c r="N1376" s="5">
        <v>167</v>
      </c>
      <c r="O1376" s="5">
        <v>11</v>
      </c>
      <c r="P1376" s="5">
        <v>8</v>
      </c>
      <c r="Q1376" s="5">
        <v>88</v>
      </c>
      <c r="R1376" s="8">
        <v>5</v>
      </c>
      <c r="S1376" s="8">
        <v>8</v>
      </c>
      <c r="T1376" s="8">
        <v>4</v>
      </c>
      <c r="U1376" s="8">
        <v>11</v>
      </c>
      <c r="V1376" s="8">
        <v>6</v>
      </c>
      <c r="W1376" t="s">
        <v>473</v>
      </c>
      <c r="X1376" t="s">
        <v>473</v>
      </c>
      <c r="Y1376" t="s">
        <v>473</v>
      </c>
      <c r="Z1376" t="s">
        <v>473</v>
      </c>
      <c r="AA1376" t="s">
        <v>473</v>
      </c>
      <c r="AB1376" t="s">
        <v>473</v>
      </c>
      <c r="AC1376" s="10">
        <v>3</v>
      </c>
      <c r="AD1376" s="10">
        <v>11</v>
      </c>
      <c r="AE1376" t="s">
        <v>473</v>
      </c>
    </row>
    <row r="1377" spans="1:31" x14ac:dyDescent="0.25">
      <c r="A1377">
        <v>8805</v>
      </c>
      <c r="B1377">
        <v>1960</v>
      </c>
      <c r="C1377" t="s">
        <v>466</v>
      </c>
      <c r="D1377" t="s">
        <v>30</v>
      </c>
      <c r="E1377" t="str">
        <f>IF(OR(Table1[[#This Row],[marital_status]]="Married", Table1[[#This Row],[marital_status]]="Together"), "Partnered", "Single")</f>
        <v>Single</v>
      </c>
      <c r="F1377" s="7">
        <v>48904</v>
      </c>
      <c r="G1377" s="8">
        <v>0</v>
      </c>
      <c r="H1377" s="8">
        <v>1</v>
      </c>
      <c r="I1377" s="8">
        <f>Table1[[#This Row],[kids]]+Table1[[#This Row],[teens]]</f>
        <v>1</v>
      </c>
      <c r="J1377" s="9">
        <v>41245</v>
      </c>
      <c r="K1377" s="8">
        <v>1</v>
      </c>
      <c r="L1377" s="6">
        <v>283</v>
      </c>
      <c r="M1377" s="5">
        <v>10</v>
      </c>
      <c r="N1377" s="5">
        <v>38</v>
      </c>
      <c r="O1377" s="5">
        <v>0</v>
      </c>
      <c r="P1377" s="5">
        <v>13</v>
      </c>
      <c r="Q1377" s="5">
        <v>27</v>
      </c>
      <c r="R1377" s="8">
        <v>4</v>
      </c>
      <c r="S1377" s="8">
        <v>7</v>
      </c>
      <c r="T1377" s="8">
        <v>2</v>
      </c>
      <c r="U1377" s="8">
        <v>4</v>
      </c>
      <c r="V1377" s="8">
        <v>8</v>
      </c>
      <c r="W1377" t="s">
        <v>473</v>
      </c>
      <c r="X1377" t="s">
        <v>473</v>
      </c>
      <c r="Y1377" t="s">
        <v>473</v>
      </c>
      <c r="Z1377" t="s">
        <v>473</v>
      </c>
      <c r="AA1377" t="s">
        <v>473</v>
      </c>
      <c r="AB1377" t="s">
        <v>473</v>
      </c>
      <c r="AC1377" s="10">
        <v>3</v>
      </c>
      <c r="AD1377" s="10">
        <v>11</v>
      </c>
      <c r="AE1377" t="s">
        <v>473</v>
      </c>
    </row>
    <row r="1378" spans="1:31" x14ac:dyDescent="0.25">
      <c r="A1378">
        <v>1542</v>
      </c>
      <c r="B1378">
        <v>1975</v>
      </c>
      <c r="C1378" t="s">
        <v>466</v>
      </c>
      <c r="D1378" t="s">
        <v>30</v>
      </c>
      <c r="E1378" t="str">
        <f>IF(OR(Table1[[#This Row],[marital_status]]="Married", Table1[[#This Row],[marital_status]]="Together"), "Partnered", "Single")</f>
        <v>Single</v>
      </c>
      <c r="F1378" s="7">
        <v>56243</v>
      </c>
      <c r="G1378" s="8">
        <v>1</v>
      </c>
      <c r="H1378" s="8">
        <v>2</v>
      </c>
      <c r="I1378" s="8">
        <f>Table1[[#This Row],[kids]]+Table1[[#This Row],[teens]]</f>
        <v>3</v>
      </c>
      <c r="J1378" s="9">
        <v>41638</v>
      </c>
      <c r="K1378" s="8">
        <v>26</v>
      </c>
      <c r="L1378" s="6">
        <v>347</v>
      </c>
      <c r="M1378" s="5">
        <v>0</v>
      </c>
      <c r="N1378" s="5">
        <v>35</v>
      </c>
      <c r="O1378" s="5">
        <v>4</v>
      </c>
      <c r="P1378" s="5">
        <v>3</v>
      </c>
      <c r="Q1378" s="5">
        <v>7</v>
      </c>
      <c r="R1378" s="8">
        <v>6</v>
      </c>
      <c r="S1378" s="8">
        <v>4</v>
      </c>
      <c r="T1378" s="8">
        <v>2</v>
      </c>
      <c r="U1378" s="8">
        <v>8</v>
      </c>
      <c r="V1378" s="8">
        <v>5</v>
      </c>
      <c r="W1378" t="s">
        <v>473</v>
      </c>
      <c r="X1378" t="s">
        <v>473</v>
      </c>
      <c r="Y1378" t="s">
        <v>473</v>
      </c>
      <c r="Z1378" t="s">
        <v>473</v>
      </c>
      <c r="AA1378" t="s">
        <v>473</v>
      </c>
      <c r="AB1378" t="s">
        <v>473</v>
      </c>
      <c r="AC1378" s="10">
        <v>3</v>
      </c>
      <c r="AD1378" s="10">
        <v>11</v>
      </c>
      <c r="AE1378" t="s">
        <v>473</v>
      </c>
    </row>
    <row r="1379" spans="1:31" x14ac:dyDescent="0.25">
      <c r="A1379">
        <v>6770</v>
      </c>
      <c r="B1379">
        <v>1985</v>
      </c>
      <c r="C1379" t="s">
        <v>466</v>
      </c>
      <c r="D1379" t="s">
        <v>34</v>
      </c>
      <c r="E1379" t="str">
        <f>IF(OR(Table1[[#This Row],[marital_status]]="Married", Table1[[#This Row],[marital_status]]="Together"), "Partnered", "Single")</f>
        <v>Partnered</v>
      </c>
      <c r="F1379" s="7">
        <v>21355</v>
      </c>
      <c r="G1379" s="8">
        <v>1</v>
      </c>
      <c r="H1379" s="8">
        <v>0</v>
      </c>
      <c r="I1379" s="8">
        <f>Table1[[#This Row],[kids]]+Table1[[#This Row],[teens]]</f>
        <v>1</v>
      </c>
      <c r="J1379" s="9">
        <v>41506</v>
      </c>
      <c r="K1379" s="8">
        <v>5</v>
      </c>
      <c r="L1379" s="6">
        <v>5</v>
      </c>
      <c r="M1379" s="5">
        <v>13</v>
      </c>
      <c r="N1379" s="5">
        <v>14</v>
      </c>
      <c r="O1379" s="5">
        <v>0</v>
      </c>
      <c r="P1379" s="5">
        <v>5</v>
      </c>
      <c r="Q1379" s="5">
        <v>31</v>
      </c>
      <c r="R1379" s="8">
        <v>2</v>
      </c>
      <c r="S1379" s="8">
        <v>2</v>
      </c>
      <c r="T1379" s="8">
        <v>1</v>
      </c>
      <c r="U1379" s="8">
        <v>2</v>
      </c>
      <c r="V1379" s="8">
        <v>6</v>
      </c>
      <c r="W1379" t="s">
        <v>474</v>
      </c>
      <c r="X1379" t="s">
        <v>473</v>
      </c>
      <c r="Y1379" t="s">
        <v>473</v>
      </c>
      <c r="Z1379" t="s">
        <v>473</v>
      </c>
      <c r="AA1379" t="s">
        <v>473</v>
      </c>
      <c r="AB1379" t="s">
        <v>473</v>
      </c>
      <c r="AC1379" s="10">
        <v>3</v>
      </c>
      <c r="AD1379" s="10">
        <v>11</v>
      </c>
      <c r="AE1379" t="s">
        <v>474</v>
      </c>
    </row>
    <row r="1380" spans="1:31" x14ac:dyDescent="0.25">
      <c r="A1380">
        <v>8773</v>
      </c>
      <c r="B1380">
        <v>1971</v>
      </c>
      <c r="C1380" t="s">
        <v>36</v>
      </c>
      <c r="D1380" t="s">
        <v>31</v>
      </c>
      <c r="E1380" t="str">
        <f>IF(OR(Table1[[#This Row],[marital_status]]="Married", Table1[[#This Row],[marital_status]]="Together"), "Partnered", "Single")</f>
        <v>Partnered</v>
      </c>
      <c r="F1380" s="7">
        <v>57420</v>
      </c>
      <c r="G1380" s="8">
        <v>0</v>
      </c>
      <c r="H1380" s="8">
        <v>1</v>
      </c>
      <c r="I1380" s="8">
        <f>Table1[[#This Row],[kids]]+Table1[[#This Row],[teens]]</f>
        <v>1</v>
      </c>
      <c r="J1380" s="9">
        <v>41450</v>
      </c>
      <c r="K1380" s="8">
        <v>22</v>
      </c>
      <c r="L1380" s="6">
        <v>280</v>
      </c>
      <c r="M1380" s="5">
        <v>0</v>
      </c>
      <c r="N1380" s="5">
        <v>18</v>
      </c>
      <c r="O1380" s="5">
        <v>0</v>
      </c>
      <c r="P1380" s="5">
        <v>0</v>
      </c>
      <c r="Q1380" s="5">
        <v>24</v>
      </c>
      <c r="R1380" s="8">
        <v>3</v>
      </c>
      <c r="S1380" s="8">
        <v>5</v>
      </c>
      <c r="T1380" s="8">
        <v>1</v>
      </c>
      <c r="U1380" s="8">
        <v>6</v>
      </c>
      <c r="V1380" s="8">
        <v>7</v>
      </c>
      <c r="W1380" t="s">
        <v>473</v>
      </c>
      <c r="X1380" t="s">
        <v>474</v>
      </c>
      <c r="Y1380" t="s">
        <v>473</v>
      </c>
      <c r="Z1380" t="s">
        <v>473</v>
      </c>
      <c r="AA1380" t="s">
        <v>473</v>
      </c>
      <c r="AB1380" t="s">
        <v>473</v>
      </c>
      <c r="AC1380" s="10">
        <v>3</v>
      </c>
      <c r="AD1380" s="10">
        <v>11</v>
      </c>
      <c r="AE1380" t="s">
        <v>473</v>
      </c>
    </row>
    <row r="1381" spans="1:31" x14ac:dyDescent="0.25">
      <c r="A1381">
        <v>10475</v>
      </c>
      <c r="B1381">
        <v>1970</v>
      </c>
      <c r="C1381" t="s">
        <v>36</v>
      </c>
      <c r="D1381" t="s">
        <v>31</v>
      </c>
      <c r="E1381" t="str">
        <f>IF(OR(Table1[[#This Row],[marital_status]]="Married", Table1[[#This Row],[marital_status]]="Together"), "Partnered", "Single")</f>
        <v>Partnered</v>
      </c>
      <c r="F1381" s="7" t="s">
        <v>464</v>
      </c>
      <c r="G1381" s="8">
        <v>0</v>
      </c>
      <c r="H1381" s="8">
        <v>1</v>
      </c>
      <c r="I1381" s="8">
        <f>Table1[[#This Row],[kids]]+Table1[[#This Row],[teens]]</f>
        <v>1</v>
      </c>
      <c r="J1381" s="9">
        <v>41365</v>
      </c>
      <c r="K1381" s="8">
        <v>39</v>
      </c>
      <c r="L1381" s="6">
        <v>187</v>
      </c>
      <c r="M1381" s="5">
        <v>5</v>
      </c>
      <c r="N1381" s="5">
        <v>65</v>
      </c>
      <c r="O1381" s="5">
        <v>26</v>
      </c>
      <c r="P1381" s="5">
        <v>20</v>
      </c>
      <c r="Q1381" s="5">
        <v>14</v>
      </c>
      <c r="R1381" s="8">
        <v>2</v>
      </c>
      <c r="S1381" s="8">
        <v>4</v>
      </c>
      <c r="T1381" s="8">
        <v>2</v>
      </c>
      <c r="U1381" s="8">
        <v>6</v>
      </c>
      <c r="V1381" s="8">
        <v>5</v>
      </c>
      <c r="W1381" t="s">
        <v>473</v>
      </c>
      <c r="X1381" t="s">
        <v>473</v>
      </c>
      <c r="Y1381" t="s">
        <v>473</v>
      </c>
      <c r="Z1381" t="s">
        <v>473</v>
      </c>
      <c r="AA1381" t="s">
        <v>473</v>
      </c>
      <c r="AB1381" t="s">
        <v>473</v>
      </c>
      <c r="AC1381" s="10">
        <v>3</v>
      </c>
      <c r="AD1381" s="10">
        <v>11</v>
      </c>
      <c r="AE1381" t="s">
        <v>473</v>
      </c>
    </row>
    <row r="1382" spans="1:31" x14ac:dyDescent="0.25">
      <c r="A1382">
        <v>10420</v>
      </c>
      <c r="B1382">
        <v>1955</v>
      </c>
      <c r="C1382" t="s">
        <v>36</v>
      </c>
      <c r="D1382" t="s">
        <v>37</v>
      </c>
      <c r="E1382" t="str">
        <f>IF(OR(Table1[[#This Row],[marital_status]]="Married", Table1[[#This Row],[marital_status]]="Together"), "Partnered", "Single")</f>
        <v>Single</v>
      </c>
      <c r="F1382" s="7">
        <v>46390</v>
      </c>
      <c r="G1382" s="8">
        <v>0</v>
      </c>
      <c r="H1382" s="8">
        <v>1</v>
      </c>
      <c r="I1382" s="8">
        <f>Table1[[#This Row],[kids]]+Table1[[#This Row],[teens]]</f>
        <v>1</v>
      </c>
      <c r="J1382" s="9">
        <v>41764</v>
      </c>
      <c r="K1382" s="8">
        <v>56</v>
      </c>
      <c r="L1382" s="6">
        <v>95</v>
      </c>
      <c r="M1382" s="5">
        <v>14</v>
      </c>
      <c r="N1382" s="5">
        <v>64</v>
      </c>
      <c r="O1382" s="5">
        <v>2</v>
      </c>
      <c r="P1382" s="5">
        <v>9</v>
      </c>
      <c r="Q1382" s="5">
        <v>38</v>
      </c>
      <c r="R1382" s="8">
        <v>1</v>
      </c>
      <c r="S1382" s="8">
        <v>4</v>
      </c>
      <c r="T1382" s="8">
        <v>2</v>
      </c>
      <c r="U1382" s="8">
        <v>3</v>
      </c>
      <c r="V1382" s="8">
        <v>7</v>
      </c>
      <c r="W1382" t="s">
        <v>473</v>
      </c>
      <c r="X1382" t="s">
        <v>473</v>
      </c>
      <c r="Y1382" t="s">
        <v>473</v>
      </c>
      <c r="Z1382" t="s">
        <v>473</v>
      </c>
      <c r="AA1382" t="s">
        <v>473</v>
      </c>
      <c r="AB1382" t="s">
        <v>473</v>
      </c>
      <c r="AC1382" s="10">
        <v>3</v>
      </c>
      <c r="AD1382" s="10">
        <v>11</v>
      </c>
      <c r="AE1382" t="s">
        <v>473</v>
      </c>
    </row>
    <row r="1383" spans="1:31" x14ac:dyDescent="0.25">
      <c r="A1383">
        <v>7514</v>
      </c>
      <c r="B1383">
        <v>1956</v>
      </c>
      <c r="C1383" t="s">
        <v>46</v>
      </c>
      <c r="D1383" t="s">
        <v>31</v>
      </c>
      <c r="E1383" t="str">
        <f>IF(OR(Table1[[#This Row],[marital_status]]="Married", Table1[[#This Row],[marital_status]]="Together"), "Partnered", "Single")</f>
        <v>Partnered</v>
      </c>
      <c r="F1383" s="7">
        <v>54342</v>
      </c>
      <c r="G1383" s="8">
        <v>1</v>
      </c>
      <c r="H1383" s="8">
        <v>1</v>
      </c>
      <c r="I1383" s="8">
        <f>Table1[[#This Row],[kids]]+Table1[[#This Row],[teens]]</f>
        <v>2</v>
      </c>
      <c r="J1383" s="9">
        <v>41458</v>
      </c>
      <c r="K1383" s="8">
        <v>74</v>
      </c>
      <c r="L1383" s="6">
        <v>84</v>
      </c>
      <c r="M1383" s="5">
        <v>10</v>
      </c>
      <c r="N1383" s="5">
        <v>34</v>
      </c>
      <c r="O1383" s="5">
        <v>11</v>
      </c>
      <c r="P1383" s="5">
        <v>10</v>
      </c>
      <c r="Q1383" s="5">
        <v>28</v>
      </c>
      <c r="R1383" s="8">
        <v>4</v>
      </c>
      <c r="S1383" s="8">
        <v>3</v>
      </c>
      <c r="T1383" s="8">
        <v>1</v>
      </c>
      <c r="U1383" s="8">
        <v>4</v>
      </c>
      <c r="V1383" s="8">
        <v>6</v>
      </c>
      <c r="W1383" t="s">
        <v>473</v>
      </c>
      <c r="X1383" t="s">
        <v>473</v>
      </c>
      <c r="Y1383" t="s">
        <v>473</v>
      </c>
      <c r="Z1383" t="s">
        <v>473</v>
      </c>
      <c r="AA1383" t="s">
        <v>473</v>
      </c>
      <c r="AB1383" t="s">
        <v>473</v>
      </c>
      <c r="AC1383" s="10">
        <v>3</v>
      </c>
      <c r="AD1383" s="10">
        <v>11</v>
      </c>
      <c r="AE1383" t="s">
        <v>473</v>
      </c>
    </row>
    <row r="1384" spans="1:31" x14ac:dyDescent="0.25">
      <c r="A1384">
        <v>2902</v>
      </c>
      <c r="B1384">
        <v>1958</v>
      </c>
      <c r="C1384" t="s">
        <v>466</v>
      </c>
      <c r="D1384" t="s">
        <v>31</v>
      </c>
      <c r="E1384" t="str">
        <f>IF(OR(Table1[[#This Row],[marital_status]]="Married", Table1[[#This Row],[marital_status]]="Together"), "Partnered", "Single")</f>
        <v>Partnered</v>
      </c>
      <c r="F1384" s="7" t="s">
        <v>464</v>
      </c>
      <c r="G1384" s="8">
        <v>1</v>
      </c>
      <c r="H1384" s="8">
        <v>1</v>
      </c>
      <c r="I1384" s="8">
        <f>Table1[[#This Row],[kids]]+Table1[[#This Row],[teens]]</f>
        <v>2</v>
      </c>
      <c r="J1384" s="9">
        <v>41155</v>
      </c>
      <c r="K1384" s="8">
        <v>87</v>
      </c>
      <c r="L1384" s="6">
        <v>19</v>
      </c>
      <c r="M1384" s="5">
        <v>4</v>
      </c>
      <c r="N1384" s="5">
        <v>12</v>
      </c>
      <c r="O1384" s="5">
        <v>2</v>
      </c>
      <c r="P1384" s="5">
        <v>2</v>
      </c>
      <c r="Q1384" s="5">
        <v>6</v>
      </c>
      <c r="R1384" s="8">
        <v>1</v>
      </c>
      <c r="S1384" s="8">
        <v>1</v>
      </c>
      <c r="T1384" s="8">
        <v>0</v>
      </c>
      <c r="U1384" s="8">
        <v>3</v>
      </c>
      <c r="V1384" s="8">
        <v>5</v>
      </c>
      <c r="W1384" t="s">
        <v>473</v>
      </c>
      <c r="X1384" t="s">
        <v>473</v>
      </c>
      <c r="Y1384" t="s">
        <v>473</v>
      </c>
      <c r="Z1384" t="s">
        <v>473</v>
      </c>
      <c r="AA1384" t="s">
        <v>473</v>
      </c>
      <c r="AB1384" t="s">
        <v>473</v>
      </c>
      <c r="AC1384" s="10">
        <v>3</v>
      </c>
      <c r="AD1384" s="10">
        <v>11</v>
      </c>
      <c r="AE1384" t="s">
        <v>473</v>
      </c>
    </row>
    <row r="1385" spans="1:31" x14ac:dyDescent="0.25">
      <c r="A1385">
        <v>4345</v>
      </c>
      <c r="B1385">
        <v>1964</v>
      </c>
      <c r="C1385" t="s">
        <v>46</v>
      </c>
      <c r="D1385" t="s">
        <v>30</v>
      </c>
      <c r="E1385" t="str">
        <f>IF(OR(Table1[[#This Row],[marital_status]]="Married", Table1[[#This Row],[marital_status]]="Together"), "Partnered", "Single")</f>
        <v>Single</v>
      </c>
      <c r="F1385" s="7" t="s">
        <v>464</v>
      </c>
      <c r="G1385" s="8">
        <v>1</v>
      </c>
      <c r="H1385" s="8">
        <v>1</v>
      </c>
      <c r="I1385" s="8">
        <f>Table1[[#This Row],[kids]]+Table1[[#This Row],[teens]]</f>
        <v>2</v>
      </c>
      <c r="J1385" s="9">
        <v>41651</v>
      </c>
      <c r="K1385" s="8">
        <v>49</v>
      </c>
      <c r="L1385" s="6">
        <v>5</v>
      </c>
      <c r="M1385" s="5">
        <v>1</v>
      </c>
      <c r="N1385" s="5">
        <v>9</v>
      </c>
      <c r="O1385" s="5">
        <v>2</v>
      </c>
      <c r="P1385" s="5">
        <v>0</v>
      </c>
      <c r="Q1385" s="5">
        <v>4</v>
      </c>
      <c r="R1385" s="8">
        <v>1</v>
      </c>
      <c r="S1385" s="8">
        <v>1</v>
      </c>
      <c r="T1385" s="8">
        <v>0</v>
      </c>
      <c r="U1385" s="8">
        <v>2</v>
      </c>
      <c r="V1385" s="8">
        <v>7</v>
      </c>
      <c r="W1385" t="s">
        <v>473</v>
      </c>
      <c r="X1385" t="s">
        <v>473</v>
      </c>
      <c r="Y1385" t="s">
        <v>473</v>
      </c>
      <c r="Z1385" t="s">
        <v>473</v>
      </c>
      <c r="AA1385" t="s">
        <v>473</v>
      </c>
      <c r="AB1385" t="s">
        <v>473</v>
      </c>
      <c r="AC1385" s="10">
        <v>3</v>
      </c>
      <c r="AD1385" s="10">
        <v>11</v>
      </c>
      <c r="AE1385" t="s">
        <v>473</v>
      </c>
    </row>
    <row r="1386" spans="1:31" x14ac:dyDescent="0.25">
      <c r="A1386">
        <v>793</v>
      </c>
      <c r="B1386">
        <v>1973</v>
      </c>
      <c r="C1386" t="s">
        <v>466</v>
      </c>
      <c r="D1386" t="s">
        <v>34</v>
      </c>
      <c r="E1386" t="str">
        <f>IF(OR(Table1[[#This Row],[marital_status]]="Married", Table1[[#This Row],[marital_status]]="Together"), "Partnered", "Single")</f>
        <v>Partnered</v>
      </c>
      <c r="F1386" s="7">
        <v>20895</v>
      </c>
      <c r="G1386" s="8">
        <v>1</v>
      </c>
      <c r="H1386" s="8">
        <v>0</v>
      </c>
      <c r="I1386" s="8">
        <f>Table1[[#This Row],[kids]]+Table1[[#This Row],[teens]]</f>
        <v>1</v>
      </c>
      <c r="J1386" s="9">
        <v>41188</v>
      </c>
      <c r="K1386" s="8">
        <v>24</v>
      </c>
      <c r="L1386" s="6">
        <v>18</v>
      </c>
      <c r="M1386" s="5">
        <v>3</v>
      </c>
      <c r="N1386" s="5">
        <v>17</v>
      </c>
      <c r="O1386" s="5">
        <v>3</v>
      </c>
      <c r="P1386" s="5">
        <v>0</v>
      </c>
      <c r="Q1386" s="5">
        <v>4</v>
      </c>
      <c r="R1386" s="8">
        <v>1</v>
      </c>
      <c r="S1386" s="8">
        <v>2</v>
      </c>
      <c r="T1386" s="8">
        <v>0</v>
      </c>
      <c r="U1386" s="8">
        <v>3</v>
      </c>
      <c r="V1386" s="8">
        <v>9</v>
      </c>
      <c r="W1386" t="s">
        <v>473</v>
      </c>
      <c r="X1386" t="s">
        <v>473</v>
      </c>
      <c r="Y1386" t="s">
        <v>473</v>
      </c>
      <c r="Z1386" t="s">
        <v>473</v>
      </c>
      <c r="AA1386" t="s">
        <v>473</v>
      </c>
      <c r="AB1386" t="s">
        <v>473</v>
      </c>
      <c r="AC1386" s="10">
        <v>3</v>
      </c>
      <c r="AD1386" s="10">
        <v>11</v>
      </c>
      <c r="AE1386" t="s">
        <v>473</v>
      </c>
    </row>
    <row r="1387" spans="1:31" x14ac:dyDescent="0.25">
      <c r="A1387">
        <v>10909</v>
      </c>
      <c r="B1387">
        <v>1948</v>
      </c>
      <c r="C1387" t="s">
        <v>466</v>
      </c>
      <c r="D1387" t="s">
        <v>34</v>
      </c>
      <c r="E1387" t="str">
        <f>IF(OR(Table1[[#This Row],[marital_status]]="Married", Table1[[#This Row],[marital_status]]="Together"), "Partnered", "Single")</f>
        <v>Partnered</v>
      </c>
      <c r="F1387" s="7">
        <v>92344</v>
      </c>
      <c r="G1387" s="8">
        <v>0</v>
      </c>
      <c r="H1387" s="8">
        <v>0</v>
      </c>
      <c r="I1387" s="8">
        <f>Table1[[#This Row],[kids]]+Table1[[#This Row],[teens]]</f>
        <v>0</v>
      </c>
      <c r="J1387" s="9">
        <v>41654</v>
      </c>
      <c r="K1387" s="8">
        <v>9</v>
      </c>
      <c r="L1387" s="6">
        <v>992</v>
      </c>
      <c r="M1387" s="5">
        <v>24</v>
      </c>
      <c r="N1387" s="5">
        <v>694</v>
      </c>
      <c r="O1387" s="5">
        <v>51</v>
      </c>
      <c r="P1387" s="5">
        <v>19</v>
      </c>
      <c r="Q1387" s="5">
        <v>119</v>
      </c>
      <c r="R1387" s="8">
        <v>0</v>
      </c>
      <c r="S1387" s="8">
        <v>5</v>
      </c>
      <c r="T1387" s="8">
        <v>10</v>
      </c>
      <c r="U1387" s="8">
        <v>5</v>
      </c>
      <c r="V1387" s="8">
        <v>1</v>
      </c>
      <c r="W1387" t="s">
        <v>474</v>
      </c>
      <c r="X1387" t="s">
        <v>473</v>
      </c>
      <c r="Y1387" t="s">
        <v>474</v>
      </c>
      <c r="Z1387" t="s">
        <v>473</v>
      </c>
      <c r="AA1387" t="s">
        <v>473</v>
      </c>
      <c r="AB1387" t="s">
        <v>473</v>
      </c>
      <c r="AC1387" s="10">
        <v>3</v>
      </c>
      <c r="AD1387" s="10">
        <v>11</v>
      </c>
      <c r="AE1387" t="s">
        <v>473</v>
      </c>
    </row>
    <row r="1388" spans="1:31" x14ac:dyDescent="0.25">
      <c r="A1388">
        <v>3769</v>
      </c>
      <c r="B1388">
        <v>1972</v>
      </c>
      <c r="C1388" t="s">
        <v>33</v>
      </c>
      <c r="D1388" t="s">
        <v>31</v>
      </c>
      <c r="E1388" t="str">
        <f>IF(OR(Table1[[#This Row],[marital_status]]="Married", Table1[[#This Row],[marital_status]]="Together"), "Partnered", "Single")</f>
        <v>Partnered</v>
      </c>
      <c r="F1388" s="7" t="s">
        <v>464</v>
      </c>
      <c r="G1388" s="8">
        <v>1</v>
      </c>
      <c r="H1388" s="8">
        <v>0</v>
      </c>
      <c r="I1388" s="8">
        <f>Table1[[#This Row],[kids]]+Table1[[#This Row],[teens]]</f>
        <v>1</v>
      </c>
      <c r="J1388" s="9">
        <v>41700</v>
      </c>
      <c r="K1388" s="8">
        <v>17</v>
      </c>
      <c r="L1388" s="6">
        <v>25</v>
      </c>
      <c r="M1388" s="5">
        <v>1</v>
      </c>
      <c r="N1388" s="5">
        <v>13</v>
      </c>
      <c r="O1388" s="5">
        <v>0</v>
      </c>
      <c r="P1388" s="5">
        <v>0</v>
      </c>
      <c r="Q1388" s="5">
        <v>3</v>
      </c>
      <c r="R1388" s="8">
        <v>1</v>
      </c>
      <c r="S1388" s="8">
        <v>1</v>
      </c>
      <c r="T1388" s="8">
        <v>0</v>
      </c>
      <c r="U1388" s="8">
        <v>3</v>
      </c>
      <c r="V1388" s="8">
        <v>7</v>
      </c>
      <c r="W1388" t="s">
        <v>473</v>
      </c>
      <c r="X1388" t="s">
        <v>473</v>
      </c>
      <c r="Y1388" t="s">
        <v>473</v>
      </c>
      <c r="Z1388" t="s">
        <v>473</v>
      </c>
      <c r="AA1388" t="s">
        <v>473</v>
      </c>
      <c r="AB1388" t="s">
        <v>473</v>
      </c>
      <c r="AC1388" s="10">
        <v>3</v>
      </c>
      <c r="AD1388" s="10">
        <v>11</v>
      </c>
      <c r="AE1388" t="s">
        <v>473</v>
      </c>
    </row>
    <row r="1389" spans="1:31" x14ac:dyDescent="0.25">
      <c r="A1389">
        <v>8702</v>
      </c>
      <c r="B1389">
        <v>1976</v>
      </c>
      <c r="C1389" t="s">
        <v>46</v>
      </c>
      <c r="D1389" t="s">
        <v>31</v>
      </c>
      <c r="E1389" t="str">
        <f>IF(OR(Table1[[#This Row],[marital_status]]="Married", Table1[[#This Row],[marital_status]]="Together"), "Partnered", "Single")</f>
        <v>Partnered</v>
      </c>
      <c r="F1389" s="7">
        <v>26907</v>
      </c>
      <c r="G1389" s="8">
        <v>1</v>
      </c>
      <c r="H1389" s="8">
        <v>1</v>
      </c>
      <c r="I1389" s="8">
        <f>Table1[[#This Row],[kids]]+Table1[[#This Row],[teens]]</f>
        <v>2</v>
      </c>
      <c r="J1389" s="9">
        <v>41506</v>
      </c>
      <c r="K1389" s="8">
        <v>10</v>
      </c>
      <c r="L1389" s="6">
        <v>9</v>
      </c>
      <c r="M1389" s="5">
        <v>1</v>
      </c>
      <c r="N1389" s="5">
        <v>7</v>
      </c>
      <c r="O1389" s="5">
        <v>0</v>
      </c>
      <c r="P1389" s="5">
        <v>3</v>
      </c>
      <c r="Q1389" s="5">
        <v>2</v>
      </c>
      <c r="R1389" s="8">
        <v>2</v>
      </c>
      <c r="S1389" s="8">
        <v>1</v>
      </c>
      <c r="T1389" s="8">
        <v>0</v>
      </c>
      <c r="U1389" s="8">
        <v>3</v>
      </c>
      <c r="V1389" s="8">
        <v>7</v>
      </c>
      <c r="W1389" t="s">
        <v>473</v>
      </c>
      <c r="X1389" t="s">
        <v>473</v>
      </c>
      <c r="Y1389" t="s">
        <v>473</v>
      </c>
      <c r="Z1389" t="s">
        <v>473</v>
      </c>
      <c r="AA1389" t="s">
        <v>473</v>
      </c>
      <c r="AB1389" t="s">
        <v>473</v>
      </c>
      <c r="AC1389" s="10">
        <v>3</v>
      </c>
      <c r="AD1389" s="10">
        <v>11</v>
      </c>
      <c r="AE1389" t="s">
        <v>473</v>
      </c>
    </row>
    <row r="1390" spans="1:31" x14ac:dyDescent="0.25">
      <c r="A1390">
        <v>4791</v>
      </c>
      <c r="B1390">
        <v>1980</v>
      </c>
      <c r="C1390" t="s">
        <v>466</v>
      </c>
      <c r="D1390" t="s">
        <v>31</v>
      </c>
      <c r="E1390" t="str">
        <f>IF(OR(Table1[[#This Row],[marital_status]]="Married", Table1[[#This Row],[marital_status]]="Together"), "Partnered", "Single")</f>
        <v>Partnered</v>
      </c>
      <c r="F1390" s="7">
        <v>44964</v>
      </c>
      <c r="G1390" s="8">
        <v>1</v>
      </c>
      <c r="H1390" s="8">
        <v>1</v>
      </c>
      <c r="I1390" s="8">
        <f>Table1[[#This Row],[kids]]+Table1[[#This Row],[teens]]</f>
        <v>2</v>
      </c>
      <c r="J1390" s="9">
        <v>41259</v>
      </c>
      <c r="K1390" s="8">
        <v>35</v>
      </c>
      <c r="L1390" s="6">
        <v>19</v>
      </c>
      <c r="M1390" s="5">
        <v>1</v>
      </c>
      <c r="N1390" s="5">
        <v>17</v>
      </c>
      <c r="O1390" s="5">
        <v>2</v>
      </c>
      <c r="P1390" s="5">
        <v>0</v>
      </c>
      <c r="Q1390" s="5">
        <v>2</v>
      </c>
      <c r="R1390" s="8">
        <v>1</v>
      </c>
      <c r="S1390" s="8">
        <v>1</v>
      </c>
      <c r="T1390" s="8">
        <v>0</v>
      </c>
      <c r="U1390" s="8">
        <v>3</v>
      </c>
      <c r="V1390" s="8">
        <v>8</v>
      </c>
      <c r="W1390" t="s">
        <v>473</v>
      </c>
      <c r="X1390" t="s">
        <v>473</v>
      </c>
      <c r="Y1390" t="s">
        <v>473</v>
      </c>
      <c r="Z1390" t="s">
        <v>473</v>
      </c>
      <c r="AA1390" t="s">
        <v>473</v>
      </c>
      <c r="AB1390" t="s">
        <v>473</v>
      </c>
      <c r="AC1390" s="10">
        <v>3</v>
      </c>
      <c r="AD1390" s="10">
        <v>11</v>
      </c>
      <c r="AE1390" t="s">
        <v>473</v>
      </c>
    </row>
    <row r="1391" spans="1:31" x14ac:dyDescent="0.25">
      <c r="A1391">
        <v>2963</v>
      </c>
      <c r="B1391">
        <v>1979</v>
      </c>
      <c r="C1391" t="s">
        <v>466</v>
      </c>
      <c r="D1391" t="s">
        <v>31</v>
      </c>
      <c r="E1391" t="str">
        <f>IF(OR(Table1[[#This Row],[marital_status]]="Married", Table1[[#This Row],[marital_status]]="Together"), "Partnered", "Single")</f>
        <v>Partnered</v>
      </c>
      <c r="F1391" s="7">
        <v>75507</v>
      </c>
      <c r="G1391" s="8">
        <v>0</v>
      </c>
      <c r="H1391" s="8">
        <v>0</v>
      </c>
      <c r="I1391" s="8">
        <f>Table1[[#This Row],[kids]]+Table1[[#This Row],[teens]]</f>
        <v>0</v>
      </c>
      <c r="J1391" s="9">
        <v>41761</v>
      </c>
      <c r="K1391" s="8">
        <v>56</v>
      </c>
      <c r="L1391" s="6">
        <v>709</v>
      </c>
      <c r="M1391" s="5">
        <v>93</v>
      </c>
      <c r="N1391" s="5">
        <v>374</v>
      </c>
      <c r="O1391" s="5">
        <v>104</v>
      </c>
      <c r="P1391" s="5">
        <v>80</v>
      </c>
      <c r="Q1391" s="5">
        <v>80</v>
      </c>
      <c r="R1391" s="8">
        <v>1</v>
      </c>
      <c r="S1391" s="8">
        <v>8</v>
      </c>
      <c r="T1391" s="8">
        <v>6</v>
      </c>
      <c r="U1391" s="8">
        <v>6</v>
      </c>
      <c r="V1391" s="8">
        <v>3</v>
      </c>
      <c r="W1391" t="s">
        <v>473</v>
      </c>
      <c r="X1391" t="s">
        <v>473</v>
      </c>
      <c r="Y1391" t="s">
        <v>473</v>
      </c>
      <c r="Z1391" t="s">
        <v>473</v>
      </c>
      <c r="AA1391" t="s">
        <v>473</v>
      </c>
      <c r="AB1391" t="s">
        <v>473</v>
      </c>
      <c r="AC1391" s="10">
        <v>3</v>
      </c>
      <c r="AD1391" s="10">
        <v>11</v>
      </c>
      <c r="AE1391" t="s">
        <v>473</v>
      </c>
    </row>
    <row r="1392" spans="1:31" x14ac:dyDescent="0.25">
      <c r="A1392">
        <v>8216</v>
      </c>
      <c r="B1392">
        <v>1972</v>
      </c>
      <c r="C1392" t="s">
        <v>36</v>
      </c>
      <c r="D1392" t="s">
        <v>34</v>
      </c>
      <c r="E1392" t="str">
        <f>IF(OR(Table1[[#This Row],[marital_status]]="Married", Table1[[#This Row],[marital_status]]="Together"), "Partnered", "Single")</f>
        <v>Partnered</v>
      </c>
      <c r="F1392" s="7">
        <v>53761</v>
      </c>
      <c r="G1392" s="8">
        <v>1</v>
      </c>
      <c r="H1392" s="8">
        <v>1</v>
      </c>
      <c r="I1392" s="8">
        <f>Table1[[#This Row],[kids]]+Table1[[#This Row],[teens]]</f>
        <v>2</v>
      </c>
      <c r="J1392" s="9">
        <v>41558</v>
      </c>
      <c r="K1392" s="8">
        <v>7</v>
      </c>
      <c r="L1392" s="6">
        <v>158</v>
      </c>
      <c r="M1392" s="5">
        <v>0</v>
      </c>
      <c r="N1392" s="5">
        <v>76</v>
      </c>
      <c r="O1392" s="5">
        <v>13</v>
      </c>
      <c r="P1392" s="5">
        <v>7</v>
      </c>
      <c r="Q1392" s="5">
        <v>71</v>
      </c>
      <c r="R1392" s="8">
        <v>6</v>
      </c>
      <c r="S1392" s="8">
        <v>4</v>
      </c>
      <c r="T1392" s="8">
        <v>4</v>
      </c>
      <c r="U1392" s="8">
        <v>3</v>
      </c>
      <c r="V1392" s="8">
        <v>5</v>
      </c>
      <c r="W1392" t="s">
        <v>473</v>
      </c>
      <c r="X1392" t="s">
        <v>473</v>
      </c>
      <c r="Y1392" t="s">
        <v>473</v>
      </c>
      <c r="Z1392" t="s">
        <v>473</v>
      </c>
      <c r="AA1392" t="s">
        <v>473</v>
      </c>
      <c r="AB1392" t="s">
        <v>473</v>
      </c>
      <c r="AC1392" s="10">
        <v>3</v>
      </c>
      <c r="AD1392" s="10">
        <v>11</v>
      </c>
      <c r="AE1392" t="s">
        <v>473</v>
      </c>
    </row>
    <row r="1393" spans="1:31" x14ac:dyDescent="0.25">
      <c r="A1393">
        <v>8140</v>
      </c>
      <c r="B1393">
        <v>1973</v>
      </c>
      <c r="C1393" t="s">
        <v>466</v>
      </c>
      <c r="D1393" t="s">
        <v>31</v>
      </c>
      <c r="E1393" t="str">
        <f>IF(OR(Table1[[#This Row],[marital_status]]="Married", Table1[[#This Row],[marital_status]]="Together"), "Partnered", "Single")</f>
        <v>Partnered</v>
      </c>
      <c r="F1393" s="7">
        <v>22682</v>
      </c>
      <c r="G1393" s="8">
        <v>1</v>
      </c>
      <c r="H1393" s="8">
        <v>0</v>
      </c>
      <c r="I1393" s="8">
        <f>Table1[[#This Row],[kids]]+Table1[[#This Row],[teens]]</f>
        <v>1</v>
      </c>
      <c r="J1393" s="9">
        <v>41550</v>
      </c>
      <c r="K1393" s="8">
        <v>51</v>
      </c>
      <c r="L1393" s="6">
        <v>10</v>
      </c>
      <c r="M1393" s="5">
        <v>14</v>
      </c>
      <c r="N1393" s="5">
        <v>29</v>
      </c>
      <c r="O1393" s="5">
        <v>4</v>
      </c>
      <c r="P1393" s="5">
        <v>2</v>
      </c>
      <c r="Q1393" s="5">
        <v>36</v>
      </c>
      <c r="R1393" s="8">
        <v>3</v>
      </c>
      <c r="S1393" s="8">
        <v>2</v>
      </c>
      <c r="T1393" s="8">
        <v>1</v>
      </c>
      <c r="U1393" s="8">
        <v>4</v>
      </c>
      <c r="V1393" s="8">
        <v>4</v>
      </c>
      <c r="W1393" t="s">
        <v>473</v>
      </c>
      <c r="X1393" t="s">
        <v>473</v>
      </c>
      <c r="Y1393" t="s">
        <v>473</v>
      </c>
      <c r="Z1393" t="s">
        <v>473</v>
      </c>
      <c r="AA1393" t="s">
        <v>473</v>
      </c>
      <c r="AB1393" t="s">
        <v>473</v>
      </c>
      <c r="AC1393" s="10">
        <v>3</v>
      </c>
      <c r="AD1393" s="10">
        <v>11</v>
      </c>
      <c r="AE1393" t="s">
        <v>473</v>
      </c>
    </row>
    <row r="1394" spans="1:31" x14ac:dyDescent="0.25">
      <c r="A1394">
        <v>10146</v>
      </c>
      <c r="B1394">
        <v>1972</v>
      </c>
      <c r="C1394" t="s">
        <v>33</v>
      </c>
      <c r="D1394" t="s">
        <v>31</v>
      </c>
      <c r="E1394" t="str">
        <f>IF(OR(Table1[[#This Row],[marital_status]]="Married", Table1[[#This Row],[marital_status]]="Together"), "Partnered", "Single")</f>
        <v>Partnered</v>
      </c>
      <c r="F1394" s="7">
        <v>38887</v>
      </c>
      <c r="G1394" s="8">
        <v>1</v>
      </c>
      <c r="H1394" s="8">
        <v>0</v>
      </c>
      <c r="I1394" s="8">
        <f>Table1[[#This Row],[kids]]+Table1[[#This Row],[teens]]</f>
        <v>1</v>
      </c>
      <c r="J1394" s="9">
        <v>41700</v>
      </c>
      <c r="K1394" s="8">
        <v>17</v>
      </c>
      <c r="L1394" s="6">
        <v>25</v>
      </c>
      <c r="M1394" s="5">
        <v>1</v>
      </c>
      <c r="N1394" s="5">
        <v>13</v>
      </c>
      <c r="O1394" s="5">
        <v>0</v>
      </c>
      <c r="P1394" s="5">
        <v>0</v>
      </c>
      <c r="Q1394" s="5">
        <v>3</v>
      </c>
      <c r="R1394" s="8">
        <v>1</v>
      </c>
      <c r="S1394" s="8">
        <v>1</v>
      </c>
      <c r="T1394" s="8">
        <v>0</v>
      </c>
      <c r="U1394" s="8">
        <v>3</v>
      </c>
      <c r="V1394" s="8">
        <v>7</v>
      </c>
      <c r="W1394" t="s">
        <v>473</v>
      </c>
      <c r="X1394" t="s">
        <v>473</v>
      </c>
      <c r="Y1394" t="s">
        <v>473</v>
      </c>
      <c r="Z1394" t="s">
        <v>473</v>
      </c>
      <c r="AA1394" t="s">
        <v>473</v>
      </c>
      <c r="AB1394" t="s">
        <v>473</v>
      </c>
      <c r="AC1394" s="10">
        <v>3</v>
      </c>
      <c r="AD1394" s="10">
        <v>11</v>
      </c>
      <c r="AE1394" t="s">
        <v>473</v>
      </c>
    </row>
    <row r="1395" spans="1:31" x14ac:dyDescent="0.25">
      <c r="A1395">
        <v>5289</v>
      </c>
      <c r="B1395">
        <v>1975</v>
      </c>
      <c r="C1395" t="s">
        <v>46</v>
      </c>
      <c r="D1395" t="s">
        <v>30</v>
      </c>
      <c r="E1395" t="str">
        <f>IF(OR(Table1[[#This Row],[marital_status]]="Married", Table1[[#This Row],[marital_status]]="Together"), "Partnered", "Single")</f>
        <v>Single</v>
      </c>
      <c r="F1395" s="7">
        <v>41658</v>
      </c>
      <c r="G1395" s="8">
        <v>1</v>
      </c>
      <c r="H1395" s="8">
        <v>1</v>
      </c>
      <c r="I1395" s="8">
        <f>Table1[[#This Row],[kids]]+Table1[[#This Row],[teens]]</f>
        <v>2</v>
      </c>
      <c r="J1395" s="9">
        <v>41222</v>
      </c>
      <c r="K1395" s="8">
        <v>30</v>
      </c>
      <c r="L1395" s="6">
        <v>8</v>
      </c>
      <c r="M1395" s="5">
        <v>4</v>
      </c>
      <c r="N1395" s="5">
        <v>12</v>
      </c>
      <c r="O1395" s="5">
        <v>15</v>
      </c>
      <c r="P1395" s="5">
        <v>4</v>
      </c>
      <c r="Q1395" s="5">
        <v>29</v>
      </c>
      <c r="R1395" s="8">
        <v>2</v>
      </c>
      <c r="S1395" s="8">
        <v>1</v>
      </c>
      <c r="T1395" s="8">
        <v>1</v>
      </c>
      <c r="U1395" s="8">
        <v>2</v>
      </c>
      <c r="V1395" s="8">
        <v>4</v>
      </c>
      <c r="W1395" t="s">
        <v>473</v>
      </c>
      <c r="X1395" t="s">
        <v>473</v>
      </c>
      <c r="Y1395" t="s">
        <v>473</v>
      </c>
      <c r="Z1395" t="s">
        <v>473</v>
      </c>
      <c r="AA1395" t="s">
        <v>473</v>
      </c>
      <c r="AB1395" t="s">
        <v>473</v>
      </c>
      <c r="AC1395" s="10">
        <v>3</v>
      </c>
      <c r="AD1395" s="10">
        <v>11</v>
      </c>
      <c r="AE1395" t="s">
        <v>473</v>
      </c>
    </row>
    <row r="1396" spans="1:31" x14ac:dyDescent="0.25">
      <c r="A1396">
        <v>2587</v>
      </c>
      <c r="B1396">
        <v>1972</v>
      </c>
      <c r="C1396" t="s">
        <v>33</v>
      </c>
      <c r="D1396" t="s">
        <v>34</v>
      </c>
      <c r="E1396" t="str">
        <f>IF(OR(Table1[[#This Row],[marital_status]]="Married", Table1[[#This Row],[marital_status]]="Together"), "Partnered", "Single")</f>
        <v>Partnered</v>
      </c>
      <c r="F1396" s="7">
        <v>29791</v>
      </c>
      <c r="G1396" s="8">
        <v>1</v>
      </c>
      <c r="H1396" s="8">
        <v>0</v>
      </c>
      <c r="I1396" s="8">
        <f>Table1[[#This Row],[kids]]+Table1[[#This Row],[teens]]</f>
        <v>1</v>
      </c>
      <c r="J1396" s="9">
        <v>41774</v>
      </c>
      <c r="K1396" s="8">
        <v>21</v>
      </c>
      <c r="L1396" s="6">
        <v>14</v>
      </c>
      <c r="M1396" s="5">
        <v>0</v>
      </c>
      <c r="N1396" s="5">
        <v>6</v>
      </c>
      <c r="O1396" s="5">
        <v>0</v>
      </c>
      <c r="P1396" s="5">
        <v>0</v>
      </c>
      <c r="Q1396" s="5">
        <v>0</v>
      </c>
      <c r="R1396" s="8">
        <v>2</v>
      </c>
      <c r="S1396" s="8">
        <v>2</v>
      </c>
      <c r="T1396" s="8">
        <v>0</v>
      </c>
      <c r="U1396" s="8">
        <v>3</v>
      </c>
      <c r="V1396" s="8">
        <v>5</v>
      </c>
      <c r="W1396" t="s">
        <v>473</v>
      </c>
      <c r="X1396" t="s">
        <v>473</v>
      </c>
      <c r="Y1396" t="s">
        <v>473</v>
      </c>
      <c r="Z1396" t="s">
        <v>473</v>
      </c>
      <c r="AA1396" t="s">
        <v>473</v>
      </c>
      <c r="AB1396" t="s">
        <v>473</v>
      </c>
      <c r="AC1396" s="10">
        <v>3</v>
      </c>
      <c r="AD1396" s="10">
        <v>11</v>
      </c>
      <c r="AE1396" t="s">
        <v>473</v>
      </c>
    </row>
    <row r="1397" spans="1:31" x14ac:dyDescent="0.25">
      <c r="A1397">
        <v>4405</v>
      </c>
      <c r="B1397">
        <v>1956</v>
      </c>
      <c r="C1397" t="s">
        <v>36</v>
      </c>
      <c r="D1397" t="s">
        <v>34</v>
      </c>
      <c r="E1397" t="str">
        <f>IF(OR(Table1[[#This Row],[marital_status]]="Married", Table1[[#This Row],[marital_status]]="Together"), "Partnered", "Single")</f>
        <v>Partnered</v>
      </c>
      <c r="F1397" s="7">
        <v>63915</v>
      </c>
      <c r="G1397" s="8">
        <v>0</v>
      </c>
      <c r="H1397" s="8">
        <v>2</v>
      </c>
      <c r="I1397" s="8">
        <f>Table1[[#This Row],[kids]]+Table1[[#This Row],[teens]]</f>
        <v>2</v>
      </c>
      <c r="J1397" s="9">
        <v>41485</v>
      </c>
      <c r="K1397" s="8">
        <v>2</v>
      </c>
      <c r="L1397" s="6">
        <v>622</v>
      </c>
      <c r="M1397" s="5">
        <v>7</v>
      </c>
      <c r="N1397" s="5">
        <v>115</v>
      </c>
      <c r="O1397" s="5">
        <v>30</v>
      </c>
      <c r="P1397" s="5">
        <v>0</v>
      </c>
      <c r="Q1397" s="5">
        <v>15</v>
      </c>
      <c r="R1397" s="8">
        <v>2</v>
      </c>
      <c r="S1397" s="8">
        <v>6</v>
      </c>
      <c r="T1397" s="8">
        <v>3</v>
      </c>
      <c r="U1397" s="8">
        <v>12</v>
      </c>
      <c r="V1397" s="8">
        <v>5</v>
      </c>
      <c r="W1397" t="s">
        <v>473</v>
      </c>
      <c r="X1397" t="s">
        <v>473</v>
      </c>
      <c r="Y1397" t="s">
        <v>473</v>
      </c>
      <c r="Z1397" t="s">
        <v>473</v>
      </c>
      <c r="AA1397" t="s">
        <v>473</v>
      </c>
      <c r="AB1397" t="s">
        <v>473</v>
      </c>
      <c r="AC1397" s="10">
        <v>3</v>
      </c>
      <c r="AD1397" s="10">
        <v>11</v>
      </c>
      <c r="AE1397" t="s">
        <v>473</v>
      </c>
    </row>
    <row r="1398" spans="1:31" x14ac:dyDescent="0.25">
      <c r="A1398">
        <v>8663</v>
      </c>
      <c r="B1398">
        <v>1974</v>
      </c>
      <c r="C1398" t="s">
        <v>466</v>
      </c>
      <c r="D1398" t="s">
        <v>37</v>
      </c>
      <c r="E1398" t="str">
        <f>IF(OR(Table1[[#This Row],[marital_status]]="Married", Table1[[#This Row],[marital_status]]="Together"), "Partnered", "Single")</f>
        <v>Single</v>
      </c>
      <c r="F1398" s="7">
        <v>39996</v>
      </c>
      <c r="G1398" s="8">
        <v>1</v>
      </c>
      <c r="H1398" s="8">
        <v>1</v>
      </c>
      <c r="I1398" s="8">
        <f>Table1[[#This Row],[kids]]+Table1[[#This Row],[teens]]</f>
        <v>2</v>
      </c>
      <c r="J1398" s="9">
        <v>41781</v>
      </c>
      <c r="K1398" s="8">
        <v>85</v>
      </c>
      <c r="L1398" s="6">
        <v>11</v>
      </c>
      <c r="M1398" s="5">
        <v>0</v>
      </c>
      <c r="N1398" s="5">
        <v>3</v>
      </c>
      <c r="O1398" s="5">
        <v>0</v>
      </c>
      <c r="P1398" s="5">
        <v>0</v>
      </c>
      <c r="Q1398" s="5">
        <v>1</v>
      </c>
      <c r="R1398" s="8">
        <v>1</v>
      </c>
      <c r="S1398" s="8">
        <v>1</v>
      </c>
      <c r="T1398" s="8">
        <v>0</v>
      </c>
      <c r="U1398" s="8">
        <v>2</v>
      </c>
      <c r="V1398" s="8">
        <v>6</v>
      </c>
      <c r="W1398" t="s">
        <v>473</v>
      </c>
      <c r="X1398" t="s">
        <v>473</v>
      </c>
      <c r="Y1398" t="s">
        <v>473</v>
      </c>
      <c r="Z1398" t="s">
        <v>473</v>
      </c>
      <c r="AA1398" t="s">
        <v>473</v>
      </c>
      <c r="AB1398" t="s">
        <v>473</v>
      </c>
      <c r="AC1398" s="10">
        <v>3</v>
      </c>
      <c r="AD1398" s="10">
        <v>11</v>
      </c>
      <c r="AE1398" t="s">
        <v>473</v>
      </c>
    </row>
    <row r="1399" spans="1:31" x14ac:dyDescent="0.25">
      <c r="A1399">
        <v>2589</v>
      </c>
      <c r="B1399">
        <v>1972</v>
      </c>
      <c r="C1399" t="s">
        <v>466</v>
      </c>
      <c r="D1399" t="s">
        <v>37</v>
      </c>
      <c r="E1399" t="str">
        <f>IF(OR(Table1[[#This Row],[marital_status]]="Married", Table1[[#This Row],[marital_status]]="Together"), "Partnered", "Single")</f>
        <v>Single</v>
      </c>
      <c r="F1399" s="7">
        <v>26759</v>
      </c>
      <c r="G1399" s="8">
        <v>1</v>
      </c>
      <c r="H1399" s="8">
        <v>0</v>
      </c>
      <c r="I1399" s="8">
        <f>Table1[[#This Row],[kids]]+Table1[[#This Row],[teens]]</f>
        <v>1</v>
      </c>
      <c r="J1399" s="9">
        <v>41677</v>
      </c>
      <c r="K1399" s="8">
        <v>65</v>
      </c>
      <c r="L1399" s="6">
        <v>25</v>
      </c>
      <c r="M1399" s="5">
        <v>3</v>
      </c>
      <c r="N1399" s="5">
        <v>16</v>
      </c>
      <c r="O1399" s="5">
        <v>8</v>
      </c>
      <c r="P1399" s="5">
        <v>5</v>
      </c>
      <c r="Q1399" s="5">
        <v>2</v>
      </c>
      <c r="R1399" s="8">
        <v>2</v>
      </c>
      <c r="S1399" s="8">
        <v>2</v>
      </c>
      <c r="T1399" s="8">
        <v>1</v>
      </c>
      <c r="U1399" s="8">
        <v>3</v>
      </c>
      <c r="V1399" s="8">
        <v>6</v>
      </c>
      <c r="W1399" t="s">
        <v>473</v>
      </c>
      <c r="X1399" t="s">
        <v>473</v>
      </c>
      <c r="Y1399" t="s">
        <v>473</v>
      </c>
      <c r="Z1399" t="s">
        <v>473</v>
      </c>
      <c r="AA1399" t="s">
        <v>473</v>
      </c>
      <c r="AB1399" t="s">
        <v>473</v>
      </c>
      <c r="AC1399" s="10">
        <v>3</v>
      </c>
      <c r="AD1399" s="10">
        <v>11</v>
      </c>
      <c r="AE1399" t="s">
        <v>473</v>
      </c>
    </row>
    <row r="1400" spans="1:31" x14ac:dyDescent="0.25">
      <c r="A1400">
        <v>3421</v>
      </c>
      <c r="B1400">
        <v>1968</v>
      </c>
      <c r="C1400" t="s">
        <v>36</v>
      </c>
      <c r="D1400" t="s">
        <v>37</v>
      </c>
      <c r="E1400" t="str">
        <f>IF(OR(Table1[[#This Row],[marital_status]]="Married", Table1[[#This Row],[marital_status]]="Together"), "Partnered", "Single")</f>
        <v>Single</v>
      </c>
      <c r="F1400" s="7">
        <v>63841</v>
      </c>
      <c r="G1400" s="8">
        <v>0</v>
      </c>
      <c r="H1400" s="8">
        <v>1</v>
      </c>
      <c r="I1400" s="8">
        <f>Table1[[#This Row],[kids]]+Table1[[#This Row],[teens]]</f>
        <v>1</v>
      </c>
      <c r="J1400" s="9">
        <v>41385</v>
      </c>
      <c r="K1400" s="8">
        <v>64</v>
      </c>
      <c r="L1400" s="6">
        <v>635</v>
      </c>
      <c r="M1400" s="5">
        <v>15</v>
      </c>
      <c r="N1400" s="5">
        <v>100</v>
      </c>
      <c r="O1400" s="5">
        <v>20</v>
      </c>
      <c r="P1400" s="5">
        <v>7</v>
      </c>
      <c r="Q1400" s="5">
        <v>131</v>
      </c>
      <c r="R1400" s="8">
        <v>1</v>
      </c>
      <c r="S1400" s="8">
        <v>9</v>
      </c>
      <c r="T1400" s="8">
        <v>3</v>
      </c>
      <c r="U1400" s="8">
        <v>9</v>
      </c>
      <c r="V1400" s="8">
        <v>6</v>
      </c>
      <c r="W1400" t="s">
        <v>473</v>
      </c>
      <c r="X1400" t="s">
        <v>473</v>
      </c>
      <c r="Y1400" t="s">
        <v>473</v>
      </c>
      <c r="Z1400" t="s">
        <v>473</v>
      </c>
      <c r="AA1400" t="s">
        <v>473</v>
      </c>
      <c r="AB1400" t="s">
        <v>473</v>
      </c>
      <c r="AC1400" s="10">
        <v>3</v>
      </c>
      <c r="AD1400" s="10">
        <v>11</v>
      </c>
      <c r="AE1400" t="s">
        <v>473</v>
      </c>
    </row>
    <row r="1401" spans="1:31" x14ac:dyDescent="0.25">
      <c r="A1401">
        <v>10490</v>
      </c>
      <c r="B1401">
        <v>1969</v>
      </c>
      <c r="C1401" t="s">
        <v>33</v>
      </c>
      <c r="D1401" t="s">
        <v>34</v>
      </c>
      <c r="E1401" t="str">
        <f>IF(OR(Table1[[#This Row],[marital_status]]="Married", Table1[[#This Row],[marital_status]]="Together"), "Partnered", "Single")</f>
        <v>Partnered</v>
      </c>
      <c r="F1401" s="7">
        <v>51039</v>
      </c>
      <c r="G1401" s="8">
        <v>1</v>
      </c>
      <c r="H1401" s="8">
        <v>1</v>
      </c>
      <c r="I1401" s="8">
        <f>Table1[[#This Row],[kids]]+Table1[[#This Row],[teens]]</f>
        <v>2</v>
      </c>
      <c r="J1401" s="9">
        <v>41253</v>
      </c>
      <c r="K1401" s="8">
        <v>11</v>
      </c>
      <c r="L1401" s="6">
        <v>100</v>
      </c>
      <c r="M1401" s="5">
        <v>64</v>
      </c>
      <c r="N1401" s="5">
        <v>79</v>
      </c>
      <c r="O1401" s="5">
        <v>65</v>
      </c>
      <c r="P1401" s="5">
        <v>0</v>
      </c>
      <c r="Q1401" s="5">
        <v>109</v>
      </c>
      <c r="R1401" s="8">
        <v>2</v>
      </c>
      <c r="S1401" s="8">
        <v>6</v>
      </c>
      <c r="T1401" s="8">
        <v>2</v>
      </c>
      <c r="U1401" s="8">
        <v>4</v>
      </c>
      <c r="V1401" s="8">
        <v>7</v>
      </c>
      <c r="W1401" t="s">
        <v>473</v>
      </c>
      <c r="X1401" t="s">
        <v>473</v>
      </c>
      <c r="Y1401" t="s">
        <v>473</v>
      </c>
      <c r="Z1401" t="s">
        <v>473</v>
      </c>
      <c r="AA1401" t="s">
        <v>473</v>
      </c>
      <c r="AB1401" t="s">
        <v>473</v>
      </c>
      <c r="AC1401" s="10">
        <v>3</v>
      </c>
      <c r="AD1401" s="10">
        <v>11</v>
      </c>
      <c r="AE1401" t="s">
        <v>473</v>
      </c>
    </row>
    <row r="1402" spans="1:31" x14ac:dyDescent="0.25">
      <c r="A1402">
        <v>4094</v>
      </c>
      <c r="B1402">
        <v>1961</v>
      </c>
      <c r="C1402" t="s">
        <v>466</v>
      </c>
      <c r="D1402" t="s">
        <v>34</v>
      </c>
      <c r="E1402" t="str">
        <f>IF(OR(Table1[[#This Row],[marital_status]]="Married", Table1[[#This Row],[marital_status]]="Together"), "Partnered", "Single")</f>
        <v>Partnered</v>
      </c>
      <c r="F1402" s="7">
        <v>60544</v>
      </c>
      <c r="G1402" s="8">
        <v>1</v>
      </c>
      <c r="H1402" s="8">
        <v>1</v>
      </c>
      <c r="I1402" s="8">
        <f>Table1[[#This Row],[kids]]+Table1[[#This Row],[teens]]</f>
        <v>2</v>
      </c>
      <c r="J1402" s="9">
        <v>41146</v>
      </c>
      <c r="K1402" s="8">
        <v>92</v>
      </c>
      <c r="L1402" s="6">
        <v>201</v>
      </c>
      <c r="M1402" s="5">
        <v>2</v>
      </c>
      <c r="N1402" s="5">
        <v>43</v>
      </c>
      <c r="O1402" s="5">
        <v>3</v>
      </c>
      <c r="P1402" s="5">
        <v>5</v>
      </c>
      <c r="Q1402" s="5">
        <v>35</v>
      </c>
      <c r="R1402" s="8">
        <v>4</v>
      </c>
      <c r="S1402" s="8">
        <v>5</v>
      </c>
      <c r="T1402" s="8">
        <v>1</v>
      </c>
      <c r="U1402" s="8">
        <v>5</v>
      </c>
      <c r="V1402" s="8">
        <v>6</v>
      </c>
      <c r="W1402" t="s">
        <v>473</v>
      </c>
      <c r="X1402" t="s">
        <v>473</v>
      </c>
      <c r="Y1402" t="s">
        <v>473</v>
      </c>
      <c r="Z1402" t="s">
        <v>473</v>
      </c>
      <c r="AA1402" t="s">
        <v>473</v>
      </c>
      <c r="AB1402" t="s">
        <v>473</v>
      </c>
      <c r="AC1402" s="10">
        <v>3</v>
      </c>
      <c r="AD1402" s="10">
        <v>11</v>
      </c>
      <c r="AE1402" t="s">
        <v>473</v>
      </c>
    </row>
    <row r="1403" spans="1:31" x14ac:dyDescent="0.25">
      <c r="A1403">
        <v>9958</v>
      </c>
      <c r="B1403">
        <v>1972</v>
      </c>
      <c r="C1403" t="s">
        <v>466</v>
      </c>
      <c r="D1403" t="s">
        <v>34</v>
      </c>
      <c r="E1403" t="str">
        <f>IF(OR(Table1[[#This Row],[marital_status]]="Married", Table1[[#This Row],[marital_status]]="Together"), "Partnered", "Single")</f>
        <v>Partnered</v>
      </c>
      <c r="F1403" s="7">
        <v>65685</v>
      </c>
      <c r="G1403" s="8">
        <v>0</v>
      </c>
      <c r="H1403" s="8">
        <v>1</v>
      </c>
      <c r="I1403" s="8">
        <f>Table1[[#This Row],[kids]]+Table1[[#This Row],[teens]]</f>
        <v>1</v>
      </c>
      <c r="J1403" s="9">
        <v>41727</v>
      </c>
      <c r="K1403" s="8">
        <v>54</v>
      </c>
      <c r="L1403" s="6">
        <v>642</v>
      </c>
      <c r="M1403" s="5">
        <v>14</v>
      </c>
      <c r="N1403" s="5">
        <v>49</v>
      </c>
      <c r="O1403" s="5">
        <v>0</v>
      </c>
      <c r="P1403" s="5">
        <v>7</v>
      </c>
      <c r="Q1403" s="5">
        <v>57</v>
      </c>
      <c r="R1403" s="8">
        <v>1</v>
      </c>
      <c r="S1403" s="8">
        <v>9</v>
      </c>
      <c r="T1403" s="8">
        <v>2</v>
      </c>
      <c r="U1403" s="8">
        <v>9</v>
      </c>
      <c r="V1403" s="8">
        <v>5</v>
      </c>
      <c r="W1403" t="s">
        <v>473</v>
      </c>
      <c r="X1403" t="s">
        <v>473</v>
      </c>
      <c r="Y1403" t="s">
        <v>473</v>
      </c>
      <c r="Z1403" t="s">
        <v>473</v>
      </c>
      <c r="AA1403" t="s">
        <v>473</v>
      </c>
      <c r="AB1403" t="s">
        <v>473</v>
      </c>
      <c r="AC1403" s="10">
        <v>3</v>
      </c>
      <c r="AD1403" s="10">
        <v>11</v>
      </c>
      <c r="AE1403" t="s">
        <v>473</v>
      </c>
    </row>
    <row r="1404" spans="1:31" x14ac:dyDescent="0.25">
      <c r="A1404">
        <v>2534</v>
      </c>
      <c r="B1404">
        <v>1953</v>
      </c>
      <c r="C1404" t="s">
        <v>466</v>
      </c>
      <c r="D1404" t="s">
        <v>34</v>
      </c>
      <c r="E1404" t="str">
        <f>IF(OR(Table1[[#This Row],[marital_status]]="Married", Table1[[#This Row],[marital_status]]="Together"), "Partnered", "Single")</f>
        <v>Partnered</v>
      </c>
      <c r="F1404" s="7">
        <v>37716</v>
      </c>
      <c r="G1404" s="8">
        <v>0</v>
      </c>
      <c r="H1404" s="8">
        <v>1</v>
      </c>
      <c r="I1404" s="8">
        <f>Table1[[#This Row],[kids]]+Table1[[#This Row],[teens]]</f>
        <v>1</v>
      </c>
      <c r="J1404" s="9">
        <v>41750</v>
      </c>
      <c r="K1404" s="8">
        <v>4</v>
      </c>
      <c r="L1404" s="6">
        <v>97</v>
      </c>
      <c r="M1404" s="5">
        <v>1</v>
      </c>
      <c r="N1404" s="5">
        <v>41</v>
      </c>
      <c r="O1404" s="5">
        <v>6</v>
      </c>
      <c r="P1404" s="5">
        <v>2</v>
      </c>
      <c r="Q1404" s="5">
        <v>41</v>
      </c>
      <c r="R1404" s="8">
        <v>2</v>
      </c>
      <c r="S1404" s="8">
        <v>4</v>
      </c>
      <c r="T1404" s="8">
        <v>1</v>
      </c>
      <c r="U1404" s="8">
        <v>3</v>
      </c>
      <c r="V1404" s="8">
        <v>7</v>
      </c>
      <c r="W1404" t="s">
        <v>473</v>
      </c>
      <c r="X1404" t="s">
        <v>473</v>
      </c>
      <c r="Y1404" t="s">
        <v>473</v>
      </c>
      <c r="Z1404" t="s">
        <v>473</v>
      </c>
      <c r="AA1404" t="s">
        <v>473</v>
      </c>
      <c r="AB1404" t="s">
        <v>473</v>
      </c>
      <c r="AC1404" s="10">
        <v>3</v>
      </c>
      <c r="AD1404" s="10">
        <v>11</v>
      </c>
      <c r="AE1404" t="s">
        <v>473</v>
      </c>
    </row>
    <row r="1405" spans="1:31" x14ac:dyDescent="0.25">
      <c r="A1405">
        <v>4188</v>
      </c>
      <c r="B1405">
        <v>1957</v>
      </c>
      <c r="C1405" t="s">
        <v>466</v>
      </c>
      <c r="D1405" t="s">
        <v>30</v>
      </c>
      <c r="E1405" t="str">
        <f>IF(OR(Table1[[#This Row],[marital_status]]="Married", Table1[[#This Row],[marital_status]]="Together"), "Partnered", "Single")</f>
        <v>Single</v>
      </c>
      <c r="F1405" s="7">
        <v>36864</v>
      </c>
      <c r="G1405" s="8">
        <v>0</v>
      </c>
      <c r="H1405" s="8">
        <v>1</v>
      </c>
      <c r="I1405" s="8">
        <f>Table1[[#This Row],[kids]]+Table1[[#This Row],[teens]]</f>
        <v>1</v>
      </c>
      <c r="J1405" s="9">
        <v>41134</v>
      </c>
      <c r="K1405" s="8">
        <v>53</v>
      </c>
      <c r="L1405" s="6">
        <v>204</v>
      </c>
      <c r="M1405" s="5">
        <v>5</v>
      </c>
      <c r="N1405" s="5">
        <v>39</v>
      </c>
      <c r="O1405" s="5">
        <v>17</v>
      </c>
      <c r="P1405" s="5">
        <v>0</v>
      </c>
      <c r="Q1405" s="5">
        <v>89</v>
      </c>
      <c r="R1405" s="8">
        <v>3</v>
      </c>
      <c r="S1405" s="8">
        <v>5</v>
      </c>
      <c r="T1405" s="8">
        <v>2</v>
      </c>
      <c r="U1405" s="8">
        <v>4</v>
      </c>
      <c r="V1405" s="8">
        <v>8</v>
      </c>
      <c r="W1405" t="s">
        <v>473</v>
      </c>
      <c r="X1405" t="s">
        <v>473</v>
      </c>
      <c r="Y1405" t="s">
        <v>473</v>
      </c>
      <c r="Z1405" t="s">
        <v>473</v>
      </c>
      <c r="AA1405" t="s">
        <v>473</v>
      </c>
      <c r="AB1405" t="s">
        <v>473</v>
      </c>
      <c r="AC1405" s="10">
        <v>3</v>
      </c>
      <c r="AD1405" s="10">
        <v>11</v>
      </c>
      <c r="AE1405" t="s">
        <v>474</v>
      </c>
    </row>
    <row r="1406" spans="1:31" x14ac:dyDescent="0.25">
      <c r="A1406">
        <v>6613</v>
      </c>
      <c r="B1406">
        <v>1970</v>
      </c>
      <c r="C1406" t="s">
        <v>36</v>
      </c>
      <c r="D1406" t="s">
        <v>34</v>
      </c>
      <c r="E1406" t="str">
        <f>IF(OR(Table1[[#This Row],[marital_status]]="Married", Table1[[#This Row],[marital_status]]="Together"), "Partnered", "Single")</f>
        <v>Partnered</v>
      </c>
      <c r="F1406" s="7">
        <v>44511</v>
      </c>
      <c r="G1406" s="8">
        <v>1</v>
      </c>
      <c r="H1406" s="8">
        <v>0</v>
      </c>
      <c r="I1406" s="8">
        <f>Table1[[#This Row],[kids]]+Table1[[#This Row],[teens]]</f>
        <v>1</v>
      </c>
      <c r="J1406" s="9">
        <v>41194</v>
      </c>
      <c r="K1406" s="8">
        <v>39</v>
      </c>
      <c r="L1406" s="6">
        <v>513</v>
      </c>
      <c r="M1406" s="5">
        <v>7</v>
      </c>
      <c r="N1406" s="5">
        <v>133</v>
      </c>
      <c r="O1406" s="5">
        <v>46</v>
      </c>
      <c r="P1406" s="5">
        <v>14</v>
      </c>
      <c r="Q1406" s="5">
        <v>14</v>
      </c>
      <c r="R1406" s="8">
        <v>6</v>
      </c>
      <c r="S1406" s="8">
        <v>8</v>
      </c>
      <c r="T1406" s="8">
        <v>4</v>
      </c>
      <c r="U1406" s="8">
        <v>8</v>
      </c>
      <c r="V1406" s="8">
        <v>8</v>
      </c>
      <c r="W1406" t="s">
        <v>473</v>
      </c>
      <c r="X1406" t="s">
        <v>473</v>
      </c>
      <c r="Y1406" t="s">
        <v>473</v>
      </c>
      <c r="Z1406" t="s">
        <v>473</v>
      </c>
      <c r="AA1406" t="s">
        <v>473</v>
      </c>
      <c r="AB1406" t="s">
        <v>473</v>
      </c>
      <c r="AC1406" s="10">
        <v>3</v>
      </c>
      <c r="AD1406" s="10">
        <v>11</v>
      </c>
      <c r="AE1406" t="s">
        <v>473</v>
      </c>
    </row>
    <row r="1407" spans="1:31" x14ac:dyDescent="0.25">
      <c r="A1407">
        <v>10827</v>
      </c>
      <c r="B1407">
        <v>1967</v>
      </c>
      <c r="C1407" t="s">
        <v>33</v>
      </c>
      <c r="D1407" t="s">
        <v>34</v>
      </c>
      <c r="E1407" t="str">
        <f>IF(OR(Table1[[#This Row],[marital_status]]="Married", Table1[[#This Row],[marital_status]]="Together"), "Partnered", "Single")</f>
        <v>Partnered</v>
      </c>
      <c r="F1407" s="7">
        <v>36947</v>
      </c>
      <c r="G1407" s="8">
        <v>1</v>
      </c>
      <c r="H1407" s="8">
        <v>1</v>
      </c>
      <c r="I1407" s="8">
        <f>Table1[[#This Row],[kids]]+Table1[[#This Row],[teens]]</f>
        <v>2</v>
      </c>
      <c r="J1407" s="9">
        <v>41128</v>
      </c>
      <c r="K1407" s="8">
        <v>49</v>
      </c>
      <c r="L1407" s="6">
        <v>88</v>
      </c>
      <c r="M1407" s="5">
        <v>3</v>
      </c>
      <c r="N1407" s="5">
        <v>21</v>
      </c>
      <c r="O1407" s="5">
        <v>4</v>
      </c>
      <c r="P1407" s="5">
        <v>1</v>
      </c>
      <c r="Q1407" s="5">
        <v>29</v>
      </c>
      <c r="R1407" s="8">
        <v>4</v>
      </c>
      <c r="S1407" s="8">
        <v>3</v>
      </c>
      <c r="T1407" s="8">
        <v>0</v>
      </c>
      <c r="U1407" s="8">
        <v>4</v>
      </c>
      <c r="V1407" s="8">
        <v>9</v>
      </c>
      <c r="W1407" t="s">
        <v>473</v>
      </c>
      <c r="X1407" t="s">
        <v>473</v>
      </c>
      <c r="Y1407" t="s">
        <v>473</v>
      </c>
      <c r="Z1407" t="s">
        <v>473</v>
      </c>
      <c r="AA1407" t="s">
        <v>473</v>
      </c>
      <c r="AB1407" t="s">
        <v>473</v>
      </c>
      <c r="AC1407" s="10">
        <v>3</v>
      </c>
      <c r="AD1407" s="10">
        <v>11</v>
      </c>
      <c r="AE1407" t="s">
        <v>473</v>
      </c>
    </row>
    <row r="1408" spans="1:31" x14ac:dyDescent="0.25">
      <c r="A1408">
        <v>5491</v>
      </c>
      <c r="B1408">
        <v>1951</v>
      </c>
      <c r="C1408" t="s">
        <v>36</v>
      </c>
      <c r="D1408" t="s">
        <v>31</v>
      </c>
      <c r="E1408" t="str">
        <f>IF(OR(Table1[[#This Row],[marital_status]]="Married", Table1[[#This Row],[marital_status]]="Together"), "Partnered", "Single")</f>
        <v>Partnered</v>
      </c>
      <c r="F1408" s="7">
        <v>47352</v>
      </c>
      <c r="G1408" s="8">
        <v>0</v>
      </c>
      <c r="H1408" s="8">
        <v>1</v>
      </c>
      <c r="I1408" s="8">
        <f>Table1[[#This Row],[kids]]+Table1[[#This Row],[teens]]</f>
        <v>1</v>
      </c>
      <c r="J1408" s="9">
        <v>41375</v>
      </c>
      <c r="K1408" s="8">
        <v>70</v>
      </c>
      <c r="L1408" s="6">
        <v>172</v>
      </c>
      <c r="M1408" s="5">
        <v>12</v>
      </c>
      <c r="N1408" s="5">
        <v>112</v>
      </c>
      <c r="O1408" s="5">
        <v>8</v>
      </c>
      <c r="P1408" s="5">
        <v>0</v>
      </c>
      <c r="Q1408" s="5">
        <v>15</v>
      </c>
      <c r="R1408" s="8">
        <v>4</v>
      </c>
      <c r="S1408" s="8">
        <v>6</v>
      </c>
      <c r="T1408" s="8">
        <v>1</v>
      </c>
      <c r="U1408" s="8">
        <v>5</v>
      </c>
      <c r="V1408" s="8">
        <v>7</v>
      </c>
      <c r="W1408" t="s">
        <v>473</v>
      </c>
      <c r="X1408" t="s">
        <v>473</v>
      </c>
      <c r="Y1408" t="s">
        <v>473</v>
      </c>
      <c r="Z1408" t="s">
        <v>473</v>
      </c>
      <c r="AA1408" t="s">
        <v>473</v>
      </c>
      <c r="AB1408" t="s">
        <v>473</v>
      </c>
      <c r="AC1408" s="10">
        <v>3</v>
      </c>
      <c r="AD1408" s="10">
        <v>11</v>
      </c>
      <c r="AE1408" t="s">
        <v>473</v>
      </c>
    </row>
    <row r="1409" spans="1:31" x14ac:dyDescent="0.25">
      <c r="A1409">
        <v>8402</v>
      </c>
      <c r="B1409">
        <v>1953</v>
      </c>
      <c r="C1409" t="s">
        <v>36</v>
      </c>
      <c r="D1409" t="s">
        <v>34</v>
      </c>
      <c r="E1409" t="str">
        <f>IF(OR(Table1[[#This Row],[marital_status]]="Married", Table1[[#This Row],[marital_status]]="Together"), "Partnered", "Single")</f>
        <v>Partnered</v>
      </c>
      <c r="F1409" s="7">
        <v>67087</v>
      </c>
      <c r="G1409" s="8">
        <v>0</v>
      </c>
      <c r="H1409" s="8">
        <v>1</v>
      </c>
      <c r="I1409" s="8">
        <f>Table1[[#This Row],[kids]]+Table1[[#This Row],[teens]]</f>
        <v>1</v>
      </c>
      <c r="J1409" s="9">
        <v>41625</v>
      </c>
      <c r="K1409" s="8">
        <v>40</v>
      </c>
      <c r="L1409" s="6">
        <v>329</v>
      </c>
      <c r="M1409" s="5">
        <v>35</v>
      </c>
      <c r="N1409" s="5">
        <v>222</v>
      </c>
      <c r="O1409" s="5">
        <v>130</v>
      </c>
      <c r="P1409" s="5">
        <v>35</v>
      </c>
      <c r="Q1409" s="5">
        <v>43</v>
      </c>
      <c r="R1409" s="8">
        <v>2</v>
      </c>
      <c r="S1409" s="8">
        <v>7</v>
      </c>
      <c r="T1409" s="8">
        <v>5</v>
      </c>
      <c r="U1409" s="8">
        <v>8</v>
      </c>
      <c r="V1409" s="8">
        <v>4</v>
      </c>
      <c r="W1409" t="s">
        <v>473</v>
      </c>
      <c r="X1409" t="s">
        <v>473</v>
      </c>
      <c r="Y1409" t="s">
        <v>473</v>
      </c>
      <c r="Z1409" t="s">
        <v>473</v>
      </c>
      <c r="AA1409" t="s">
        <v>473</v>
      </c>
      <c r="AB1409" t="s">
        <v>473</v>
      </c>
      <c r="AC1409" s="10">
        <v>3</v>
      </c>
      <c r="AD1409" s="10">
        <v>11</v>
      </c>
      <c r="AE1409" t="s">
        <v>473</v>
      </c>
    </row>
    <row r="1410" spans="1:31" x14ac:dyDescent="0.25">
      <c r="A1410">
        <v>8783</v>
      </c>
      <c r="B1410">
        <v>1950</v>
      </c>
      <c r="C1410" t="s">
        <v>466</v>
      </c>
      <c r="D1410" t="s">
        <v>34</v>
      </c>
      <c r="E1410" t="str">
        <f>IF(OR(Table1[[#This Row],[marital_status]]="Married", Table1[[#This Row],[marital_status]]="Together"), "Partnered", "Single")</f>
        <v>Partnered</v>
      </c>
      <c r="F1410" s="7">
        <v>57045</v>
      </c>
      <c r="G1410" s="8">
        <v>0</v>
      </c>
      <c r="H1410" s="8">
        <v>1</v>
      </c>
      <c r="I1410" s="8">
        <f>Table1[[#This Row],[kids]]+Table1[[#This Row],[teens]]</f>
        <v>1</v>
      </c>
      <c r="J1410" s="9">
        <v>41160</v>
      </c>
      <c r="K1410" s="8">
        <v>40</v>
      </c>
      <c r="L1410" s="6">
        <v>296</v>
      </c>
      <c r="M1410" s="5">
        <v>13</v>
      </c>
      <c r="N1410" s="5">
        <v>104</v>
      </c>
      <c r="O1410" s="5">
        <v>11</v>
      </c>
      <c r="P1410" s="5">
        <v>13</v>
      </c>
      <c r="Q1410" s="5">
        <v>17</v>
      </c>
      <c r="R1410" s="8">
        <v>3</v>
      </c>
      <c r="S1410" s="8">
        <v>4</v>
      </c>
      <c r="T1410" s="8">
        <v>2</v>
      </c>
      <c r="U1410" s="8">
        <v>9</v>
      </c>
      <c r="V1410" s="8">
        <v>3</v>
      </c>
      <c r="W1410" t="s">
        <v>473</v>
      </c>
      <c r="X1410" t="s">
        <v>473</v>
      </c>
      <c r="Y1410" t="s">
        <v>473</v>
      </c>
      <c r="Z1410" t="s">
        <v>473</v>
      </c>
      <c r="AA1410" t="s">
        <v>473</v>
      </c>
      <c r="AB1410" t="s">
        <v>473</v>
      </c>
      <c r="AC1410" s="10">
        <v>3</v>
      </c>
      <c r="AD1410" s="10">
        <v>11</v>
      </c>
      <c r="AE1410" t="s">
        <v>473</v>
      </c>
    </row>
    <row r="1411" spans="1:31" x14ac:dyDescent="0.25">
      <c r="A1411">
        <v>10010</v>
      </c>
      <c r="B1411">
        <v>1953</v>
      </c>
      <c r="C1411" t="s">
        <v>33</v>
      </c>
      <c r="D1411" t="s">
        <v>37</v>
      </c>
      <c r="E1411" t="str">
        <f>IF(OR(Table1[[#This Row],[marital_status]]="Married", Table1[[#This Row],[marital_status]]="Together"), "Partnered", "Single")</f>
        <v>Single</v>
      </c>
      <c r="F1411" s="7">
        <v>36957</v>
      </c>
      <c r="G1411" s="8">
        <v>1</v>
      </c>
      <c r="H1411" s="8">
        <v>1</v>
      </c>
      <c r="I1411" s="8">
        <f>Table1[[#This Row],[kids]]+Table1[[#This Row],[teens]]</f>
        <v>2</v>
      </c>
      <c r="J1411" s="9">
        <v>41158</v>
      </c>
      <c r="K1411" s="8">
        <v>43</v>
      </c>
      <c r="L1411" s="6">
        <v>100</v>
      </c>
      <c r="M1411" s="5">
        <v>2</v>
      </c>
      <c r="N1411" s="5">
        <v>16</v>
      </c>
      <c r="O1411" s="5">
        <v>2</v>
      </c>
      <c r="P1411" s="5">
        <v>1</v>
      </c>
      <c r="Q1411" s="5">
        <v>31</v>
      </c>
      <c r="R1411" s="8">
        <v>4</v>
      </c>
      <c r="S1411" s="8">
        <v>3</v>
      </c>
      <c r="T1411" s="8">
        <v>2</v>
      </c>
      <c r="U1411" s="8">
        <v>2</v>
      </c>
      <c r="V1411" s="8">
        <v>9</v>
      </c>
      <c r="W1411" t="s">
        <v>473</v>
      </c>
      <c r="X1411" t="s">
        <v>473</v>
      </c>
      <c r="Y1411" t="s">
        <v>473</v>
      </c>
      <c r="Z1411" t="s">
        <v>473</v>
      </c>
      <c r="AA1411" t="s">
        <v>473</v>
      </c>
      <c r="AB1411" t="s">
        <v>473</v>
      </c>
      <c r="AC1411" s="10">
        <v>3</v>
      </c>
      <c r="AD1411" s="10">
        <v>11</v>
      </c>
      <c r="AE1411" t="s">
        <v>474</v>
      </c>
    </row>
    <row r="1412" spans="1:31" x14ac:dyDescent="0.25">
      <c r="A1412">
        <v>618</v>
      </c>
      <c r="B1412">
        <v>1977</v>
      </c>
      <c r="C1412" t="s">
        <v>33</v>
      </c>
      <c r="D1412" t="s">
        <v>34</v>
      </c>
      <c r="E1412" t="str">
        <f>IF(OR(Table1[[#This Row],[marital_status]]="Married", Table1[[#This Row],[marital_status]]="Together"), "Partnered", "Single")</f>
        <v>Partnered</v>
      </c>
      <c r="F1412" s="7">
        <v>69389</v>
      </c>
      <c r="G1412" s="8">
        <v>0</v>
      </c>
      <c r="H1412" s="8">
        <v>1</v>
      </c>
      <c r="I1412" s="8">
        <f>Table1[[#This Row],[kids]]+Table1[[#This Row],[teens]]</f>
        <v>1</v>
      </c>
      <c r="J1412" s="9">
        <v>41180</v>
      </c>
      <c r="K1412" s="8">
        <v>17</v>
      </c>
      <c r="L1412" s="6">
        <v>422</v>
      </c>
      <c r="M1412" s="5">
        <v>7</v>
      </c>
      <c r="N1412" s="5">
        <v>238</v>
      </c>
      <c r="O1412" s="5">
        <v>69</v>
      </c>
      <c r="P1412" s="5">
        <v>46</v>
      </c>
      <c r="Q1412" s="5">
        <v>15</v>
      </c>
      <c r="R1412" s="8">
        <v>1</v>
      </c>
      <c r="S1412" s="8">
        <v>7</v>
      </c>
      <c r="T1412" s="8">
        <v>2</v>
      </c>
      <c r="U1412" s="8">
        <v>12</v>
      </c>
      <c r="V1412" s="8">
        <v>4</v>
      </c>
      <c r="W1412" t="s">
        <v>473</v>
      </c>
      <c r="X1412" t="s">
        <v>473</v>
      </c>
      <c r="Y1412" t="s">
        <v>473</v>
      </c>
      <c r="Z1412" t="s">
        <v>473</v>
      </c>
      <c r="AA1412" t="s">
        <v>473</v>
      </c>
      <c r="AB1412" t="s">
        <v>473</v>
      </c>
      <c r="AC1412" s="10">
        <v>3</v>
      </c>
      <c r="AD1412" s="10">
        <v>11</v>
      </c>
      <c r="AE1412" t="s">
        <v>473</v>
      </c>
    </row>
    <row r="1413" spans="1:31" x14ac:dyDescent="0.25">
      <c r="A1413">
        <v>9121</v>
      </c>
      <c r="B1413">
        <v>1972</v>
      </c>
      <c r="C1413" t="s">
        <v>466</v>
      </c>
      <c r="D1413" t="s">
        <v>34</v>
      </c>
      <c r="E1413" t="str">
        <f>IF(OR(Table1[[#This Row],[marital_status]]="Married", Table1[[#This Row],[marital_status]]="Together"), "Partnered", "Single")</f>
        <v>Partnered</v>
      </c>
      <c r="F1413" s="7">
        <v>80134</v>
      </c>
      <c r="G1413" s="8">
        <v>1</v>
      </c>
      <c r="H1413" s="8">
        <v>0</v>
      </c>
      <c r="I1413" s="8">
        <f>Table1[[#This Row],[kids]]+Table1[[#This Row],[teens]]</f>
        <v>1</v>
      </c>
      <c r="J1413" s="9">
        <v>41414</v>
      </c>
      <c r="K1413" s="8">
        <v>40</v>
      </c>
      <c r="L1413" s="6">
        <v>1218</v>
      </c>
      <c r="M1413" s="5">
        <v>16</v>
      </c>
      <c r="N1413" s="5">
        <v>272</v>
      </c>
      <c r="O1413" s="5">
        <v>104</v>
      </c>
      <c r="P1413" s="5">
        <v>0</v>
      </c>
      <c r="Q1413" s="5">
        <v>80</v>
      </c>
      <c r="R1413" s="8">
        <v>2</v>
      </c>
      <c r="S1413" s="8">
        <v>5</v>
      </c>
      <c r="T1413" s="8">
        <v>3</v>
      </c>
      <c r="U1413" s="8">
        <v>6</v>
      </c>
      <c r="V1413" s="8">
        <v>6</v>
      </c>
      <c r="W1413" t="s">
        <v>473</v>
      </c>
      <c r="X1413" t="s">
        <v>474</v>
      </c>
      <c r="Y1413" t="s">
        <v>474</v>
      </c>
      <c r="Z1413" t="s">
        <v>474</v>
      </c>
      <c r="AA1413" t="s">
        <v>473</v>
      </c>
      <c r="AB1413" t="s">
        <v>473</v>
      </c>
      <c r="AC1413" s="10">
        <v>3</v>
      </c>
      <c r="AD1413" s="10">
        <v>11</v>
      </c>
      <c r="AE1413" t="s">
        <v>474</v>
      </c>
    </row>
    <row r="1414" spans="1:31" x14ac:dyDescent="0.25">
      <c r="A1414">
        <v>361</v>
      </c>
      <c r="B1414">
        <v>1969</v>
      </c>
      <c r="C1414" t="s">
        <v>36</v>
      </c>
      <c r="D1414" t="s">
        <v>34</v>
      </c>
      <c r="E1414" t="str">
        <f>IF(OR(Table1[[#This Row],[marital_status]]="Married", Table1[[#This Row],[marital_status]]="Together"), "Partnered", "Single")</f>
        <v>Partnered</v>
      </c>
      <c r="F1414" s="7">
        <v>43142</v>
      </c>
      <c r="G1414" s="8">
        <v>1</v>
      </c>
      <c r="H1414" s="8">
        <v>1</v>
      </c>
      <c r="I1414" s="8">
        <f>Table1[[#This Row],[kids]]+Table1[[#This Row],[teens]]</f>
        <v>2</v>
      </c>
      <c r="J1414" s="9">
        <v>41688</v>
      </c>
      <c r="K1414" s="8">
        <v>84</v>
      </c>
      <c r="L1414" s="6">
        <v>5</v>
      </c>
      <c r="M1414" s="5">
        <v>1</v>
      </c>
      <c r="N1414" s="5">
        <v>7</v>
      </c>
      <c r="O1414" s="5">
        <v>2</v>
      </c>
      <c r="P1414" s="5">
        <v>1</v>
      </c>
      <c r="Q1414" s="5">
        <v>4</v>
      </c>
      <c r="R1414" s="8">
        <v>1</v>
      </c>
      <c r="S1414" s="8">
        <v>1</v>
      </c>
      <c r="T1414" s="8">
        <v>0</v>
      </c>
      <c r="U1414" s="8">
        <v>2</v>
      </c>
      <c r="V1414" s="8">
        <v>7</v>
      </c>
      <c r="W1414" t="s">
        <v>473</v>
      </c>
      <c r="X1414" t="s">
        <v>473</v>
      </c>
      <c r="Y1414" t="s">
        <v>473</v>
      </c>
      <c r="Z1414" t="s">
        <v>473</v>
      </c>
      <c r="AA1414" t="s">
        <v>473</v>
      </c>
      <c r="AB1414" t="s">
        <v>473</v>
      </c>
      <c r="AC1414" s="10">
        <v>3</v>
      </c>
      <c r="AD1414" s="10">
        <v>11</v>
      </c>
      <c r="AE1414" t="s">
        <v>473</v>
      </c>
    </row>
    <row r="1415" spans="1:31" x14ac:dyDescent="0.25">
      <c r="A1415">
        <v>4310</v>
      </c>
      <c r="B1415">
        <v>1944</v>
      </c>
      <c r="C1415" t="s">
        <v>466</v>
      </c>
      <c r="D1415" t="s">
        <v>34</v>
      </c>
      <c r="E1415" t="str">
        <f>IF(OR(Table1[[#This Row],[marital_status]]="Married", Table1[[#This Row],[marital_status]]="Together"), "Partnered", "Single")</f>
        <v>Partnered</v>
      </c>
      <c r="F1415" s="7">
        <v>80589</v>
      </c>
      <c r="G1415" s="8">
        <v>0</v>
      </c>
      <c r="H1415" s="8">
        <v>0</v>
      </c>
      <c r="I1415" s="8">
        <f>Table1[[#This Row],[kids]]+Table1[[#This Row],[teens]]</f>
        <v>0</v>
      </c>
      <c r="J1415" s="9">
        <v>41661</v>
      </c>
      <c r="K1415" s="8">
        <v>25</v>
      </c>
      <c r="L1415" s="6">
        <v>507</v>
      </c>
      <c r="M1415" s="5">
        <v>93</v>
      </c>
      <c r="N1415" s="5">
        <v>520</v>
      </c>
      <c r="O1415" s="5">
        <v>242</v>
      </c>
      <c r="P1415" s="5">
        <v>40</v>
      </c>
      <c r="Q1415" s="5">
        <v>26</v>
      </c>
      <c r="R1415" s="8">
        <v>1</v>
      </c>
      <c r="S1415" s="8">
        <v>5</v>
      </c>
      <c r="T1415" s="8">
        <v>10</v>
      </c>
      <c r="U1415" s="8">
        <v>5</v>
      </c>
      <c r="V1415" s="8">
        <v>1</v>
      </c>
      <c r="W1415" t="s">
        <v>473</v>
      </c>
      <c r="X1415" t="s">
        <v>473</v>
      </c>
      <c r="Y1415" t="s">
        <v>473</v>
      </c>
      <c r="Z1415" t="s">
        <v>474</v>
      </c>
      <c r="AA1415" t="s">
        <v>473</v>
      </c>
      <c r="AB1415" t="s">
        <v>473</v>
      </c>
      <c r="AC1415" s="10">
        <v>3</v>
      </c>
      <c r="AD1415" s="10">
        <v>11</v>
      </c>
      <c r="AE1415" t="s">
        <v>474</v>
      </c>
    </row>
    <row r="1416" spans="1:31" x14ac:dyDescent="0.25">
      <c r="A1416">
        <v>2678</v>
      </c>
      <c r="B1416">
        <v>1990</v>
      </c>
      <c r="C1416" t="s">
        <v>466</v>
      </c>
      <c r="D1416" t="s">
        <v>30</v>
      </c>
      <c r="E1416" t="str">
        <f>IF(OR(Table1[[#This Row],[marital_status]]="Married", Table1[[#This Row],[marital_status]]="Together"), "Partnered", "Single")</f>
        <v>Single</v>
      </c>
      <c r="F1416" s="7">
        <v>34412</v>
      </c>
      <c r="G1416" s="8">
        <v>1</v>
      </c>
      <c r="H1416" s="8">
        <v>0</v>
      </c>
      <c r="I1416" s="8">
        <f>Table1[[#This Row],[kids]]+Table1[[#This Row],[teens]]</f>
        <v>1</v>
      </c>
      <c r="J1416" s="9">
        <v>41318</v>
      </c>
      <c r="K1416" s="8">
        <v>62</v>
      </c>
      <c r="L1416" s="6">
        <v>52</v>
      </c>
      <c r="M1416" s="5">
        <v>12</v>
      </c>
      <c r="N1416" s="5">
        <v>50</v>
      </c>
      <c r="O1416" s="5">
        <v>4</v>
      </c>
      <c r="P1416" s="5">
        <v>36</v>
      </c>
      <c r="Q1416" s="5">
        <v>55</v>
      </c>
      <c r="R1416" s="8">
        <v>3</v>
      </c>
      <c r="S1416" s="8">
        <v>5</v>
      </c>
      <c r="T1416" s="8">
        <v>0</v>
      </c>
      <c r="U1416" s="8">
        <v>3</v>
      </c>
      <c r="V1416" s="8">
        <v>9</v>
      </c>
      <c r="W1416" t="s">
        <v>473</v>
      </c>
      <c r="X1416" t="s">
        <v>473</v>
      </c>
      <c r="Y1416" t="s">
        <v>473</v>
      </c>
      <c r="Z1416" t="s">
        <v>473</v>
      </c>
      <c r="AA1416" t="s">
        <v>473</v>
      </c>
      <c r="AB1416" t="s">
        <v>473</v>
      </c>
      <c r="AC1416" s="10">
        <v>3</v>
      </c>
      <c r="AD1416" s="10">
        <v>11</v>
      </c>
      <c r="AE1416" t="s">
        <v>473</v>
      </c>
    </row>
    <row r="1417" spans="1:31" x14ac:dyDescent="0.25">
      <c r="A1417">
        <v>6376</v>
      </c>
      <c r="B1417">
        <v>1979</v>
      </c>
      <c r="C1417" t="s">
        <v>466</v>
      </c>
      <c r="D1417" t="s">
        <v>30</v>
      </c>
      <c r="E1417" t="str">
        <f>IF(OR(Table1[[#This Row],[marital_status]]="Married", Table1[[#This Row],[marital_status]]="Together"), "Partnered", "Single")</f>
        <v>Single</v>
      </c>
      <c r="F1417" s="7">
        <v>57537</v>
      </c>
      <c r="G1417" s="8">
        <v>1</v>
      </c>
      <c r="H1417" s="8">
        <v>0</v>
      </c>
      <c r="I1417" s="8">
        <f>Table1[[#This Row],[kids]]+Table1[[#This Row],[teens]]</f>
        <v>1</v>
      </c>
      <c r="J1417" s="9">
        <v>41435</v>
      </c>
      <c r="K1417" s="8">
        <v>83</v>
      </c>
      <c r="L1417" s="6">
        <v>191</v>
      </c>
      <c r="M1417" s="5">
        <v>56</v>
      </c>
      <c r="N1417" s="5">
        <v>139</v>
      </c>
      <c r="O1417" s="5">
        <v>51</v>
      </c>
      <c r="P1417" s="5">
        <v>8</v>
      </c>
      <c r="Q1417" s="5">
        <v>100</v>
      </c>
      <c r="R1417" s="8">
        <v>4</v>
      </c>
      <c r="S1417" s="8">
        <v>4</v>
      </c>
      <c r="T1417" s="8">
        <v>3</v>
      </c>
      <c r="U1417" s="8">
        <v>8</v>
      </c>
      <c r="V1417" s="8">
        <v>4</v>
      </c>
      <c r="W1417" t="s">
        <v>473</v>
      </c>
      <c r="X1417" t="s">
        <v>473</v>
      </c>
      <c r="Y1417" t="s">
        <v>473</v>
      </c>
      <c r="Z1417" t="s">
        <v>473</v>
      </c>
      <c r="AA1417" t="s">
        <v>473</v>
      </c>
      <c r="AB1417" t="s">
        <v>473</v>
      </c>
      <c r="AC1417" s="10">
        <v>3</v>
      </c>
      <c r="AD1417" s="10">
        <v>11</v>
      </c>
      <c r="AE1417" t="s">
        <v>473</v>
      </c>
    </row>
    <row r="1418" spans="1:31" x14ac:dyDescent="0.25">
      <c r="A1418">
        <v>524</v>
      </c>
      <c r="B1418">
        <v>1966</v>
      </c>
      <c r="C1418" t="s">
        <v>41</v>
      </c>
      <c r="D1418" t="s">
        <v>31</v>
      </c>
      <c r="E1418" t="str">
        <f>IF(OR(Table1[[#This Row],[marital_status]]="Married", Table1[[#This Row],[marital_status]]="Together"), "Partnered", "Single")</f>
        <v>Partnered</v>
      </c>
      <c r="F1418" s="7">
        <v>22634</v>
      </c>
      <c r="G1418" s="8">
        <v>0</v>
      </c>
      <c r="H1418" s="8">
        <v>0</v>
      </c>
      <c r="I1418" s="8">
        <f>Table1[[#This Row],[kids]]+Table1[[#This Row],[teens]]</f>
        <v>0</v>
      </c>
      <c r="J1418" s="9">
        <v>41290</v>
      </c>
      <c r="K1418" s="8">
        <v>47</v>
      </c>
      <c r="L1418" s="6">
        <v>2</v>
      </c>
      <c r="M1418" s="5">
        <v>23</v>
      </c>
      <c r="N1418" s="5">
        <v>11</v>
      </c>
      <c r="O1418" s="5">
        <v>8</v>
      </c>
      <c r="P1418" s="5">
        <v>6</v>
      </c>
      <c r="Q1418" s="5">
        <v>46</v>
      </c>
      <c r="R1418" s="8">
        <v>1</v>
      </c>
      <c r="S1418" s="8">
        <v>2</v>
      </c>
      <c r="T1418" s="8">
        <v>1</v>
      </c>
      <c r="U1418" s="8">
        <v>2</v>
      </c>
      <c r="V1418" s="8">
        <v>8</v>
      </c>
      <c r="W1418" t="s">
        <v>473</v>
      </c>
      <c r="X1418" t="s">
        <v>473</v>
      </c>
      <c r="Y1418" t="s">
        <v>473</v>
      </c>
      <c r="Z1418" t="s">
        <v>473</v>
      </c>
      <c r="AA1418" t="s">
        <v>473</v>
      </c>
      <c r="AB1418" t="s">
        <v>473</v>
      </c>
      <c r="AC1418" s="10">
        <v>3</v>
      </c>
      <c r="AD1418" s="10">
        <v>11</v>
      </c>
      <c r="AE1418" t="s">
        <v>473</v>
      </c>
    </row>
    <row r="1419" spans="1:31" x14ac:dyDescent="0.25">
      <c r="A1419">
        <v>10341</v>
      </c>
      <c r="B1419">
        <v>1948</v>
      </c>
      <c r="C1419" t="s">
        <v>466</v>
      </c>
      <c r="D1419" t="s">
        <v>31</v>
      </c>
      <c r="E1419" t="str">
        <f>IF(OR(Table1[[#This Row],[marital_status]]="Married", Table1[[#This Row],[marital_status]]="Together"), "Partnered", "Single")</f>
        <v>Partnered</v>
      </c>
      <c r="F1419" s="7">
        <v>51315</v>
      </c>
      <c r="G1419" s="8">
        <v>0</v>
      </c>
      <c r="H1419" s="8">
        <v>0</v>
      </c>
      <c r="I1419" s="8">
        <f>Table1[[#This Row],[kids]]+Table1[[#This Row],[teens]]</f>
        <v>0</v>
      </c>
      <c r="J1419" s="9">
        <v>41693</v>
      </c>
      <c r="K1419" s="8">
        <v>45</v>
      </c>
      <c r="L1419" s="6">
        <v>68</v>
      </c>
      <c r="M1419" s="5">
        <v>28</v>
      </c>
      <c r="N1419" s="5">
        <v>39</v>
      </c>
      <c r="O1419" s="5">
        <v>16</v>
      </c>
      <c r="P1419" s="5">
        <v>30</v>
      </c>
      <c r="Q1419" s="5">
        <v>41</v>
      </c>
      <c r="R1419" s="8">
        <v>1</v>
      </c>
      <c r="S1419" s="8">
        <v>2</v>
      </c>
      <c r="T1419" s="8">
        <v>2</v>
      </c>
      <c r="U1419" s="8">
        <v>5</v>
      </c>
      <c r="V1419" s="8">
        <v>2</v>
      </c>
      <c r="W1419" t="s">
        <v>473</v>
      </c>
      <c r="X1419" t="s">
        <v>473</v>
      </c>
      <c r="Y1419" t="s">
        <v>473</v>
      </c>
      <c r="Z1419" t="s">
        <v>473</v>
      </c>
      <c r="AA1419" t="s">
        <v>473</v>
      </c>
      <c r="AB1419" t="s">
        <v>473</v>
      </c>
      <c r="AC1419" s="10">
        <v>3</v>
      </c>
      <c r="AD1419" s="10">
        <v>11</v>
      </c>
      <c r="AE1419" t="s">
        <v>473</v>
      </c>
    </row>
    <row r="1420" spans="1:31" x14ac:dyDescent="0.25">
      <c r="A1420">
        <v>5654</v>
      </c>
      <c r="B1420">
        <v>1972</v>
      </c>
      <c r="C1420" t="s">
        <v>466</v>
      </c>
      <c r="D1420" t="s">
        <v>34</v>
      </c>
      <c r="E1420" t="str">
        <f>IF(OR(Table1[[#This Row],[marital_status]]="Married", Table1[[#This Row],[marital_status]]="Together"), "Partnered", "Single")</f>
        <v>Partnered</v>
      </c>
      <c r="F1420" s="7">
        <v>36026</v>
      </c>
      <c r="G1420" s="8">
        <v>2</v>
      </c>
      <c r="H1420" s="8">
        <v>1</v>
      </c>
      <c r="I1420" s="8">
        <f>Table1[[#This Row],[kids]]+Table1[[#This Row],[teens]]</f>
        <v>3</v>
      </c>
      <c r="J1420" s="9">
        <v>41714</v>
      </c>
      <c r="K1420" s="8">
        <v>34</v>
      </c>
      <c r="L1420" s="6">
        <v>20</v>
      </c>
      <c r="M1420" s="5">
        <v>4</v>
      </c>
      <c r="N1420" s="5">
        <v>10</v>
      </c>
      <c r="O1420" s="5">
        <v>6</v>
      </c>
      <c r="P1420" s="5">
        <v>4</v>
      </c>
      <c r="Q1420" s="5">
        <v>17</v>
      </c>
      <c r="R1420" s="8">
        <v>2</v>
      </c>
      <c r="S1420" s="8">
        <v>2</v>
      </c>
      <c r="T1420" s="8">
        <v>0</v>
      </c>
      <c r="U1420" s="8">
        <v>3</v>
      </c>
      <c r="V1420" s="8">
        <v>6</v>
      </c>
      <c r="W1420" t="s">
        <v>473</v>
      </c>
      <c r="X1420" t="s">
        <v>473</v>
      </c>
      <c r="Y1420" t="s">
        <v>473</v>
      </c>
      <c r="Z1420" t="s">
        <v>473</v>
      </c>
      <c r="AA1420" t="s">
        <v>473</v>
      </c>
      <c r="AB1420" t="s">
        <v>473</v>
      </c>
      <c r="AC1420" s="10">
        <v>3</v>
      </c>
      <c r="AD1420" s="10">
        <v>11</v>
      </c>
      <c r="AE1420" t="s">
        <v>473</v>
      </c>
    </row>
    <row r="1421" spans="1:31" x14ac:dyDescent="0.25">
      <c r="A1421">
        <v>4098</v>
      </c>
      <c r="B1421">
        <v>1973</v>
      </c>
      <c r="C1421" t="s">
        <v>466</v>
      </c>
      <c r="D1421" t="s">
        <v>34</v>
      </c>
      <c r="E1421" t="str">
        <f>IF(OR(Table1[[#This Row],[marital_status]]="Married", Table1[[#This Row],[marital_status]]="Together"), "Partnered", "Single")</f>
        <v>Partnered</v>
      </c>
      <c r="F1421" s="7">
        <v>24639</v>
      </c>
      <c r="G1421" s="8">
        <v>1</v>
      </c>
      <c r="H1421" s="8">
        <v>1</v>
      </c>
      <c r="I1421" s="8">
        <f>Table1[[#This Row],[kids]]+Table1[[#This Row],[teens]]</f>
        <v>2</v>
      </c>
      <c r="J1421" s="9">
        <v>41667</v>
      </c>
      <c r="K1421" s="8">
        <v>3</v>
      </c>
      <c r="L1421" s="6">
        <v>20</v>
      </c>
      <c r="M1421" s="5">
        <v>3</v>
      </c>
      <c r="N1421" s="5">
        <v>16</v>
      </c>
      <c r="O1421" s="5">
        <v>0</v>
      </c>
      <c r="P1421" s="5">
        <v>4</v>
      </c>
      <c r="Q1421" s="5">
        <v>1</v>
      </c>
      <c r="R1421" s="8">
        <v>3</v>
      </c>
      <c r="S1421" s="8">
        <v>2</v>
      </c>
      <c r="T1421" s="8">
        <v>0</v>
      </c>
      <c r="U1421" s="8">
        <v>4</v>
      </c>
      <c r="V1421" s="8">
        <v>6</v>
      </c>
      <c r="W1421" t="s">
        <v>473</v>
      </c>
      <c r="X1421" t="s">
        <v>473</v>
      </c>
      <c r="Y1421" t="s">
        <v>473</v>
      </c>
      <c r="Z1421" t="s">
        <v>473</v>
      </c>
      <c r="AA1421" t="s">
        <v>473</v>
      </c>
      <c r="AB1421" t="s">
        <v>473</v>
      </c>
      <c r="AC1421" s="10">
        <v>3</v>
      </c>
      <c r="AD1421" s="10">
        <v>11</v>
      </c>
      <c r="AE1421" t="s">
        <v>473</v>
      </c>
    </row>
    <row r="1422" spans="1:31" x14ac:dyDescent="0.25">
      <c r="A1422">
        <v>5824</v>
      </c>
      <c r="B1422">
        <v>1972</v>
      </c>
      <c r="C1422" t="s">
        <v>33</v>
      </c>
      <c r="D1422" t="s">
        <v>31</v>
      </c>
      <c r="E1422" t="str">
        <f>IF(OR(Table1[[#This Row],[marital_status]]="Married", Table1[[#This Row],[marital_status]]="Together"), "Partnered", "Single")</f>
        <v>Partnered</v>
      </c>
      <c r="F1422" s="7">
        <v>34578</v>
      </c>
      <c r="G1422" s="8">
        <v>2</v>
      </c>
      <c r="H1422" s="8">
        <v>1</v>
      </c>
      <c r="I1422" s="8">
        <f>Table1[[#This Row],[kids]]+Table1[[#This Row],[teens]]</f>
        <v>3</v>
      </c>
      <c r="J1422" s="9">
        <v>41740</v>
      </c>
      <c r="K1422" s="8">
        <v>1</v>
      </c>
      <c r="L1422" s="6">
        <v>7</v>
      </c>
      <c r="M1422" s="5">
        <v>0</v>
      </c>
      <c r="N1422" s="5">
        <v>1</v>
      </c>
      <c r="O1422" s="5">
        <v>0</v>
      </c>
      <c r="P1422" s="5">
        <v>0</v>
      </c>
      <c r="Q1422" s="5">
        <v>0</v>
      </c>
      <c r="R1422" s="8">
        <v>1</v>
      </c>
      <c r="S1422" s="8">
        <v>1</v>
      </c>
      <c r="T1422" s="8">
        <v>0</v>
      </c>
      <c r="U1422" s="8">
        <v>2</v>
      </c>
      <c r="V1422" s="8">
        <v>6</v>
      </c>
      <c r="W1422" t="s">
        <v>473</v>
      </c>
      <c r="X1422" t="s">
        <v>473</v>
      </c>
      <c r="Y1422" t="s">
        <v>473</v>
      </c>
      <c r="Z1422" t="s">
        <v>473</v>
      </c>
      <c r="AA1422" t="s">
        <v>473</v>
      </c>
      <c r="AB1422" t="s">
        <v>473</v>
      </c>
      <c r="AC1422" s="10">
        <v>3</v>
      </c>
      <c r="AD1422" s="10">
        <v>11</v>
      </c>
      <c r="AE1422" t="s">
        <v>473</v>
      </c>
    </row>
    <row r="1423" spans="1:31" x14ac:dyDescent="0.25">
      <c r="A1423">
        <v>7000</v>
      </c>
      <c r="B1423">
        <v>1972</v>
      </c>
      <c r="C1423" t="s">
        <v>46</v>
      </c>
      <c r="D1423" t="s">
        <v>30</v>
      </c>
      <c r="E1423" t="str">
        <f>IF(OR(Table1[[#This Row],[marital_status]]="Married", Table1[[#This Row],[marital_status]]="Together"), "Partnered", "Single")</f>
        <v>Single</v>
      </c>
      <c r="F1423" s="7">
        <v>65704</v>
      </c>
      <c r="G1423" s="8">
        <v>0</v>
      </c>
      <c r="H1423" s="8">
        <v>0</v>
      </c>
      <c r="I1423" s="8">
        <f>Table1[[#This Row],[kids]]+Table1[[#This Row],[teens]]</f>
        <v>0</v>
      </c>
      <c r="J1423" s="9">
        <v>41560</v>
      </c>
      <c r="K1423" s="8">
        <v>18</v>
      </c>
      <c r="L1423" s="6">
        <v>279</v>
      </c>
      <c r="M1423" s="5">
        <v>172</v>
      </c>
      <c r="N1423" s="5">
        <v>74</v>
      </c>
      <c r="O1423" s="5">
        <v>38</v>
      </c>
      <c r="P1423" s="5">
        <v>8</v>
      </c>
      <c r="Q1423" s="5">
        <v>246</v>
      </c>
      <c r="R1423" s="8">
        <v>1</v>
      </c>
      <c r="S1423" s="8">
        <v>2</v>
      </c>
      <c r="T1423" s="8">
        <v>10</v>
      </c>
      <c r="U1423" s="8">
        <v>10</v>
      </c>
      <c r="V1423" s="8">
        <v>1</v>
      </c>
      <c r="W1423" t="s">
        <v>473</v>
      </c>
      <c r="X1423" t="s">
        <v>473</v>
      </c>
      <c r="Y1423" t="s">
        <v>473</v>
      </c>
      <c r="Z1423" t="s">
        <v>473</v>
      </c>
      <c r="AA1423" t="s">
        <v>473</v>
      </c>
      <c r="AB1423" t="s">
        <v>473</v>
      </c>
      <c r="AC1423" s="10">
        <v>3</v>
      </c>
      <c r="AD1423" s="10">
        <v>11</v>
      </c>
      <c r="AE1423" t="s">
        <v>473</v>
      </c>
    </row>
    <row r="1424" spans="1:31" x14ac:dyDescent="0.25">
      <c r="A1424">
        <v>2561</v>
      </c>
      <c r="B1424">
        <v>1966</v>
      </c>
      <c r="C1424" t="s">
        <v>466</v>
      </c>
      <c r="D1424" t="s">
        <v>30</v>
      </c>
      <c r="E1424" t="str">
        <f>IF(OR(Table1[[#This Row],[marital_status]]="Married", Table1[[#This Row],[marital_status]]="Together"), "Partnered", "Single")</f>
        <v>Single</v>
      </c>
      <c r="F1424" s="7">
        <v>63810</v>
      </c>
      <c r="G1424" s="8">
        <v>0</v>
      </c>
      <c r="H1424" s="8">
        <v>1</v>
      </c>
      <c r="I1424" s="8">
        <f>Table1[[#This Row],[kids]]+Table1[[#This Row],[teens]]</f>
        <v>1</v>
      </c>
      <c r="J1424" s="9">
        <v>41224</v>
      </c>
      <c r="K1424" s="8">
        <v>45</v>
      </c>
      <c r="L1424" s="6">
        <v>977</v>
      </c>
      <c r="M1424" s="5">
        <v>12</v>
      </c>
      <c r="N1424" s="5">
        <v>253</v>
      </c>
      <c r="O1424" s="5">
        <v>16</v>
      </c>
      <c r="P1424" s="5">
        <v>12</v>
      </c>
      <c r="Q1424" s="5">
        <v>101</v>
      </c>
      <c r="R1424" s="8">
        <v>4</v>
      </c>
      <c r="S1424" s="8">
        <v>4</v>
      </c>
      <c r="T1424" s="8">
        <v>3</v>
      </c>
      <c r="U1424" s="8">
        <v>12</v>
      </c>
      <c r="V1424" s="8">
        <v>8</v>
      </c>
      <c r="W1424" t="s">
        <v>473</v>
      </c>
      <c r="X1424" t="s">
        <v>474</v>
      </c>
      <c r="Y1424" t="s">
        <v>473</v>
      </c>
      <c r="Z1424" t="s">
        <v>473</v>
      </c>
      <c r="AA1424" t="s">
        <v>473</v>
      </c>
      <c r="AB1424" t="s">
        <v>473</v>
      </c>
      <c r="AC1424" s="10">
        <v>3</v>
      </c>
      <c r="AD1424" s="10">
        <v>11</v>
      </c>
      <c r="AE1424" t="s">
        <v>473</v>
      </c>
    </row>
    <row r="1425" spans="1:31" x14ac:dyDescent="0.25">
      <c r="A1425">
        <v>5229</v>
      </c>
      <c r="B1425">
        <v>1969</v>
      </c>
      <c r="C1425" t="s">
        <v>33</v>
      </c>
      <c r="D1425" t="s">
        <v>31</v>
      </c>
      <c r="E1425" t="str">
        <f>IF(OR(Table1[[#This Row],[marital_status]]="Married", Table1[[#This Row],[marital_status]]="Together"), "Partnered", "Single")</f>
        <v>Partnered</v>
      </c>
      <c r="F1425" s="7">
        <v>54132</v>
      </c>
      <c r="G1425" s="8">
        <v>0</v>
      </c>
      <c r="H1425" s="8">
        <v>1</v>
      </c>
      <c r="I1425" s="8">
        <f>Table1[[#This Row],[kids]]+Table1[[#This Row],[teens]]</f>
        <v>1</v>
      </c>
      <c r="J1425" s="9">
        <v>41686</v>
      </c>
      <c r="K1425" s="8">
        <v>81</v>
      </c>
      <c r="L1425" s="6">
        <v>30</v>
      </c>
      <c r="M1425" s="5">
        <v>1</v>
      </c>
      <c r="N1425" s="5">
        <v>8</v>
      </c>
      <c r="O1425" s="5">
        <v>0</v>
      </c>
      <c r="P1425" s="5">
        <v>0</v>
      </c>
      <c r="Q1425" s="5">
        <v>3</v>
      </c>
      <c r="R1425" s="8">
        <v>1</v>
      </c>
      <c r="S1425" s="8">
        <v>1</v>
      </c>
      <c r="T1425" s="8">
        <v>0</v>
      </c>
      <c r="U1425" s="8">
        <v>3</v>
      </c>
      <c r="V1425" s="8">
        <v>7</v>
      </c>
      <c r="W1425" t="s">
        <v>473</v>
      </c>
      <c r="X1425" t="s">
        <v>473</v>
      </c>
      <c r="Y1425" t="s">
        <v>473</v>
      </c>
      <c r="Z1425" t="s">
        <v>473</v>
      </c>
      <c r="AA1425" t="s">
        <v>473</v>
      </c>
      <c r="AB1425" t="s">
        <v>473</v>
      </c>
      <c r="AC1425" s="10">
        <v>3</v>
      </c>
      <c r="AD1425" s="10">
        <v>11</v>
      </c>
      <c r="AE1425" t="s">
        <v>473</v>
      </c>
    </row>
    <row r="1426" spans="1:31" x14ac:dyDescent="0.25">
      <c r="A1426">
        <v>4086</v>
      </c>
      <c r="B1426">
        <v>1959</v>
      </c>
      <c r="C1426" t="s">
        <v>466</v>
      </c>
      <c r="D1426" t="s">
        <v>34</v>
      </c>
      <c r="E1426" t="str">
        <f>IF(OR(Table1[[#This Row],[marital_status]]="Married", Table1[[#This Row],[marital_status]]="Together"), "Partnered", "Single")</f>
        <v>Partnered</v>
      </c>
      <c r="F1426" s="7">
        <v>18690</v>
      </c>
      <c r="G1426" s="8">
        <v>0</v>
      </c>
      <c r="H1426" s="8">
        <v>0</v>
      </c>
      <c r="I1426" s="8">
        <f>Table1[[#This Row],[kids]]+Table1[[#This Row],[teens]]</f>
        <v>0</v>
      </c>
      <c r="J1426" s="9">
        <v>41271</v>
      </c>
      <c r="K1426" s="8">
        <v>77</v>
      </c>
      <c r="L1426" s="6">
        <v>6</v>
      </c>
      <c r="M1426" s="5">
        <v>1</v>
      </c>
      <c r="N1426" s="5">
        <v>7</v>
      </c>
      <c r="O1426" s="5">
        <v>23</v>
      </c>
      <c r="P1426" s="5">
        <v>4</v>
      </c>
      <c r="Q1426" s="5">
        <v>19</v>
      </c>
      <c r="R1426" s="8">
        <v>1</v>
      </c>
      <c r="S1426" s="8">
        <v>1</v>
      </c>
      <c r="T1426" s="8">
        <v>1</v>
      </c>
      <c r="U1426" s="8">
        <v>2</v>
      </c>
      <c r="V1426" s="8">
        <v>8</v>
      </c>
      <c r="W1426" t="s">
        <v>473</v>
      </c>
      <c r="X1426" t="s">
        <v>473</v>
      </c>
      <c r="Y1426" t="s">
        <v>473</v>
      </c>
      <c r="Z1426" t="s">
        <v>473</v>
      </c>
      <c r="AA1426" t="s">
        <v>473</v>
      </c>
      <c r="AB1426" t="s">
        <v>473</v>
      </c>
      <c r="AC1426" s="10">
        <v>3</v>
      </c>
      <c r="AD1426" s="10">
        <v>11</v>
      </c>
      <c r="AE1426" t="s">
        <v>473</v>
      </c>
    </row>
    <row r="1427" spans="1:31" x14ac:dyDescent="0.25">
      <c r="A1427">
        <v>2428</v>
      </c>
      <c r="B1427">
        <v>1970</v>
      </c>
      <c r="C1427" t="s">
        <v>466</v>
      </c>
      <c r="D1427" t="s">
        <v>34</v>
      </c>
      <c r="E1427" t="str">
        <f>IF(OR(Table1[[#This Row],[marital_status]]="Married", Table1[[#This Row],[marital_status]]="Together"), "Partnered", "Single")</f>
        <v>Partnered</v>
      </c>
      <c r="F1427" s="7">
        <v>28164</v>
      </c>
      <c r="G1427" s="8">
        <v>1</v>
      </c>
      <c r="H1427" s="8">
        <v>0</v>
      </c>
      <c r="I1427" s="8">
        <f>Table1[[#This Row],[kids]]+Table1[[#This Row],[teens]]</f>
        <v>1</v>
      </c>
      <c r="J1427" s="9">
        <v>41398</v>
      </c>
      <c r="K1427" s="8">
        <v>23</v>
      </c>
      <c r="L1427" s="6">
        <v>3</v>
      </c>
      <c r="M1427" s="5">
        <v>18</v>
      </c>
      <c r="N1427" s="5">
        <v>26</v>
      </c>
      <c r="O1427" s="5">
        <v>11</v>
      </c>
      <c r="P1427" s="5">
        <v>8</v>
      </c>
      <c r="Q1427" s="5">
        <v>12</v>
      </c>
      <c r="R1427" s="8">
        <v>3</v>
      </c>
      <c r="S1427" s="8">
        <v>2</v>
      </c>
      <c r="T1427" s="8">
        <v>0</v>
      </c>
      <c r="U1427" s="8">
        <v>4</v>
      </c>
      <c r="V1427" s="8">
        <v>7</v>
      </c>
      <c r="W1427" t="s">
        <v>473</v>
      </c>
      <c r="X1427" t="s">
        <v>473</v>
      </c>
      <c r="Y1427" t="s">
        <v>473</v>
      </c>
      <c r="Z1427" t="s">
        <v>473</v>
      </c>
      <c r="AA1427" t="s">
        <v>473</v>
      </c>
      <c r="AB1427" t="s">
        <v>473</v>
      </c>
      <c r="AC1427" s="10">
        <v>3</v>
      </c>
      <c r="AD1427" s="10">
        <v>11</v>
      </c>
      <c r="AE1427" t="s">
        <v>473</v>
      </c>
    </row>
    <row r="1428" spans="1:31" x14ac:dyDescent="0.25">
      <c r="A1428">
        <v>8254</v>
      </c>
      <c r="B1428">
        <v>1974</v>
      </c>
      <c r="C1428" t="s">
        <v>33</v>
      </c>
      <c r="D1428" t="s">
        <v>34</v>
      </c>
      <c r="E1428" t="str">
        <f>IF(OR(Table1[[#This Row],[marital_status]]="Married", Table1[[#This Row],[marital_status]]="Together"), "Partnered", "Single")</f>
        <v>Partnered</v>
      </c>
      <c r="F1428" s="7">
        <v>34596</v>
      </c>
      <c r="G1428" s="8">
        <v>1</v>
      </c>
      <c r="H1428" s="8">
        <v>0</v>
      </c>
      <c r="I1428" s="8">
        <f>Table1[[#This Row],[kids]]+Table1[[#This Row],[teens]]</f>
        <v>1</v>
      </c>
      <c r="J1428" s="9">
        <v>41377</v>
      </c>
      <c r="K1428" s="8">
        <v>48</v>
      </c>
      <c r="L1428" s="6">
        <v>14</v>
      </c>
      <c r="M1428" s="5">
        <v>0</v>
      </c>
      <c r="N1428" s="5">
        <v>2</v>
      </c>
      <c r="O1428" s="5">
        <v>0</v>
      </c>
      <c r="P1428" s="5">
        <v>0</v>
      </c>
      <c r="Q1428" s="5">
        <v>7</v>
      </c>
      <c r="R1428" s="8">
        <v>1</v>
      </c>
      <c r="S1428" s="8">
        <v>1</v>
      </c>
      <c r="T1428" s="8">
        <v>0</v>
      </c>
      <c r="U1428" s="8">
        <v>2</v>
      </c>
      <c r="V1428" s="8">
        <v>8</v>
      </c>
      <c r="W1428" t="s">
        <v>473</v>
      </c>
      <c r="X1428" t="s">
        <v>473</v>
      </c>
      <c r="Y1428" t="s">
        <v>473</v>
      </c>
      <c r="Z1428" t="s">
        <v>473</v>
      </c>
      <c r="AA1428" t="s">
        <v>473</v>
      </c>
      <c r="AB1428" t="s">
        <v>473</v>
      </c>
      <c r="AC1428" s="10">
        <v>3</v>
      </c>
      <c r="AD1428" s="10">
        <v>11</v>
      </c>
      <c r="AE1428" t="s">
        <v>473</v>
      </c>
    </row>
    <row r="1429" spans="1:31" x14ac:dyDescent="0.25">
      <c r="A1429">
        <v>2836</v>
      </c>
      <c r="B1429">
        <v>1972</v>
      </c>
      <c r="C1429" t="s">
        <v>33</v>
      </c>
      <c r="D1429" t="s">
        <v>34</v>
      </c>
      <c r="E1429" t="str">
        <f>IF(OR(Table1[[#This Row],[marital_status]]="Married", Table1[[#This Row],[marital_status]]="Together"), "Partnered", "Single")</f>
        <v>Partnered</v>
      </c>
      <c r="F1429" s="7">
        <v>43269</v>
      </c>
      <c r="G1429" s="8">
        <v>1</v>
      </c>
      <c r="H1429" s="8">
        <v>0</v>
      </c>
      <c r="I1429" s="8">
        <f>Table1[[#This Row],[kids]]+Table1[[#This Row],[teens]]</f>
        <v>1</v>
      </c>
      <c r="J1429" s="9">
        <v>41533</v>
      </c>
      <c r="K1429" s="8">
        <v>61</v>
      </c>
      <c r="L1429" s="6">
        <v>10</v>
      </c>
      <c r="M1429" s="5">
        <v>1</v>
      </c>
      <c r="N1429" s="5">
        <v>7</v>
      </c>
      <c r="O1429" s="5">
        <v>0</v>
      </c>
      <c r="P1429" s="5">
        <v>0</v>
      </c>
      <c r="Q1429" s="5">
        <v>1</v>
      </c>
      <c r="R1429" s="8">
        <v>1</v>
      </c>
      <c r="S1429" s="8">
        <v>1</v>
      </c>
      <c r="T1429" s="8">
        <v>0</v>
      </c>
      <c r="U1429" s="8">
        <v>2</v>
      </c>
      <c r="V1429" s="8">
        <v>8</v>
      </c>
      <c r="W1429" t="s">
        <v>473</v>
      </c>
      <c r="X1429" t="s">
        <v>473</v>
      </c>
      <c r="Y1429" t="s">
        <v>473</v>
      </c>
      <c r="Z1429" t="s">
        <v>473</v>
      </c>
      <c r="AA1429" t="s">
        <v>473</v>
      </c>
      <c r="AB1429" t="s">
        <v>473</v>
      </c>
      <c r="AC1429" s="10">
        <v>3</v>
      </c>
      <c r="AD1429" s="10">
        <v>11</v>
      </c>
      <c r="AE1429" t="s">
        <v>473</v>
      </c>
    </row>
    <row r="1430" spans="1:31" x14ac:dyDescent="0.25">
      <c r="A1430">
        <v>8418</v>
      </c>
      <c r="B1430">
        <v>1958</v>
      </c>
      <c r="C1430" t="s">
        <v>46</v>
      </c>
      <c r="D1430" t="s">
        <v>30</v>
      </c>
      <c r="E1430" t="str">
        <f>IF(OR(Table1[[#This Row],[marital_status]]="Married", Table1[[#This Row],[marital_status]]="Together"), "Partnered", "Single")</f>
        <v>Single</v>
      </c>
      <c r="F1430" s="7">
        <v>38741</v>
      </c>
      <c r="G1430" s="8">
        <v>1</v>
      </c>
      <c r="H1430" s="8">
        <v>1</v>
      </c>
      <c r="I1430" s="8">
        <f>Table1[[#This Row],[kids]]+Table1[[#This Row],[teens]]</f>
        <v>2</v>
      </c>
      <c r="J1430" s="9">
        <v>41728</v>
      </c>
      <c r="K1430" s="8">
        <v>60</v>
      </c>
      <c r="L1430" s="6">
        <v>7</v>
      </c>
      <c r="M1430" s="5">
        <v>10</v>
      </c>
      <c r="N1430" s="5">
        <v>17</v>
      </c>
      <c r="O1430" s="5">
        <v>8</v>
      </c>
      <c r="P1430" s="5">
        <v>6</v>
      </c>
      <c r="Q1430" s="5">
        <v>13</v>
      </c>
      <c r="R1430" s="8">
        <v>2</v>
      </c>
      <c r="S1430" s="8">
        <v>2</v>
      </c>
      <c r="T1430" s="8">
        <v>0</v>
      </c>
      <c r="U1430" s="8">
        <v>3</v>
      </c>
      <c r="V1430" s="8">
        <v>7</v>
      </c>
      <c r="W1430" t="s">
        <v>473</v>
      </c>
      <c r="X1430" t="s">
        <v>473</v>
      </c>
      <c r="Y1430" t="s">
        <v>473</v>
      </c>
      <c r="Z1430" t="s">
        <v>473</v>
      </c>
      <c r="AA1430" t="s">
        <v>473</v>
      </c>
      <c r="AB1430" t="s">
        <v>473</v>
      </c>
      <c r="AC1430" s="10">
        <v>3</v>
      </c>
      <c r="AD1430" s="10">
        <v>11</v>
      </c>
      <c r="AE1430" t="s">
        <v>473</v>
      </c>
    </row>
    <row r="1431" spans="1:31" x14ac:dyDescent="0.25">
      <c r="A1431">
        <v>1362</v>
      </c>
      <c r="B1431">
        <v>1972</v>
      </c>
      <c r="C1431" t="s">
        <v>466</v>
      </c>
      <c r="D1431" t="s">
        <v>30</v>
      </c>
      <c r="E1431" t="str">
        <f>IF(OR(Table1[[#This Row],[marital_status]]="Married", Table1[[#This Row],[marital_status]]="Together"), "Partnered", "Single")</f>
        <v>Single</v>
      </c>
      <c r="F1431" s="7">
        <v>31907</v>
      </c>
      <c r="G1431" s="8">
        <v>0</v>
      </c>
      <c r="H1431" s="8">
        <v>0</v>
      </c>
      <c r="I1431" s="8">
        <f>Table1[[#This Row],[kids]]+Table1[[#This Row],[teens]]</f>
        <v>0</v>
      </c>
      <c r="J1431" s="9">
        <v>41337</v>
      </c>
      <c r="K1431" s="8">
        <v>75</v>
      </c>
      <c r="L1431" s="6">
        <v>33</v>
      </c>
      <c r="M1431" s="5">
        <v>87</v>
      </c>
      <c r="N1431" s="5">
        <v>64</v>
      </c>
      <c r="O1431" s="5">
        <v>175</v>
      </c>
      <c r="P1431" s="5">
        <v>16</v>
      </c>
      <c r="Q1431" s="5">
        <v>74</v>
      </c>
      <c r="R1431" s="8">
        <v>1</v>
      </c>
      <c r="S1431" s="8">
        <v>6</v>
      </c>
      <c r="T1431" s="8">
        <v>1</v>
      </c>
      <c r="U1431" s="8">
        <v>6</v>
      </c>
      <c r="V1431" s="8">
        <v>7</v>
      </c>
      <c r="W1431" t="s">
        <v>473</v>
      </c>
      <c r="X1431" t="s">
        <v>473</v>
      </c>
      <c r="Y1431" t="s">
        <v>473</v>
      </c>
      <c r="Z1431" t="s">
        <v>473</v>
      </c>
      <c r="AA1431" t="s">
        <v>473</v>
      </c>
      <c r="AB1431" t="s">
        <v>473</v>
      </c>
      <c r="AC1431" s="10">
        <v>3</v>
      </c>
      <c r="AD1431" s="10">
        <v>11</v>
      </c>
      <c r="AE1431" t="s">
        <v>473</v>
      </c>
    </row>
    <row r="1432" spans="1:31" x14ac:dyDescent="0.25">
      <c r="A1432">
        <v>7152</v>
      </c>
      <c r="B1432">
        <v>1983</v>
      </c>
      <c r="C1432" t="s">
        <v>36</v>
      </c>
      <c r="D1432" t="s">
        <v>34</v>
      </c>
      <c r="E1432" t="str">
        <f>IF(OR(Table1[[#This Row],[marital_status]]="Married", Table1[[#This Row],[marital_status]]="Together"), "Partnered", "Single")</f>
        <v>Partnered</v>
      </c>
      <c r="F1432" s="7">
        <v>27100</v>
      </c>
      <c r="G1432" s="8">
        <v>1</v>
      </c>
      <c r="H1432" s="8">
        <v>0</v>
      </c>
      <c r="I1432" s="8">
        <f>Table1[[#This Row],[kids]]+Table1[[#This Row],[teens]]</f>
        <v>1</v>
      </c>
      <c r="J1432" s="9">
        <v>41369</v>
      </c>
      <c r="K1432" s="8">
        <v>64</v>
      </c>
      <c r="L1432" s="6">
        <v>12</v>
      </c>
      <c r="M1432" s="5">
        <v>0</v>
      </c>
      <c r="N1432" s="5">
        <v>13</v>
      </c>
      <c r="O1432" s="5">
        <v>2</v>
      </c>
      <c r="P1432" s="5">
        <v>0</v>
      </c>
      <c r="Q1432" s="5">
        <v>10</v>
      </c>
      <c r="R1432" s="8">
        <v>1</v>
      </c>
      <c r="S1432" s="8">
        <v>1</v>
      </c>
      <c r="T1432" s="8">
        <v>0</v>
      </c>
      <c r="U1432" s="8">
        <v>3</v>
      </c>
      <c r="V1432" s="8">
        <v>7</v>
      </c>
      <c r="W1432" t="s">
        <v>473</v>
      </c>
      <c r="X1432" t="s">
        <v>473</v>
      </c>
      <c r="Y1432" t="s">
        <v>473</v>
      </c>
      <c r="Z1432" t="s">
        <v>473</v>
      </c>
      <c r="AA1432" t="s">
        <v>473</v>
      </c>
      <c r="AB1432" t="s">
        <v>473</v>
      </c>
      <c r="AC1432" s="10">
        <v>3</v>
      </c>
      <c r="AD1432" s="10">
        <v>11</v>
      </c>
      <c r="AE1432" t="s">
        <v>473</v>
      </c>
    </row>
    <row r="1433" spans="1:31" x14ac:dyDescent="0.25">
      <c r="A1433">
        <v>10033</v>
      </c>
      <c r="B1433">
        <v>1973</v>
      </c>
      <c r="C1433" t="s">
        <v>46</v>
      </c>
      <c r="D1433" t="s">
        <v>37</v>
      </c>
      <c r="E1433" t="str">
        <f>IF(OR(Table1[[#This Row],[marital_status]]="Married", Table1[[#This Row],[marital_status]]="Together"), "Partnered", "Single")</f>
        <v>Single</v>
      </c>
      <c r="F1433" s="7">
        <v>31163</v>
      </c>
      <c r="G1433" s="8">
        <v>1</v>
      </c>
      <c r="H1433" s="8">
        <v>0</v>
      </c>
      <c r="I1433" s="8">
        <f>Table1[[#This Row],[kids]]+Table1[[#This Row],[teens]]</f>
        <v>1</v>
      </c>
      <c r="J1433" s="9">
        <v>41683</v>
      </c>
      <c r="K1433" s="8">
        <v>54</v>
      </c>
      <c r="L1433" s="6">
        <v>2</v>
      </c>
      <c r="M1433" s="5">
        <v>3</v>
      </c>
      <c r="N1433" s="5">
        <v>10</v>
      </c>
      <c r="O1433" s="5">
        <v>11</v>
      </c>
      <c r="P1433" s="5">
        <v>2</v>
      </c>
      <c r="Q1433" s="5">
        <v>10</v>
      </c>
      <c r="R1433" s="8">
        <v>1</v>
      </c>
      <c r="S1433" s="8">
        <v>1</v>
      </c>
      <c r="T1433" s="8">
        <v>0</v>
      </c>
      <c r="U1433" s="8">
        <v>3</v>
      </c>
      <c r="V1433" s="8">
        <v>6</v>
      </c>
      <c r="W1433" t="s">
        <v>473</v>
      </c>
      <c r="X1433" t="s">
        <v>473</v>
      </c>
      <c r="Y1433" t="s">
        <v>473</v>
      </c>
      <c r="Z1433" t="s">
        <v>473</v>
      </c>
      <c r="AA1433" t="s">
        <v>473</v>
      </c>
      <c r="AB1433" t="s">
        <v>473</v>
      </c>
      <c r="AC1433" s="10">
        <v>3</v>
      </c>
      <c r="AD1433" s="10">
        <v>11</v>
      </c>
      <c r="AE1433" t="s">
        <v>473</v>
      </c>
    </row>
    <row r="1434" spans="1:31" x14ac:dyDescent="0.25">
      <c r="A1434">
        <v>9349</v>
      </c>
      <c r="B1434">
        <v>1985</v>
      </c>
      <c r="C1434" t="s">
        <v>466</v>
      </c>
      <c r="D1434" t="s">
        <v>34</v>
      </c>
      <c r="E1434" t="str">
        <f>IF(OR(Table1[[#This Row],[marital_status]]="Married", Table1[[#This Row],[marital_status]]="Together"), "Partnered", "Single")</f>
        <v>Partnered</v>
      </c>
      <c r="F1434" s="7">
        <v>92533</v>
      </c>
      <c r="G1434" s="8">
        <v>0</v>
      </c>
      <c r="H1434" s="8">
        <v>0</v>
      </c>
      <c r="I1434" s="8">
        <f>Table1[[#This Row],[kids]]+Table1[[#This Row],[teens]]</f>
        <v>0</v>
      </c>
      <c r="J1434" s="9">
        <v>41627</v>
      </c>
      <c r="K1434" s="8">
        <v>84</v>
      </c>
      <c r="L1434" s="6">
        <v>693</v>
      </c>
      <c r="M1434" s="5">
        <v>21</v>
      </c>
      <c r="N1434" s="5">
        <v>118</v>
      </c>
      <c r="O1434" s="5">
        <v>110</v>
      </c>
      <c r="P1434" s="5">
        <v>147</v>
      </c>
      <c r="Q1434" s="5">
        <v>42</v>
      </c>
      <c r="R1434" s="8">
        <v>1</v>
      </c>
      <c r="S1434" s="8">
        <v>6</v>
      </c>
      <c r="T1434" s="8">
        <v>5</v>
      </c>
      <c r="U1434" s="8">
        <v>11</v>
      </c>
      <c r="V1434" s="8">
        <v>2</v>
      </c>
      <c r="W1434" t="s">
        <v>473</v>
      </c>
      <c r="X1434" t="s">
        <v>473</v>
      </c>
      <c r="Y1434" t="s">
        <v>474</v>
      </c>
      <c r="Z1434" t="s">
        <v>474</v>
      </c>
      <c r="AA1434" t="s">
        <v>473</v>
      </c>
      <c r="AB1434" t="s">
        <v>473</v>
      </c>
      <c r="AC1434" s="10">
        <v>3</v>
      </c>
      <c r="AD1434" s="10">
        <v>11</v>
      </c>
      <c r="AE1434" t="s">
        <v>473</v>
      </c>
    </row>
    <row r="1435" spans="1:31" x14ac:dyDescent="0.25">
      <c r="A1435">
        <v>274</v>
      </c>
      <c r="B1435">
        <v>1973</v>
      </c>
      <c r="C1435" t="s">
        <v>466</v>
      </c>
      <c r="D1435" t="s">
        <v>30</v>
      </c>
      <c r="E1435" t="str">
        <f>IF(OR(Table1[[#This Row],[marital_status]]="Married", Table1[[#This Row],[marital_status]]="Together"), "Partnered", "Single")</f>
        <v>Single</v>
      </c>
      <c r="F1435" s="7">
        <v>34853</v>
      </c>
      <c r="G1435" s="8">
        <v>1</v>
      </c>
      <c r="H1435" s="8">
        <v>1</v>
      </c>
      <c r="I1435" s="8">
        <f>Table1[[#This Row],[kids]]+Table1[[#This Row],[teens]]</f>
        <v>2</v>
      </c>
      <c r="J1435" s="9">
        <v>41631</v>
      </c>
      <c r="K1435" s="8">
        <v>75</v>
      </c>
      <c r="L1435" s="6">
        <v>9</v>
      </c>
      <c r="M1435" s="5">
        <v>3</v>
      </c>
      <c r="N1435" s="5">
        <v>15</v>
      </c>
      <c r="O1435" s="5">
        <v>2</v>
      </c>
      <c r="P1435" s="5">
        <v>3</v>
      </c>
      <c r="Q1435" s="5">
        <v>2</v>
      </c>
      <c r="R1435" s="8">
        <v>2</v>
      </c>
      <c r="S1435" s="8">
        <v>2</v>
      </c>
      <c r="T1435" s="8">
        <v>0</v>
      </c>
      <c r="U1435" s="8">
        <v>3</v>
      </c>
      <c r="V1435" s="8">
        <v>6</v>
      </c>
      <c r="W1435" t="s">
        <v>473</v>
      </c>
      <c r="X1435" t="s">
        <v>473</v>
      </c>
      <c r="Y1435" t="s">
        <v>473</v>
      </c>
      <c r="Z1435" t="s">
        <v>473</v>
      </c>
      <c r="AA1435" t="s">
        <v>473</v>
      </c>
      <c r="AB1435" t="s">
        <v>473</v>
      </c>
      <c r="AC1435" s="10">
        <v>3</v>
      </c>
      <c r="AD1435" s="10">
        <v>11</v>
      </c>
      <c r="AE1435" t="s">
        <v>473</v>
      </c>
    </row>
    <row r="1436" spans="1:31" x14ac:dyDescent="0.25">
      <c r="A1436">
        <v>3388</v>
      </c>
      <c r="B1436">
        <v>1967</v>
      </c>
      <c r="C1436" t="s">
        <v>466</v>
      </c>
      <c r="D1436" t="s">
        <v>37</v>
      </c>
      <c r="E1436" t="str">
        <f>IF(OR(Table1[[#This Row],[marital_status]]="Married", Table1[[#This Row],[marital_status]]="Together"), "Partnered", "Single")</f>
        <v>Single</v>
      </c>
      <c r="F1436" s="7">
        <v>70844</v>
      </c>
      <c r="G1436" s="8">
        <v>1</v>
      </c>
      <c r="H1436" s="8">
        <v>1</v>
      </c>
      <c r="I1436" s="8">
        <f>Table1[[#This Row],[kids]]+Table1[[#This Row],[teens]]</f>
        <v>2</v>
      </c>
      <c r="J1436" s="9">
        <v>41577</v>
      </c>
      <c r="K1436" s="8">
        <v>16</v>
      </c>
      <c r="L1436" s="6">
        <v>129</v>
      </c>
      <c r="M1436" s="5">
        <v>26</v>
      </c>
      <c r="N1436" s="5">
        <v>67</v>
      </c>
      <c r="O1436" s="5">
        <v>3</v>
      </c>
      <c r="P1436" s="5">
        <v>67</v>
      </c>
      <c r="Q1436" s="5">
        <v>2</v>
      </c>
      <c r="R1436" s="8">
        <v>5</v>
      </c>
      <c r="S1436" s="8">
        <v>6</v>
      </c>
      <c r="T1436" s="8">
        <v>1</v>
      </c>
      <c r="U1436" s="8">
        <v>5</v>
      </c>
      <c r="V1436" s="8">
        <v>7</v>
      </c>
      <c r="W1436" t="s">
        <v>473</v>
      </c>
      <c r="X1436" t="s">
        <v>473</v>
      </c>
      <c r="Y1436" t="s">
        <v>473</v>
      </c>
      <c r="Z1436" t="s">
        <v>473</v>
      </c>
      <c r="AA1436" t="s">
        <v>473</v>
      </c>
      <c r="AB1436" t="s">
        <v>473</v>
      </c>
      <c r="AC1436" s="10">
        <v>3</v>
      </c>
      <c r="AD1436" s="10">
        <v>11</v>
      </c>
      <c r="AE1436" t="s">
        <v>473</v>
      </c>
    </row>
    <row r="1437" spans="1:31" x14ac:dyDescent="0.25">
      <c r="A1437">
        <v>922</v>
      </c>
      <c r="B1437">
        <v>1979</v>
      </c>
      <c r="C1437" t="s">
        <v>46</v>
      </c>
      <c r="D1437" t="s">
        <v>34</v>
      </c>
      <c r="E1437" t="str">
        <f>IF(OR(Table1[[#This Row],[marital_status]]="Married", Table1[[#This Row],[marital_status]]="Together"), "Partnered", "Single")</f>
        <v>Partnered</v>
      </c>
      <c r="F1437" s="7">
        <v>31086</v>
      </c>
      <c r="G1437" s="8">
        <v>1</v>
      </c>
      <c r="H1437" s="8">
        <v>1</v>
      </c>
      <c r="I1437" s="8">
        <f>Table1[[#This Row],[kids]]+Table1[[#This Row],[teens]]</f>
        <v>2</v>
      </c>
      <c r="J1437" s="9">
        <v>41398</v>
      </c>
      <c r="K1437" s="8">
        <v>79</v>
      </c>
      <c r="L1437" s="6">
        <v>16</v>
      </c>
      <c r="M1437" s="5">
        <v>2</v>
      </c>
      <c r="N1437" s="5">
        <v>11</v>
      </c>
      <c r="O1437" s="5">
        <v>3</v>
      </c>
      <c r="P1437" s="5">
        <v>0</v>
      </c>
      <c r="Q1437" s="5">
        <v>16</v>
      </c>
      <c r="R1437" s="8">
        <v>2</v>
      </c>
      <c r="S1437" s="8">
        <v>1</v>
      </c>
      <c r="T1437" s="8">
        <v>1</v>
      </c>
      <c r="U1437" s="8">
        <v>2</v>
      </c>
      <c r="V1437" s="8">
        <v>8</v>
      </c>
      <c r="W1437" t="s">
        <v>474</v>
      </c>
      <c r="X1437" t="s">
        <v>473</v>
      </c>
      <c r="Y1437" t="s">
        <v>473</v>
      </c>
      <c r="Z1437" t="s">
        <v>473</v>
      </c>
      <c r="AA1437" t="s">
        <v>473</v>
      </c>
      <c r="AB1437" t="s">
        <v>473</v>
      </c>
      <c r="AC1437" s="10">
        <v>3</v>
      </c>
      <c r="AD1437" s="10">
        <v>11</v>
      </c>
      <c r="AE1437" t="s">
        <v>473</v>
      </c>
    </row>
    <row r="1438" spans="1:31" x14ac:dyDescent="0.25">
      <c r="A1438">
        <v>8588</v>
      </c>
      <c r="B1438">
        <v>1961</v>
      </c>
      <c r="C1438" t="s">
        <v>466</v>
      </c>
      <c r="D1438" t="s">
        <v>34</v>
      </c>
      <c r="E1438" t="str">
        <f>IF(OR(Table1[[#This Row],[marital_status]]="Married", Table1[[#This Row],[marital_status]]="Together"), "Partnered", "Single")</f>
        <v>Partnered</v>
      </c>
      <c r="F1438" s="7">
        <v>60544</v>
      </c>
      <c r="G1438" s="8">
        <v>1</v>
      </c>
      <c r="H1438" s="8">
        <v>1</v>
      </c>
      <c r="I1438" s="8">
        <f>Table1[[#This Row],[kids]]+Table1[[#This Row],[teens]]</f>
        <v>2</v>
      </c>
      <c r="J1438" s="9">
        <v>41146</v>
      </c>
      <c r="K1438" s="8">
        <v>92</v>
      </c>
      <c r="L1438" s="6">
        <v>201</v>
      </c>
      <c r="M1438" s="5">
        <v>2</v>
      </c>
      <c r="N1438" s="5">
        <v>43</v>
      </c>
      <c r="O1438" s="5">
        <v>3</v>
      </c>
      <c r="P1438" s="5">
        <v>5</v>
      </c>
      <c r="Q1438" s="5">
        <v>35</v>
      </c>
      <c r="R1438" s="8">
        <v>4</v>
      </c>
      <c r="S1438" s="8">
        <v>5</v>
      </c>
      <c r="T1438" s="8">
        <v>1</v>
      </c>
      <c r="U1438" s="8">
        <v>5</v>
      </c>
      <c r="V1438" s="8">
        <v>6</v>
      </c>
      <c r="W1438" t="s">
        <v>473</v>
      </c>
      <c r="X1438" t="s">
        <v>473</v>
      </c>
      <c r="Y1438" t="s">
        <v>473</v>
      </c>
      <c r="Z1438" t="s">
        <v>473</v>
      </c>
      <c r="AA1438" t="s">
        <v>473</v>
      </c>
      <c r="AB1438" t="s">
        <v>473</v>
      </c>
      <c r="AC1438" s="10">
        <v>3</v>
      </c>
      <c r="AD1438" s="10">
        <v>11</v>
      </c>
      <c r="AE1438" t="s">
        <v>473</v>
      </c>
    </row>
    <row r="1439" spans="1:31" x14ac:dyDescent="0.25">
      <c r="A1439">
        <v>2518</v>
      </c>
      <c r="B1439">
        <v>1986</v>
      </c>
      <c r="C1439" t="s">
        <v>46</v>
      </c>
      <c r="D1439" t="s">
        <v>31</v>
      </c>
      <c r="E1439" t="str">
        <f>IF(OR(Table1[[#This Row],[marital_status]]="Married", Table1[[#This Row],[marital_status]]="Together"), "Partnered", "Single")</f>
        <v>Partnered</v>
      </c>
      <c r="F1439" s="7">
        <v>20491</v>
      </c>
      <c r="G1439" s="8">
        <v>0</v>
      </c>
      <c r="H1439" s="8">
        <v>0</v>
      </c>
      <c r="I1439" s="8">
        <f>Table1[[#This Row],[kids]]+Table1[[#This Row],[teens]]</f>
        <v>0</v>
      </c>
      <c r="J1439" s="9">
        <v>41299</v>
      </c>
      <c r="K1439" s="8">
        <v>16</v>
      </c>
      <c r="L1439" s="6">
        <v>5</v>
      </c>
      <c r="M1439" s="5">
        <v>4</v>
      </c>
      <c r="N1439" s="5">
        <v>5</v>
      </c>
      <c r="O1439" s="5">
        <v>4</v>
      </c>
      <c r="P1439" s="5">
        <v>2</v>
      </c>
      <c r="Q1439" s="5">
        <v>10</v>
      </c>
      <c r="R1439" s="8">
        <v>1</v>
      </c>
      <c r="S1439" s="8">
        <v>0</v>
      </c>
      <c r="T1439" s="8">
        <v>1</v>
      </c>
      <c r="U1439" s="8">
        <v>2</v>
      </c>
      <c r="V1439" s="8">
        <v>7</v>
      </c>
      <c r="W1439" t="s">
        <v>473</v>
      </c>
      <c r="X1439" t="s">
        <v>473</v>
      </c>
      <c r="Y1439" t="s">
        <v>473</v>
      </c>
      <c r="Z1439" t="s">
        <v>473</v>
      </c>
      <c r="AA1439" t="s">
        <v>473</v>
      </c>
      <c r="AB1439" t="s">
        <v>473</v>
      </c>
      <c r="AC1439" s="10">
        <v>3</v>
      </c>
      <c r="AD1439" s="10">
        <v>11</v>
      </c>
      <c r="AE1439" t="s">
        <v>473</v>
      </c>
    </row>
    <row r="1440" spans="1:31" x14ac:dyDescent="0.25">
      <c r="A1440">
        <v>574</v>
      </c>
      <c r="B1440">
        <v>1964</v>
      </c>
      <c r="C1440" t="s">
        <v>466</v>
      </c>
      <c r="D1440" t="s">
        <v>34</v>
      </c>
      <c r="E1440" t="str">
        <f>IF(OR(Table1[[#This Row],[marital_status]]="Married", Table1[[#This Row],[marital_status]]="Together"), "Partnered", "Single")</f>
        <v>Partnered</v>
      </c>
      <c r="F1440" s="7">
        <v>42523</v>
      </c>
      <c r="G1440" s="8">
        <v>0</v>
      </c>
      <c r="H1440" s="8">
        <v>0</v>
      </c>
      <c r="I1440" s="8">
        <f>Table1[[#This Row],[kids]]+Table1[[#This Row],[teens]]</f>
        <v>0</v>
      </c>
      <c r="J1440" s="9">
        <v>41752</v>
      </c>
      <c r="K1440" s="8">
        <v>96</v>
      </c>
      <c r="L1440" s="6">
        <v>14</v>
      </c>
      <c r="M1440" s="5">
        <v>36</v>
      </c>
      <c r="N1440" s="5">
        <v>11</v>
      </c>
      <c r="O1440" s="5">
        <v>3</v>
      </c>
      <c r="P1440" s="5">
        <v>26</v>
      </c>
      <c r="Q1440" s="5">
        <v>35</v>
      </c>
      <c r="R1440" s="8">
        <v>1</v>
      </c>
      <c r="S1440" s="8">
        <v>1</v>
      </c>
      <c r="T1440" s="8">
        <v>1</v>
      </c>
      <c r="U1440" s="8">
        <v>4</v>
      </c>
      <c r="V1440" s="8">
        <v>2</v>
      </c>
      <c r="W1440" t="s">
        <v>473</v>
      </c>
      <c r="X1440" t="s">
        <v>473</v>
      </c>
      <c r="Y1440" t="s">
        <v>473</v>
      </c>
      <c r="Z1440" t="s">
        <v>473</v>
      </c>
      <c r="AA1440" t="s">
        <v>473</v>
      </c>
      <c r="AB1440" t="s">
        <v>473</v>
      </c>
      <c r="AC1440" s="10">
        <v>3</v>
      </c>
      <c r="AD1440" s="10">
        <v>11</v>
      </c>
      <c r="AE1440" t="s">
        <v>473</v>
      </c>
    </row>
    <row r="1441" spans="1:31" x14ac:dyDescent="0.25">
      <c r="A1441">
        <v>3220</v>
      </c>
      <c r="B1441">
        <v>1983</v>
      </c>
      <c r="C1441" t="s">
        <v>466</v>
      </c>
      <c r="D1441" t="s">
        <v>34</v>
      </c>
      <c r="E1441" t="str">
        <f>IF(OR(Table1[[#This Row],[marital_status]]="Married", Table1[[#This Row],[marital_status]]="Together"), "Partnered", "Single")</f>
        <v>Partnered</v>
      </c>
      <c r="F1441" s="7">
        <v>39922</v>
      </c>
      <c r="G1441" s="8">
        <v>1</v>
      </c>
      <c r="H1441" s="8">
        <v>0</v>
      </c>
      <c r="I1441" s="8">
        <f>Table1[[#This Row],[kids]]+Table1[[#This Row],[teens]]</f>
        <v>1</v>
      </c>
      <c r="J1441" s="9">
        <v>41319</v>
      </c>
      <c r="K1441" s="8">
        <v>30</v>
      </c>
      <c r="L1441" s="6">
        <v>29</v>
      </c>
      <c r="M1441" s="5">
        <v>12</v>
      </c>
      <c r="N1441" s="5">
        <v>59</v>
      </c>
      <c r="O1441" s="5">
        <v>19</v>
      </c>
      <c r="P1441" s="5">
        <v>1</v>
      </c>
      <c r="Q1441" s="5">
        <v>36</v>
      </c>
      <c r="R1441" s="8">
        <v>2</v>
      </c>
      <c r="S1441" s="8">
        <v>3</v>
      </c>
      <c r="T1441" s="8">
        <v>0</v>
      </c>
      <c r="U1441" s="8">
        <v>4</v>
      </c>
      <c r="V1441" s="8">
        <v>8</v>
      </c>
      <c r="W1441" t="s">
        <v>473</v>
      </c>
      <c r="X1441" t="s">
        <v>473</v>
      </c>
      <c r="Y1441" t="s">
        <v>473</v>
      </c>
      <c r="Z1441" t="s">
        <v>473</v>
      </c>
      <c r="AA1441" t="s">
        <v>473</v>
      </c>
      <c r="AB1441" t="s">
        <v>473</v>
      </c>
      <c r="AC1441" s="10">
        <v>3</v>
      </c>
      <c r="AD1441" s="10">
        <v>11</v>
      </c>
      <c r="AE1441" t="s">
        <v>473</v>
      </c>
    </row>
    <row r="1442" spans="1:31" x14ac:dyDescent="0.25">
      <c r="A1442">
        <v>5967</v>
      </c>
      <c r="B1442">
        <v>1952</v>
      </c>
      <c r="C1442" t="s">
        <v>466</v>
      </c>
      <c r="D1442" t="s">
        <v>31</v>
      </c>
      <c r="E1442" t="str">
        <f>IF(OR(Table1[[#This Row],[marital_status]]="Married", Table1[[#This Row],[marital_status]]="Together"), "Partnered", "Single")</f>
        <v>Partnered</v>
      </c>
      <c r="F1442" s="7">
        <v>33402</v>
      </c>
      <c r="G1442" s="8">
        <v>1</v>
      </c>
      <c r="H1442" s="8">
        <v>1</v>
      </c>
      <c r="I1442" s="8">
        <f>Table1[[#This Row],[kids]]+Table1[[#This Row],[teens]]</f>
        <v>2</v>
      </c>
      <c r="J1442" s="9">
        <v>41473</v>
      </c>
      <c r="K1442" s="8">
        <v>60</v>
      </c>
      <c r="L1442" s="6">
        <v>26</v>
      </c>
      <c r="M1442" s="5">
        <v>2</v>
      </c>
      <c r="N1442" s="5">
        <v>19</v>
      </c>
      <c r="O1442" s="5">
        <v>10</v>
      </c>
      <c r="P1442" s="5">
        <v>5</v>
      </c>
      <c r="Q1442" s="5">
        <v>8</v>
      </c>
      <c r="R1442" s="8">
        <v>3</v>
      </c>
      <c r="S1442" s="8">
        <v>2</v>
      </c>
      <c r="T1442" s="8">
        <v>1</v>
      </c>
      <c r="U1442" s="8">
        <v>3</v>
      </c>
      <c r="V1442" s="8">
        <v>8</v>
      </c>
      <c r="W1442" t="s">
        <v>473</v>
      </c>
      <c r="X1442" t="s">
        <v>473</v>
      </c>
      <c r="Y1442" t="s">
        <v>473</v>
      </c>
      <c r="Z1442" t="s">
        <v>473</v>
      </c>
      <c r="AA1442" t="s">
        <v>473</v>
      </c>
      <c r="AB1442" t="s">
        <v>473</v>
      </c>
      <c r="AC1442" s="10">
        <v>3</v>
      </c>
      <c r="AD1442" s="10">
        <v>11</v>
      </c>
      <c r="AE1442" t="s">
        <v>473</v>
      </c>
    </row>
    <row r="1443" spans="1:31" x14ac:dyDescent="0.25">
      <c r="A1443">
        <v>1183</v>
      </c>
      <c r="B1443">
        <v>1949</v>
      </c>
      <c r="C1443" t="s">
        <v>36</v>
      </c>
      <c r="D1443" t="s">
        <v>34</v>
      </c>
      <c r="E1443" t="str">
        <f>IF(OR(Table1[[#This Row],[marital_status]]="Married", Table1[[#This Row],[marital_status]]="Together"), "Partnered", "Single")</f>
        <v>Partnered</v>
      </c>
      <c r="F1443" s="7">
        <v>36408</v>
      </c>
      <c r="G1443" s="8">
        <v>1</v>
      </c>
      <c r="H1443" s="8">
        <v>1</v>
      </c>
      <c r="I1443" s="8">
        <f>Table1[[#This Row],[kids]]+Table1[[#This Row],[teens]]</f>
        <v>2</v>
      </c>
      <c r="J1443" s="9">
        <v>41538</v>
      </c>
      <c r="K1443" s="8">
        <v>11</v>
      </c>
      <c r="L1443" s="6">
        <v>9</v>
      </c>
      <c r="M1443" s="5">
        <v>1</v>
      </c>
      <c r="N1443" s="5">
        <v>4</v>
      </c>
      <c r="O1443" s="5">
        <v>3</v>
      </c>
      <c r="P1443" s="5">
        <v>2</v>
      </c>
      <c r="Q1443" s="5">
        <v>3</v>
      </c>
      <c r="R1443" s="8">
        <v>1</v>
      </c>
      <c r="S1443" s="8">
        <v>1</v>
      </c>
      <c r="T1443" s="8">
        <v>0</v>
      </c>
      <c r="U1443" s="8">
        <v>2</v>
      </c>
      <c r="V1443" s="8">
        <v>6</v>
      </c>
      <c r="W1443" t="s">
        <v>473</v>
      </c>
      <c r="X1443" t="s">
        <v>473</v>
      </c>
      <c r="Y1443" t="s">
        <v>473</v>
      </c>
      <c r="Z1443" t="s">
        <v>473</v>
      </c>
      <c r="AA1443" t="s">
        <v>473</v>
      </c>
      <c r="AB1443" t="s">
        <v>473</v>
      </c>
      <c r="AC1443" s="10">
        <v>3</v>
      </c>
      <c r="AD1443" s="10">
        <v>11</v>
      </c>
      <c r="AE1443" t="s">
        <v>473</v>
      </c>
    </row>
    <row r="1444" spans="1:31" x14ac:dyDescent="0.25">
      <c r="A1444">
        <v>6856</v>
      </c>
      <c r="B1444">
        <v>1979</v>
      </c>
      <c r="C1444" t="s">
        <v>466</v>
      </c>
      <c r="D1444" t="s">
        <v>31</v>
      </c>
      <c r="E1444" t="str">
        <f>IF(OR(Table1[[#This Row],[marital_status]]="Married", Table1[[#This Row],[marital_status]]="Together"), "Partnered", "Single")</f>
        <v>Partnered</v>
      </c>
      <c r="F1444" s="7">
        <v>21645</v>
      </c>
      <c r="G1444" s="8">
        <v>1</v>
      </c>
      <c r="H1444" s="8">
        <v>0</v>
      </c>
      <c r="I1444" s="8">
        <f>Table1[[#This Row],[kids]]+Table1[[#This Row],[teens]]</f>
        <v>1</v>
      </c>
      <c r="J1444" s="9">
        <v>41155</v>
      </c>
      <c r="K1444" s="8">
        <v>75</v>
      </c>
      <c r="L1444" s="6">
        <v>14</v>
      </c>
      <c r="M1444" s="5">
        <v>0</v>
      </c>
      <c r="N1444" s="5">
        <v>23</v>
      </c>
      <c r="O1444" s="5">
        <v>4</v>
      </c>
      <c r="P1444" s="5">
        <v>5</v>
      </c>
      <c r="Q1444" s="5">
        <v>19</v>
      </c>
      <c r="R1444" s="8">
        <v>3</v>
      </c>
      <c r="S1444" s="8">
        <v>3</v>
      </c>
      <c r="T1444" s="8">
        <v>0</v>
      </c>
      <c r="U1444" s="8">
        <v>3</v>
      </c>
      <c r="V1444" s="8">
        <v>9</v>
      </c>
      <c r="W1444" t="s">
        <v>473</v>
      </c>
      <c r="X1444" t="s">
        <v>473</v>
      </c>
      <c r="Y1444" t="s">
        <v>473</v>
      </c>
      <c r="Z1444" t="s">
        <v>473</v>
      </c>
      <c r="AA1444" t="s">
        <v>473</v>
      </c>
      <c r="AB1444" t="s">
        <v>473</v>
      </c>
      <c r="AC1444" s="10">
        <v>3</v>
      </c>
      <c r="AD1444" s="10">
        <v>11</v>
      </c>
      <c r="AE1444" t="s">
        <v>474</v>
      </c>
    </row>
    <row r="1445" spans="1:31" x14ac:dyDescent="0.25">
      <c r="A1445">
        <v>4530</v>
      </c>
      <c r="B1445">
        <v>1948</v>
      </c>
      <c r="C1445" t="s">
        <v>36</v>
      </c>
      <c r="D1445" t="s">
        <v>57</v>
      </c>
      <c r="E1445" t="str">
        <f>IF(OR(Table1[[#This Row],[marital_status]]="Married", Table1[[#This Row],[marital_status]]="Together"), "Partnered", "Single")</f>
        <v>Single</v>
      </c>
      <c r="F1445" s="7">
        <v>78427</v>
      </c>
      <c r="G1445" s="8">
        <v>0</v>
      </c>
      <c r="H1445" s="8">
        <v>0</v>
      </c>
      <c r="I1445" s="8">
        <f>Table1[[#This Row],[kids]]+Table1[[#This Row],[teens]]</f>
        <v>0</v>
      </c>
      <c r="J1445" s="9">
        <v>41206</v>
      </c>
      <c r="K1445" s="8">
        <v>36</v>
      </c>
      <c r="L1445" s="6">
        <v>972</v>
      </c>
      <c r="M1445" s="5">
        <v>19</v>
      </c>
      <c r="N1445" s="5">
        <v>595</v>
      </c>
      <c r="O1445" s="5">
        <v>180</v>
      </c>
      <c r="P1445" s="5">
        <v>26</v>
      </c>
      <c r="Q1445" s="5">
        <v>138</v>
      </c>
      <c r="R1445" s="8">
        <v>3</v>
      </c>
      <c r="S1445" s="8">
        <v>3</v>
      </c>
      <c r="T1445" s="8">
        <v>7</v>
      </c>
      <c r="U1445" s="8">
        <v>10</v>
      </c>
      <c r="V1445" s="8">
        <v>3</v>
      </c>
      <c r="W1445" t="s">
        <v>473</v>
      </c>
      <c r="X1445" t="s">
        <v>473</v>
      </c>
      <c r="Y1445" t="s">
        <v>473</v>
      </c>
      <c r="Z1445" t="s">
        <v>474</v>
      </c>
      <c r="AA1445" t="s">
        <v>473</v>
      </c>
      <c r="AB1445" t="s">
        <v>473</v>
      </c>
      <c r="AC1445" s="10">
        <v>3</v>
      </c>
      <c r="AD1445" s="10">
        <v>11</v>
      </c>
      <c r="AE1445" t="s">
        <v>474</v>
      </c>
    </row>
    <row r="1446" spans="1:31" x14ac:dyDescent="0.25">
      <c r="A1446">
        <v>1553</v>
      </c>
      <c r="B1446">
        <v>1946</v>
      </c>
      <c r="C1446" t="s">
        <v>466</v>
      </c>
      <c r="D1446" t="s">
        <v>31</v>
      </c>
      <c r="E1446" t="str">
        <f>IF(OR(Table1[[#This Row],[marital_status]]="Married", Table1[[#This Row],[marital_status]]="Together"), "Partnered", "Single")</f>
        <v>Partnered</v>
      </c>
      <c r="F1446" s="7">
        <v>82657</v>
      </c>
      <c r="G1446" s="8">
        <v>0</v>
      </c>
      <c r="H1446" s="8">
        <v>0</v>
      </c>
      <c r="I1446" s="8">
        <f>Table1[[#This Row],[kids]]+Table1[[#This Row],[teens]]</f>
        <v>0</v>
      </c>
      <c r="J1446" s="9">
        <v>41544</v>
      </c>
      <c r="K1446" s="8">
        <v>71</v>
      </c>
      <c r="L1446" s="6">
        <v>966</v>
      </c>
      <c r="M1446" s="5">
        <v>168</v>
      </c>
      <c r="N1446" s="5">
        <v>672</v>
      </c>
      <c r="O1446" s="5">
        <v>246</v>
      </c>
      <c r="P1446" s="5">
        <v>105</v>
      </c>
      <c r="Q1446" s="5">
        <v>126</v>
      </c>
      <c r="R1446" s="8">
        <v>1</v>
      </c>
      <c r="S1446" s="8">
        <v>7</v>
      </c>
      <c r="T1446" s="8">
        <v>5</v>
      </c>
      <c r="U1446" s="8">
        <v>10</v>
      </c>
      <c r="V1446" s="8">
        <v>4</v>
      </c>
      <c r="W1446" t="s">
        <v>473</v>
      </c>
      <c r="X1446" t="s">
        <v>474</v>
      </c>
      <c r="Y1446" t="s">
        <v>473</v>
      </c>
      <c r="Z1446" t="s">
        <v>474</v>
      </c>
      <c r="AA1446" t="s">
        <v>473</v>
      </c>
      <c r="AB1446" t="s">
        <v>473</v>
      </c>
      <c r="AC1446" s="10">
        <v>3</v>
      </c>
      <c r="AD1446" s="10">
        <v>11</v>
      </c>
      <c r="AE1446" t="s">
        <v>473</v>
      </c>
    </row>
    <row r="1447" spans="1:31" x14ac:dyDescent="0.25">
      <c r="A1447">
        <v>4682</v>
      </c>
      <c r="B1447">
        <v>1958</v>
      </c>
      <c r="C1447" t="s">
        <v>466</v>
      </c>
      <c r="D1447" t="s">
        <v>34</v>
      </c>
      <c r="E1447" t="str">
        <f>IF(OR(Table1[[#This Row],[marital_status]]="Married", Table1[[#This Row],[marital_status]]="Together"), "Partnered", "Single")</f>
        <v>Partnered</v>
      </c>
      <c r="F1447" s="7">
        <v>51876</v>
      </c>
      <c r="G1447" s="8">
        <v>0</v>
      </c>
      <c r="H1447" s="8">
        <v>0</v>
      </c>
      <c r="I1447" s="8">
        <f>Table1[[#This Row],[kids]]+Table1[[#This Row],[teens]]</f>
        <v>0</v>
      </c>
      <c r="J1447" s="9">
        <v>41562</v>
      </c>
      <c r="K1447" s="8">
        <v>88</v>
      </c>
      <c r="L1447" s="6">
        <v>99</v>
      </c>
      <c r="M1447" s="5">
        <v>27</v>
      </c>
      <c r="N1447" s="5">
        <v>102</v>
      </c>
      <c r="O1447" s="5">
        <v>28</v>
      </c>
      <c r="P1447" s="5">
        <v>48</v>
      </c>
      <c r="Q1447" s="5">
        <v>6</v>
      </c>
      <c r="R1447" s="8">
        <v>1</v>
      </c>
      <c r="S1447" s="8">
        <v>2</v>
      </c>
      <c r="T1447" s="8">
        <v>2</v>
      </c>
      <c r="U1447" s="8">
        <v>8</v>
      </c>
      <c r="V1447" s="8">
        <v>1</v>
      </c>
      <c r="W1447" t="s">
        <v>473</v>
      </c>
      <c r="X1447" t="s">
        <v>473</v>
      </c>
      <c r="Y1447" t="s">
        <v>473</v>
      </c>
      <c r="Z1447" t="s">
        <v>473</v>
      </c>
      <c r="AA1447" t="s">
        <v>473</v>
      </c>
      <c r="AB1447" t="s">
        <v>473</v>
      </c>
      <c r="AC1447" s="10">
        <v>3</v>
      </c>
      <c r="AD1447" s="10">
        <v>11</v>
      </c>
      <c r="AE1447" t="s">
        <v>473</v>
      </c>
    </row>
    <row r="1448" spans="1:31" x14ac:dyDescent="0.25">
      <c r="A1448">
        <v>8204</v>
      </c>
      <c r="B1448">
        <v>1971</v>
      </c>
      <c r="C1448" t="s">
        <v>46</v>
      </c>
      <c r="D1448" t="s">
        <v>34</v>
      </c>
      <c r="E1448" t="str">
        <f>IF(OR(Table1[[#This Row],[marital_status]]="Married", Table1[[#This Row],[marital_status]]="Together"), "Partnered", "Single")</f>
        <v>Partnered</v>
      </c>
      <c r="F1448" s="7">
        <v>78041</v>
      </c>
      <c r="G1448" s="8">
        <v>0</v>
      </c>
      <c r="H1448" s="8">
        <v>0</v>
      </c>
      <c r="I1448" s="8">
        <f>Table1[[#This Row],[kids]]+Table1[[#This Row],[teens]]</f>
        <v>0</v>
      </c>
      <c r="J1448" s="9">
        <v>41259</v>
      </c>
      <c r="K1448" s="8">
        <v>93</v>
      </c>
      <c r="L1448" s="6">
        <v>482</v>
      </c>
      <c r="M1448" s="5">
        <v>35</v>
      </c>
      <c r="N1448" s="5">
        <v>553</v>
      </c>
      <c r="O1448" s="5">
        <v>72</v>
      </c>
      <c r="P1448" s="5">
        <v>160</v>
      </c>
      <c r="Q1448" s="5">
        <v>17</v>
      </c>
      <c r="R1448" s="8">
        <v>1</v>
      </c>
      <c r="S1448" s="8">
        <v>4</v>
      </c>
      <c r="T1448" s="8">
        <v>4</v>
      </c>
      <c r="U1448" s="8">
        <v>9</v>
      </c>
      <c r="V1448" s="8">
        <v>2</v>
      </c>
      <c r="W1448" t="s">
        <v>473</v>
      </c>
      <c r="X1448" t="s">
        <v>473</v>
      </c>
      <c r="Y1448" t="s">
        <v>473</v>
      </c>
      <c r="Z1448" t="s">
        <v>473</v>
      </c>
      <c r="AA1448" t="s">
        <v>473</v>
      </c>
      <c r="AB1448" t="s">
        <v>473</v>
      </c>
      <c r="AC1448" s="10">
        <v>3</v>
      </c>
      <c r="AD1448" s="10">
        <v>11</v>
      </c>
      <c r="AE1448" t="s">
        <v>473</v>
      </c>
    </row>
    <row r="1449" spans="1:31" x14ac:dyDescent="0.25">
      <c r="A1449">
        <v>5221</v>
      </c>
      <c r="B1449">
        <v>1957</v>
      </c>
      <c r="C1449" t="s">
        <v>466</v>
      </c>
      <c r="D1449" t="s">
        <v>34</v>
      </c>
      <c r="E1449" t="str">
        <f>IF(OR(Table1[[#This Row],[marital_status]]="Married", Table1[[#This Row],[marital_status]]="Together"), "Partnered", "Single")</f>
        <v>Partnered</v>
      </c>
      <c r="F1449" s="7">
        <v>52852</v>
      </c>
      <c r="G1449" s="8">
        <v>0</v>
      </c>
      <c r="H1449" s="8">
        <v>1</v>
      </c>
      <c r="I1449" s="8">
        <f>Table1[[#This Row],[kids]]+Table1[[#This Row],[teens]]</f>
        <v>1</v>
      </c>
      <c r="J1449" s="9">
        <v>41244</v>
      </c>
      <c r="K1449" s="8">
        <v>93</v>
      </c>
      <c r="L1449" s="6">
        <v>714</v>
      </c>
      <c r="M1449" s="5">
        <v>8</v>
      </c>
      <c r="N1449" s="5">
        <v>99</v>
      </c>
      <c r="O1449" s="5">
        <v>11</v>
      </c>
      <c r="P1449" s="5">
        <v>0</v>
      </c>
      <c r="Q1449" s="5">
        <v>47</v>
      </c>
      <c r="R1449" s="8">
        <v>4</v>
      </c>
      <c r="S1449" s="8">
        <v>10</v>
      </c>
      <c r="T1449" s="8">
        <v>7</v>
      </c>
      <c r="U1449" s="8">
        <v>5</v>
      </c>
      <c r="V1449" s="8">
        <v>8</v>
      </c>
      <c r="W1449" t="s">
        <v>474</v>
      </c>
      <c r="X1449" t="s">
        <v>473</v>
      </c>
      <c r="Y1449" t="s">
        <v>473</v>
      </c>
      <c r="Z1449" t="s">
        <v>473</v>
      </c>
      <c r="AA1449" t="s">
        <v>473</v>
      </c>
      <c r="AB1449" t="s">
        <v>473</v>
      </c>
      <c r="AC1449" s="10">
        <v>3</v>
      </c>
      <c r="AD1449" s="10">
        <v>11</v>
      </c>
      <c r="AE1449" t="s">
        <v>473</v>
      </c>
    </row>
    <row r="1450" spans="1:31" x14ac:dyDescent="0.25">
      <c r="A1450">
        <v>1232</v>
      </c>
      <c r="B1450">
        <v>1982</v>
      </c>
      <c r="C1450" t="s">
        <v>33</v>
      </c>
      <c r="D1450" t="s">
        <v>31</v>
      </c>
      <c r="E1450" t="str">
        <f>IF(OR(Table1[[#This Row],[marital_status]]="Married", Table1[[#This Row],[marital_status]]="Together"), "Partnered", "Single")</f>
        <v>Partnered</v>
      </c>
      <c r="F1450" s="7">
        <v>70038</v>
      </c>
      <c r="G1450" s="8">
        <v>0</v>
      </c>
      <c r="H1450" s="8">
        <v>0</v>
      </c>
      <c r="I1450" s="8">
        <f>Table1[[#This Row],[kids]]+Table1[[#This Row],[teens]]</f>
        <v>0</v>
      </c>
      <c r="J1450" s="9">
        <v>41572</v>
      </c>
      <c r="K1450" s="8">
        <v>54</v>
      </c>
      <c r="L1450" s="6">
        <v>587</v>
      </c>
      <c r="M1450" s="5">
        <v>54</v>
      </c>
      <c r="N1450" s="5">
        <v>348</v>
      </c>
      <c r="O1450" s="5">
        <v>71</v>
      </c>
      <c r="P1450" s="5">
        <v>54</v>
      </c>
      <c r="Q1450" s="5">
        <v>130</v>
      </c>
      <c r="R1450" s="8">
        <v>1</v>
      </c>
      <c r="S1450" s="8">
        <v>4</v>
      </c>
      <c r="T1450" s="8">
        <v>4</v>
      </c>
      <c r="U1450" s="8">
        <v>8</v>
      </c>
      <c r="V1450" s="8">
        <v>2</v>
      </c>
      <c r="W1450" t="s">
        <v>473</v>
      </c>
      <c r="X1450" t="s">
        <v>473</v>
      </c>
      <c r="Y1450" t="s">
        <v>473</v>
      </c>
      <c r="Z1450" t="s">
        <v>473</v>
      </c>
      <c r="AA1450" t="s">
        <v>473</v>
      </c>
      <c r="AB1450" t="s">
        <v>473</v>
      </c>
      <c r="AC1450" s="10">
        <v>3</v>
      </c>
      <c r="AD1450" s="10">
        <v>11</v>
      </c>
      <c r="AE1450" t="s">
        <v>473</v>
      </c>
    </row>
    <row r="1451" spans="1:31" x14ac:dyDescent="0.25">
      <c r="A1451">
        <v>1927</v>
      </c>
      <c r="B1451">
        <v>1973</v>
      </c>
      <c r="C1451" t="s">
        <v>46</v>
      </c>
      <c r="D1451" t="s">
        <v>31</v>
      </c>
      <c r="E1451" t="str">
        <f>IF(OR(Table1[[#This Row],[marital_status]]="Married", Table1[[#This Row],[marital_status]]="Together"), "Partnered", "Single")</f>
        <v>Partnered</v>
      </c>
      <c r="F1451" s="7">
        <v>69401</v>
      </c>
      <c r="G1451" s="8">
        <v>0</v>
      </c>
      <c r="H1451" s="8">
        <v>1</v>
      </c>
      <c r="I1451" s="8">
        <f>Table1[[#This Row],[kids]]+Table1[[#This Row],[teens]]</f>
        <v>1</v>
      </c>
      <c r="J1451" s="9">
        <v>41721</v>
      </c>
      <c r="K1451" s="8">
        <v>41</v>
      </c>
      <c r="L1451" s="6">
        <v>399</v>
      </c>
      <c r="M1451" s="5">
        <v>27</v>
      </c>
      <c r="N1451" s="5">
        <v>159</v>
      </c>
      <c r="O1451" s="5">
        <v>58</v>
      </c>
      <c r="P1451" s="5">
        <v>8</v>
      </c>
      <c r="Q1451" s="5">
        <v>39</v>
      </c>
      <c r="R1451" s="8">
        <v>4</v>
      </c>
      <c r="S1451" s="8">
        <v>4</v>
      </c>
      <c r="T1451" s="8">
        <v>4</v>
      </c>
      <c r="U1451" s="8">
        <v>5</v>
      </c>
      <c r="V1451" s="8">
        <v>2</v>
      </c>
      <c r="W1451" t="s">
        <v>473</v>
      </c>
      <c r="X1451" t="s">
        <v>473</v>
      </c>
      <c r="Y1451" t="s">
        <v>473</v>
      </c>
      <c r="Z1451" t="s">
        <v>473</v>
      </c>
      <c r="AA1451" t="s">
        <v>473</v>
      </c>
      <c r="AB1451" t="s">
        <v>473</v>
      </c>
      <c r="AC1451" s="10">
        <v>3</v>
      </c>
      <c r="AD1451" s="10">
        <v>11</v>
      </c>
      <c r="AE1451" t="s">
        <v>473</v>
      </c>
    </row>
    <row r="1452" spans="1:31" x14ac:dyDescent="0.25">
      <c r="A1452">
        <v>5788</v>
      </c>
      <c r="B1452">
        <v>1972</v>
      </c>
      <c r="C1452" t="s">
        <v>466</v>
      </c>
      <c r="D1452" t="s">
        <v>31</v>
      </c>
      <c r="E1452" t="str">
        <f>IF(OR(Table1[[#This Row],[marital_status]]="Married", Table1[[#This Row],[marital_status]]="Together"), "Partnered", "Single")</f>
        <v>Partnered</v>
      </c>
      <c r="F1452" s="7">
        <v>46053</v>
      </c>
      <c r="G1452" s="8">
        <v>1</v>
      </c>
      <c r="H1452" s="8">
        <v>0</v>
      </c>
      <c r="I1452" s="8">
        <f>Table1[[#This Row],[kids]]+Table1[[#This Row],[teens]]</f>
        <v>1</v>
      </c>
      <c r="J1452" s="9">
        <v>41322</v>
      </c>
      <c r="K1452" s="8">
        <v>46</v>
      </c>
      <c r="L1452" s="6">
        <v>56</v>
      </c>
      <c r="M1452" s="5">
        <v>10</v>
      </c>
      <c r="N1452" s="5">
        <v>92</v>
      </c>
      <c r="O1452" s="5">
        <v>19</v>
      </c>
      <c r="P1452" s="5">
        <v>7</v>
      </c>
      <c r="Q1452" s="5">
        <v>25</v>
      </c>
      <c r="R1452" s="8">
        <v>3</v>
      </c>
      <c r="S1452" s="8">
        <v>3</v>
      </c>
      <c r="T1452" s="8">
        <v>2</v>
      </c>
      <c r="U1452" s="8">
        <v>4</v>
      </c>
      <c r="V1452" s="8">
        <v>5</v>
      </c>
      <c r="W1452" t="s">
        <v>473</v>
      </c>
      <c r="X1452" t="s">
        <v>473</v>
      </c>
      <c r="Y1452" t="s">
        <v>473</v>
      </c>
      <c r="Z1452" t="s">
        <v>473</v>
      </c>
      <c r="AA1452" t="s">
        <v>473</v>
      </c>
      <c r="AB1452" t="s">
        <v>473</v>
      </c>
      <c r="AC1452" s="10">
        <v>3</v>
      </c>
      <c r="AD1452" s="10">
        <v>11</v>
      </c>
      <c r="AE1452" t="s">
        <v>473</v>
      </c>
    </row>
    <row r="1453" spans="1:31" x14ac:dyDescent="0.25">
      <c r="A1453">
        <v>6652</v>
      </c>
      <c r="B1453">
        <v>1965</v>
      </c>
      <c r="C1453" t="s">
        <v>466</v>
      </c>
      <c r="D1453" t="s">
        <v>34</v>
      </c>
      <c r="E1453" t="str">
        <f>IF(OR(Table1[[#This Row],[marital_status]]="Married", Table1[[#This Row],[marital_status]]="Together"), "Partnered", "Single")</f>
        <v>Partnered</v>
      </c>
      <c r="F1453" s="7">
        <v>77343</v>
      </c>
      <c r="G1453" s="8">
        <v>0</v>
      </c>
      <c r="H1453" s="8">
        <v>0</v>
      </c>
      <c r="I1453" s="8">
        <f>Table1[[#This Row],[kids]]+Table1[[#This Row],[teens]]</f>
        <v>0</v>
      </c>
      <c r="J1453" s="9">
        <v>41799</v>
      </c>
      <c r="K1453" s="8">
        <v>28</v>
      </c>
      <c r="L1453" s="6">
        <v>227</v>
      </c>
      <c r="M1453" s="5">
        <v>151</v>
      </c>
      <c r="N1453" s="5">
        <v>573</v>
      </c>
      <c r="O1453" s="5">
        <v>98</v>
      </c>
      <c r="P1453" s="5">
        <v>54</v>
      </c>
      <c r="Q1453" s="5">
        <v>31</v>
      </c>
      <c r="R1453" s="8">
        <v>1</v>
      </c>
      <c r="S1453" s="8">
        <v>3</v>
      </c>
      <c r="T1453" s="8">
        <v>4</v>
      </c>
      <c r="U1453" s="8">
        <v>9</v>
      </c>
      <c r="V1453" s="8">
        <v>1</v>
      </c>
      <c r="W1453" t="s">
        <v>473</v>
      </c>
      <c r="X1453" t="s">
        <v>473</v>
      </c>
      <c r="Y1453" t="s">
        <v>473</v>
      </c>
      <c r="Z1453" t="s">
        <v>473</v>
      </c>
      <c r="AA1453" t="s">
        <v>473</v>
      </c>
      <c r="AB1453" t="s">
        <v>473</v>
      </c>
      <c r="AC1453" s="10">
        <v>3</v>
      </c>
      <c r="AD1453" s="10">
        <v>11</v>
      </c>
      <c r="AE1453" t="s">
        <v>473</v>
      </c>
    </row>
    <row r="1454" spans="1:31" x14ac:dyDescent="0.25">
      <c r="A1454">
        <v>6246</v>
      </c>
      <c r="B1454">
        <v>1953</v>
      </c>
      <c r="C1454" t="s">
        <v>466</v>
      </c>
      <c r="D1454" t="s">
        <v>30</v>
      </c>
      <c r="E1454" t="str">
        <f>IF(OR(Table1[[#This Row],[marital_status]]="Married", Table1[[#This Row],[marital_status]]="Together"), "Partnered", "Single")</f>
        <v>Single</v>
      </c>
      <c r="F1454" s="7">
        <v>73892</v>
      </c>
      <c r="G1454" s="8">
        <v>0</v>
      </c>
      <c r="H1454" s="8">
        <v>0</v>
      </c>
      <c r="I1454" s="8">
        <f>Table1[[#This Row],[kids]]+Table1[[#This Row],[teens]]</f>
        <v>0</v>
      </c>
      <c r="J1454" s="9">
        <v>41591</v>
      </c>
      <c r="K1454" s="8">
        <v>40</v>
      </c>
      <c r="L1454" s="6">
        <v>703</v>
      </c>
      <c r="M1454" s="5">
        <v>102</v>
      </c>
      <c r="N1454" s="5">
        <v>601</v>
      </c>
      <c r="O1454" s="5">
        <v>0</v>
      </c>
      <c r="P1454" s="5">
        <v>58</v>
      </c>
      <c r="Q1454" s="5">
        <v>43</v>
      </c>
      <c r="R1454" s="8">
        <v>1</v>
      </c>
      <c r="S1454" s="8">
        <v>3</v>
      </c>
      <c r="T1454" s="8">
        <v>11</v>
      </c>
      <c r="U1454" s="8">
        <v>8</v>
      </c>
      <c r="V1454" s="8">
        <v>1</v>
      </c>
      <c r="W1454" t="s">
        <v>473</v>
      </c>
      <c r="X1454" t="s">
        <v>473</v>
      </c>
      <c r="Y1454" t="s">
        <v>473</v>
      </c>
      <c r="Z1454" t="s">
        <v>473</v>
      </c>
      <c r="AA1454" t="s">
        <v>473</v>
      </c>
      <c r="AB1454" t="s">
        <v>473</v>
      </c>
      <c r="AC1454" s="10">
        <v>3</v>
      </c>
      <c r="AD1454" s="10">
        <v>11</v>
      </c>
      <c r="AE1454" t="s">
        <v>474</v>
      </c>
    </row>
    <row r="1455" spans="1:31" x14ac:dyDescent="0.25">
      <c r="A1455">
        <v>5975</v>
      </c>
      <c r="B1455">
        <v>1967</v>
      </c>
      <c r="C1455" t="s">
        <v>33</v>
      </c>
      <c r="D1455" t="s">
        <v>30</v>
      </c>
      <c r="E1455" t="str">
        <f>IF(OR(Table1[[#This Row],[marital_status]]="Married", Table1[[#This Row],[marital_status]]="Together"), "Partnered", "Single")</f>
        <v>Single</v>
      </c>
      <c r="F1455" s="7">
        <v>40304</v>
      </c>
      <c r="G1455" s="8">
        <v>1</v>
      </c>
      <c r="H1455" s="8">
        <v>0</v>
      </c>
      <c r="I1455" s="8">
        <f>Table1[[#This Row],[kids]]+Table1[[#This Row],[teens]]</f>
        <v>1</v>
      </c>
      <c r="J1455" s="9">
        <v>41547</v>
      </c>
      <c r="K1455" s="8">
        <v>82</v>
      </c>
      <c r="L1455" s="6">
        <v>37</v>
      </c>
      <c r="M1455" s="5">
        <v>0</v>
      </c>
      <c r="N1455" s="5">
        <v>17</v>
      </c>
      <c r="O1455" s="5">
        <v>0</v>
      </c>
      <c r="P1455" s="5">
        <v>0</v>
      </c>
      <c r="Q1455" s="5">
        <v>3</v>
      </c>
      <c r="R1455" s="8">
        <v>1</v>
      </c>
      <c r="S1455" s="8">
        <v>2</v>
      </c>
      <c r="T1455" s="8">
        <v>0</v>
      </c>
      <c r="U1455" s="8">
        <v>3</v>
      </c>
      <c r="V1455" s="8">
        <v>7</v>
      </c>
      <c r="W1455" t="s">
        <v>473</v>
      </c>
      <c r="X1455" t="s">
        <v>473</v>
      </c>
      <c r="Y1455" t="s">
        <v>473</v>
      </c>
      <c r="Z1455" t="s">
        <v>473</v>
      </c>
      <c r="AA1455" t="s">
        <v>473</v>
      </c>
      <c r="AB1455" t="s">
        <v>473</v>
      </c>
      <c r="AC1455" s="10">
        <v>3</v>
      </c>
      <c r="AD1455" s="10">
        <v>11</v>
      </c>
      <c r="AE1455" t="s">
        <v>473</v>
      </c>
    </row>
    <row r="1456" spans="1:31" x14ac:dyDescent="0.25">
      <c r="A1456">
        <v>6875</v>
      </c>
      <c r="B1456">
        <v>1965</v>
      </c>
      <c r="C1456" t="s">
        <v>33</v>
      </c>
      <c r="D1456" t="s">
        <v>31</v>
      </c>
      <c r="E1456" t="str">
        <f>IF(OR(Table1[[#This Row],[marital_status]]="Married", Table1[[#This Row],[marital_status]]="Together"), "Partnered", "Single")</f>
        <v>Partnered</v>
      </c>
      <c r="F1456" s="7">
        <v>32727</v>
      </c>
      <c r="G1456" s="8">
        <v>0</v>
      </c>
      <c r="H1456" s="8">
        <v>0</v>
      </c>
      <c r="I1456" s="8">
        <f>Table1[[#This Row],[kids]]+Table1[[#This Row],[teens]]</f>
        <v>0</v>
      </c>
      <c r="J1456" s="9">
        <v>41149</v>
      </c>
      <c r="K1456" s="8">
        <v>38</v>
      </c>
      <c r="L1456" s="6">
        <v>167</v>
      </c>
      <c r="M1456" s="5">
        <v>13</v>
      </c>
      <c r="N1456" s="5">
        <v>180</v>
      </c>
      <c r="O1456" s="5">
        <v>86</v>
      </c>
      <c r="P1456" s="5">
        <v>13</v>
      </c>
      <c r="Q1456" s="5">
        <v>70</v>
      </c>
      <c r="R1456" s="8">
        <v>2</v>
      </c>
      <c r="S1456" s="8">
        <v>7</v>
      </c>
      <c r="T1456" s="8">
        <v>3</v>
      </c>
      <c r="U1456" s="8">
        <v>5</v>
      </c>
      <c r="V1456" s="8">
        <v>8</v>
      </c>
      <c r="W1456" t="s">
        <v>473</v>
      </c>
      <c r="X1456" t="s">
        <v>473</v>
      </c>
      <c r="Y1456" t="s">
        <v>473</v>
      </c>
      <c r="Z1456" t="s">
        <v>473</v>
      </c>
      <c r="AA1456" t="s">
        <v>473</v>
      </c>
      <c r="AB1456" t="s">
        <v>473</v>
      </c>
      <c r="AC1456" s="10">
        <v>3</v>
      </c>
      <c r="AD1456" s="10">
        <v>11</v>
      </c>
      <c r="AE1456" t="s">
        <v>473</v>
      </c>
    </row>
    <row r="1457" spans="1:31" x14ac:dyDescent="0.25">
      <c r="A1457">
        <v>4399</v>
      </c>
      <c r="B1457">
        <v>1969</v>
      </c>
      <c r="C1457" t="s">
        <v>466</v>
      </c>
      <c r="D1457" t="s">
        <v>31</v>
      </c>
      <c r="E1457" t="str">
        <f>IF(OR(Table1[[#This Row],[marital_status]]="Married", Table1[[#This Row],[marital_status]]="Together"), "Partnered", "Single")</f>
        <v>Partnered</v>
      </c>
      <c r="F1457" s="7">
        <v>68695</v>
      </c>
      <c r="G1457" s="8">
        <v>0</v>
      </c>
      <c r="H1457" s="8">
        <v>0</v>
      </c>
      <c r="I1457" s="8">
        <f>Table1[[#This Row],[kids]]+Table1[[#This Row],[teens]]</f>
        <v>0</v>
      </c>
      <c r="J1457" s="9">
        <v>41815</v>
      </c>
      <c r="K1457" s="8">
        <v>3</v>
      </c>
      <c r="L1457" s="6">
        <v>458</v>
      </c>
      <c r="M1457" s="5">
        <v>81</v>
      </c>
      <c r="N1457" s="5">
        <v>356</v>
      </c>
      <c r="O1457" s="5">
        <v>106</v>
      </c>
      <c r="P1457" s="5">
        <v>50</v>
      </c>
      <c r="Q1457" s="5">
        <v>40</v>
      </c>
      <c r="R1457" s="8">
        <v>1</v>
      </c>
      <c r="S1457" s="8">
        <v>4</v>
      </c>
      <c r="T1457" s="8">
        <v>4</v>
      </c>
      <c r="U1457" s="8">
        <v>7</v>
      </c>
      <c r="V1457" s="8">
        <v>2</v>
      </c>
      <c r="W1457" t="s">
        <v>473</v>
      </c>
      <c r="X1457" t="s">
        <v>473</v>
      </c>
      <c r="Y1457" t="s">
        <v>473</v>
      </c>
      <c r="Z1457" t="s">
        <v>473</v>
      </c>
      <c r="AA1457" t="s">
        <v>473</v>
      </c>
      <c r="AB1457" t="s">
        <v>473</v>
      </c>
      <c r="AC1457" s="10">
        <v>3</v>
      </c>
      <c r="AD1457" s="10">
        <v>11</v>
      </c>
      <c r="AE1457" t="s">
        <v>473</v>
      </c>
    </row>
    <row r="1458" spans="1:31" x14ac:dyDescent="0.25">
      <c r="A1458">
        <v>4042</v>
      </c>
      <c r="B1458">
        <v>1971</v>
      </c>
      <c r="C1458" t="s">
        <v>466</v>
      </c>
      <c r="D1458" t="s">
        <v>37</v>
      </c>
      <c r="E1458" t="str">
        <f>IF(OR(Table1[[#This Row],[marital_status]]="Married", Table1[[#This Row],[marital_status]]="Together"), "Partnered", "Single")</f>
        <v>Single</v>
      </c>
      <c r="F1458" s="7">
        <v>43300</v>
      </c>
      <c r="G1458" s="8">
        <v>0</v>
      </c>
      <c r="H1458" s="8">
        <v>1</v>
      </c>
      <c r="I1458" s="8">
        <f>Table1[[#This Row],[kids]]+Table1[[#This Row],[teens]]</f>
        <v>1</v>
      </c>
      <c r="J1458" s="9">
        <v>41195</v>
      </c>
      <c r="K1458" s="8">
        <v>87</v>
      </c>
      <c r="L1458" s="6">
        <v>91</v>
      </c>
      <c r="M1458" s="5">
        <v>3</v>
      </c>
      <c r="N1458" s="5">
        <v>52</v>
      </c>
      <c r="O1458" s="5">
        <v>2</v>
      </c>
      <c r="P1458" s="5">
        <v>1</v>
      </c>
      <c r="Q1458" s="5">
        <v>31</v>
      </c>
      <c r="R1458" s="8">
        <v>3</v>
      </c>
      <c r="S1458" s="8">
        <v>4</v>
      </c>
      <c r="T1458" s="8">
        <v>0</v>
      </c>
      <c r="U1458" s="8">
        <v>4</v>
      </c>
      <c r="V1458" s="8">
        <v>8</v>
      </c>
      <c r="W1458" t="s">
        <v>473</v>
      </c>
      <c r="X1458" t="s">
        <v>473</v>
      </c>
      <c r="Y1458" t="s">
        <v>473</v>
      </c>
      <c r="Z1458" t="s">
        <v>473</v>
      </c>
      <c r="AA1458" t="s">
        <v>473</v>
      </c>
      <c r="AB1458" t="s">
        <v>473</v>
      </c>
      <c r="AC1458" s="10">
        <v>3</v>
      </c>
      <c r="AD1458" s="10">
        <v>11</v>
      </c>
      <c r="AE1458" t="s">
        <v>474</v>
      </c>
    </row>
    <row r="1459" spans="1:31" x14ac:dyDescent="0.25">
      <c r="A1459">
        <v>2157</v>
      </c>
      <c r="B1459">
        <v>1972</v>
      </c>
      <c r="C1459" t="s">
        <v>466</v>
      </c>
      <c r="D1459" t="s">
        <v>31</v>
      </c>
      <c r="E1459" t="str">
        <f>IF(OR(Table1[[#This Row],[marital_status]]="Married", Table1[[#This Row],[marital_status]]="Together"), "Partnered", "Single")</f>
        <v>Partnered</v>
      </c>
      <c r="F1459" s="7">
        <v>26290</v>
      </c>
      <c r="G1459" s="8">
        <v>1</v>
      </c>
      <c r="H1459" s="8">
        <v>1</v>
      </c>
      <c r="I1459" s="8">
        <f>Table1[[#This Row],[kids]]+Table1[[#This Row],[teens]]</f>
        <v>2</v>
      </c>
      <c r="J1459" s="9">
        <v>41286</v>
      </c>
      <c r="K1459" s="8">
        <v>49</v>
      </c>
      <c r="L1459" s="6">
        <v>15</v>
      </c>
      <c r="M1459" s="5">
        <v>8</v>
      </c>
      <c r="N1459" s="5">
        <v>16</v>
      </c>
      <c r="O1459" s="5">
        <v>11</v>
      </c>
      <c r="P1459" s="5">
        <v>5</v>
      </c>
      <c r="Q1459" s="5">
        <v>22</v>
      </c>
      <c r="R1459" s="8">
        <v>4</v>
      </c>
      <c r="S1459" s="8">
        <v>2</v>
      </c>
      <c r="T1459" s="8">
        <v>0</v>
      </c>
      <c r="U1459" s="8">
        <v>4</v>
      </c>
      <c r="V1459" s="8">
        <v>6</v>
      </c>
      <c r="W1459" t="s">
        <v>473</v>
      </c>
      <c r="X1459" t="s">
        <v>473</v>
      </c>
      <c r="Y1459" t="s">
        <v>473</v>
      </c>
      <c r="Z1459" t="s">
        <v>473</v>
      </c>
      <c r="AA1459" t="s">
        <v>473</v>
      </c>
      <c r="AB1459" t="s">
        <v>473</v>
      </c>
      <c r="AC1459" s="10">
        <v>3</v>
      </c>
      <c r="AD1459" s="10">
        <v>11</v>
      </c>
      <c r="AE1459" t="s">
        <v>473</v>
      </c>
    </row>
    <row r="1460" spans="1:31" x14ac:dyDescent="0.25">
      <c r="A1460">
        <v>10133</v>
      </c>
      <c r="B1460">
        <v>1970</v>
      </c>
      <c r="C1460" t="s">
        <v>466</v>
      </c>
      <c r="D1460" t="s">
        <v>30</v>
      </c>
      <c r="E1460" t="str">
        <f>IF(OR(Table1[[#This Row],[marital_status]]="Married", Table1[[#This Row],[marital_status]]="Together"), "Partnered", "Single")</f>
        <v>Single</v>
      </c>
      <c r="F1460" s="7">
        <v>93790</v>
      </c>
      <c r="G1460" s="8">
        <v>0</v>
      </c>
      <c r="H1460" s="8">
        <v>0</v>
      </c>
      <c r="I1460" s="8">
        <f>Table1[[#This Row],[kids]]+Table1[[#This Row],[teens]]</f>
        <v>0</v>
      </c>
      <c r="J1460" s="9">
        <v>41682</v>
      </c>
      <c r="K1460" s="8">
        <v>16</v>
      </c>
      <c r="L1460" s="6">
        <v>1302</v>
      </c>
      <c r="M1460" s="5">
        <v>68</v>
      </c>
      <c r="N1460" s="5">
        <v>731</v>
      </c>
      <c r="O1460" s="5">
        <v>89</v>
      </c>
      <c r="P1460" s="5">
        <v>114</v>
      </c>
      <c r="Q1460" s="5">
        <v>45</v>
      </c>
      <c r="R1460" s="8">
        <v>0</v>
      </c>
      <c r="S1460" s="8">
        <v>6</v>
      </c>
      <c r="T1460" s="8">
        <v>7</v>
      </c>
      <c r="U1460" s="8">
        <v>12</v>
      </c>
      <c r="V1460" s="8">
        <v>2</v>
      </c>
      <c r="W1460" t="s">
        <v>473</v>
      </c>
      <c r="X1460" t="s">
        <v>474</v>
      </c>
      <c r="Y1460" t="s">
        <v>474</v>
      </c>
      <c r="Z1460" t="s">
        <v>474</v>
      </c>
      <c r="AA1460" t="s">
        <v>473</v>
      </c>
      <c r="AB1460" t="s">
        <v>473</v>
      </c>
      <c r="AC1460" s="10">
        <v>3</v>
      </c>
      <c r="AD1460" s="10">
        <v>11</v>
      </c>
      <c r="AE1460" t="s">
        <v>474</v>
      </c>
    </row>
    <row r="1461" spans="1:31" x14ac:dyDescent="0.25">
      <c r="A1461">
        <v>2525</v>
      </c>
      <c r="B1461">
        <v>1974</v>
      </c>
      <c r="C1461" t="s">
        <v>33</v>
      </c>
      <c r="D1461" t="s">
        <v>34</v>
      </c>
      <c r="E1461" t="str">
        <f>IF(OR(Table1[[#This Row],[marital_status]]="Married", Table1[[#This Row],[marital_status]]="Together"), "Partnered", "Single")</f>
        <v>Partnered</v>
      </c>
      <c r="F1461" s="7">
        <v>38410</v>
      </c>
      <c r="G1461" s="8">
        <v>0</v>
      </c>
      <c r="H1461" s="8">
        <v>0</v>
      </c>
      <c r="I1461" s="8">
        <f>Table1[[#This Row],[kids]]+Table1[[#This Row],[teens]]</f>
        <v>0</v>
      </c>
      <c r="J1461" s="9">
        <v>41166</v>
      </c>
      <c r="K1461" s="8">
        <v>65</v>
      </c>
      <c r="L1461" s="6">
        <v>153</v>
      </c>
      <c r="M1461" s="5">
        <v>64</v>
      </c>
      <c r="N1461" s="5">
        <v>123</v>
      </c>
      <c r="O1461" s="5">
        <v>116</v>
      </c>
      <c r="P1461" s="5">
        <v>64</v>
      </c>
      <c r="Q1461" s="5">
        <v>14</v>
      </c>
      <c r="R1461" s="8">
        <v>2</v>
      </c>
      <c r="S1461" s="8">
        <v>5</v>
      </c>
      <c r="T1461" s="8">
        <v>2</v>
      </c>
      <c r="U1461" s="8">
        <v>9</v>
      </c>
      <c r="V1461" s="8">
        <v>6</v>
      </c>
      <c r="W1461" t="s">
        <v>473</v>
      </c>
      <c r="X1461" t="s">
        <v>473</v>
      </c>
      <c r="Y1461" t="s">
        <v>473</v>
      </c>
      <c r="Z1461" t="s">
        <v>473</v>
      </c>
      <c r="AA1461" t="s">
        <v>473</v>
      </c>
      <c r="AB1461" t="s">
        <v>473</v>
      </c>
      <c r="AC1461" s="10">
        <v>3</v>
      </c>
      <c r="AD1461" s="10">
        <v>11</v>
      </c>
      <c r="AE1461" t="s">
        <v>474</v>
      </c>
    </row>
    <row r="1462" spans="1:31" x14ac:dyDescent="0.25">
      <c r="A1462">
        <v>8233</v>
      </c>
      <c r="B1462">
        <v>1950</v>
      </c>
      <c r="C1462" t="s">
        <v>36</v>
      </c>
      <c r="D1462" t="s">
        <v>57</v>
      </c>
      <c r="E1462" t="str">
        <f>IF(OR(Table1[[#This Row],[marital_status]]="Married", Table1[[#This Row],[marital_status]]="Together"), "Partnered", "Single")</f>
        <v>Single</v>
      </c>
      <c r="F1462" s="7">
        <v>64866</v>
      </c>
      <c r="G1462" s="8">
        <v>0</v>
      </c>
      <c r="H1462" s="8">
        <v>1</v>
      </c>
      <c r="I1462" s="8">
        <f>Table1[[#This Row],[kids]]+Table1[[#This Row],[teens]]</f>
        <v>1</v>
      </c>
      <c r="J1462" s="9">
        <v>41665</v>
      </c>
      <c r="K1462" s="8">
        <v>9</v>
      </c>
      <c r="L1462" s="6">
        <v>508</v>
      </c>
      <c r="M1462" s="5">
        <v>5</v>
      </c>
      <c r="N1462" s="5">
        <v>21</v>
      </c>
      <c r="O1462" s="5">
        <v>7</v>
      </c>
      <c r="P1462" s="5">
        <v>5</v>
      </c>
      <c r="Q1462" s="5">
        <v>10</v>
      </c>
      <c r="R1462" s="8">
        <v>4</v>
      </c>
      <c r="S1462" s="8">
        <v>7</v>
      </c>
      <c r="T1462" s="8">
        <v>3</v>
      </c>
      <c r="U1462" s="8">
        <v>7</v>
      </c>
      <c r="V1462" s="8">
        <v>5</v>
      </c>
      <c r="W1462" t="s">
        <v>473</v>
      </c>
      <c r="X1462" t="s">
        <v>474</v>
      </c>
      <c r="Y1462" t="s">
        <v>473</v>
      </c>
      <c r="Z1462" t="s">
        <v>473</v>
      </c>
      <c r="AA1462" t="s">
        <v>473</v>
      </c>
      <c r="AB1462" t="s">
        <v>473</v>
      </c>
      <c r="AC1462" s="10">
        <v>3</v>
      </c>
      <c r="AD1462" s="10">
        <v>11</v>
      </c>
      <c r="AE1462" t="s">
        <v>473</v>
      </c>
    </row>
    <row r="1463" spans="1:31" x14ac:dyDescent="0.25">
      <c r="A1463">
        <v>9483</v>
      </c>
      <c r="B1463">
        <v>1959</v>
      </c>
      <c r="C1463" t="s">
        <v>466</v>
      </c>
      <c r="D1463" t="s">
        <v>31</v>
      </c>
      <c r="E1463" t="str">
        <f>IF(OR(Table1[[#This Row],[marital_status]]="Married", Table1[[#This Row],[marital_status]]="Together"), "Partnered", "Single")</f>
        <v>Partnered</v>
      </c>
      <c r="F1463" s="7">
        <v>57957</v>
      </c>
      <c r="G1463" s="8">
        <v>0</v>
      </c>
      <c r="H1463" s="8">
        <v>1</v>
      </c>
      <c r="I1463" s="8">
        <f>Table1[[#This Row],[kids]]+Table1[[#This Row],[teens]]</f>
        <v>1</v>
      </c>
      <c r="J1463" s="9">
        <v>41505</v>
      </c>
      <c r="K1463" s="8">
        <v>24</v>
      </c>
      <c r="L1463" s="6">
        <v>290</v>
      </c>
      <c r="M1463" s="5">
        <v>59</v>
      </c>
      <c r="N1463" s="5">
        <v>177</v>
      </c>
      <c r="O1463" s="5">
        <v>77</v>
      </c>
      <c r="P1463" s="5">
        <v>5</v>
      </c>
      <c r="Q1463" s="5">
        <v>29</v>
      </c>
      <c r="R1463" s="8">
        <v>7</v>
      </c>
      <c r="S1463" s="8">
        <v>4</v>
      </c>
      <c r="T1463" s="8">
        <v>6</v>
      </c>
      <c r="U1463" s="8">
        <v>8</v>
      </c>
      <c r="V1463" s="8">
        <v>3</v>
      </c>
      <c r="W1463" t="s">
        <v>473</v>
      </c>
      <c r="X1463" t="s">
        <v>473</v>
      </c>
      <c r="Y1463" t="s">
        <v>473</v>
      </c>
      <c r="Z1463" t="s">
        <v>473</v>
      </c>
      <c r="AA1463" t="s">
        <v>473</v>
      </c>
      <c r="AB1463" t="s">
        <v>474</v>
      </c>
      <c r="AC1463" s="10">
        <v>3</v>
      </c>
      <c r="AD1463" s="10">
        <v>11</v>
      </c>
      <c r="AE1463" t="s">
        <v>473</v>
      </c>
    </row>
    <row r="1464" spans="1:31" x14ac:dyDescent="0.25">
      <c r="A1464">
        <v>2945</v>
      </c>
      <c r="B1464">
        <v>1955</v>
      </c>
      <c r="C1464" t="s">
        <v>33</v>
      </c>
      <c r="D1464" t="s">
        <v>31</v>
      </c>
      <c r="E1464" t="str">
        <f>IF(OR(Table1[[#This Row],[marital_status]]="Married", Table1[[#This Row],[marital_status]]="Together"), "Partnered", "Single")</f>
        <v>Partnered</v>
      </c>
      <c r="F1464" s="7">
        <v>46015</v>
      </c>
      <c r="G1464" s="8">
        <v>1</v>
      </c>
      <c r="H1464" s="8">
        <v>1</v>
      </c>
      <c r="I1464" s="8">
        <f>Table1[[#This Row],[kids]]+Table1[[#This Row],[teens]]</f>
        <v>2</v>
      </c>
      <c r="J1464" s="9">
        <v>41742</v>
      </c>
      <c r="K1464" s="8">
        <v>25</v>
      </c>
      <c r="L1464" s="6">
        <v>38</v>
      </c>
      <c r="M1464" s="5">
        <v>0</v>
      </c>
      <c r="N1464" s="5">
        <v>2</v>
      </c>
      <c r="O1464" s="5">
        <v>0</v>
      </c>
      <c r="P1464" s="5">
        <v>0</v>
      </c>
      <c r="Q1464" s="5">
        <v>6</v>
      </c>
      <c r="R1464" s="8">
        <v>1</v>
      </c>
      <c r="S1464" s="8">
        <v>1</v>
      </c>
      <c r="T1464" s="8">
        <v>0</v>
      </c>
      <c r="U1464" s="8">
        <v>3</v>
      </c>
      <c r="V1464" s="8">
        <v>7</v>
      </c>
      <c r="W1464" t="s">
        <v>474</v>
      </c>
      <c r="X1464" t="s">
        <v>473</v>
      </c>
      <c r="Y1464" t="s">
        <v>473</v>
      </c>
      <c r="Z1464" t="s">
        <v>473</v>
      </c>
      <c r="AA1464" t="s">
        <v>474</v>
      </c>
      <c r="AB1464" t="s">
        <v>473</v>
      </c>
      <c r="AC1464" s="10">
        <v>3</v>
      </c>
      <c r="AD1464" s="10">
        <v>11</v>
      </c>
      <c r="AE1464" t="s">
        <v>473</v>
      </c>
    </row>
    <row r="1465" spans="1:31" x14ac:dyDescent="0.25">
      <c r="A1465">
        <v>10403</v>
      </c>
      <c r="B1465">
        <v>1978</v>
      </c>
      <c r="C1465" t="s">
        <v>466</v>
      </c>
      <c r="D1465" t="s">
        <v>31</v>
      </c>
      <c r="E1465" t="str">
        <f>IF(OR(Table1[[#This Row],[marital_status]]="Married", Table1[[#This Row],[marital_status]]="Together"), "Partnered", "Single")</f>
        <v>Partnered</v>
      </c>
      <c r="F1465" s="7">
        <v>16531</v>
      </c>
      <c r="G1465" s="8">
        <v>1</v>
      </c>
      <c r="H1465" s="8">
        <v>0</v>
      </c>
      <c r="I1465" s="8">
        <f>Table1[[#This Row],[kids]]+Table1[[#This Row],[teens]]</f>
        <v>1</v>
      </c>
      <c r="J1465" s="9">
        <v>41808</v>
      </c>
      <c r="K1465" s="8">
        <v>43</v>
      </c>
      <c r="L1465" s="6">
        <v>2</v>
      </c>
      <c r="M1465" s="5">
        <v>13</v>
      </c>
      <c r="N1465" s="5">
        <v>6</v>
      </c>
      <c r="O1465" s="5">
        <v>7</v>
      </c>
      <c r="P1465" s="5">
        <v>5</v>
      </c>
      <c r="Q1465" s="5">
        <v>11</v>
      </c>
      <c r="R1465" s="8">
        <v>3</v>
      </c>
      <c r="S1465" s="8">
        <v>3</v>
      </c>
      <c r="T1465" s="8">
        <v>0</v>
      </c>
      <c r="U1465" s="8">
        <v>3</v>
      </c>
      <c r="V1465" s="8">
        <v>7</v>
      </c>
      <c r="W1465" t="s">
        <v>473</v>
      </c>
      <c r="X1465" t="s">
        <v>473</v>
      </c>
      <c r="Y1465" t="s">
        <v>473</v>
      </c>
      <c r="Z1465" t="s">
        <v>473</v>
      </c>
      <c r="AA1465" t="s">
        <v>473</v>
      </c>
      <c r="AB1465" t="s">
        <v>473</v>
      </c>
      <c r="AC1465" s="10">
        <v>3</v>
      </c>
      <c r="AD1465" s="10">
        <v>11</v>
      </c>
      <c r="AE1465" t="s">
        <v>473</v>
      </c>
    </row>
    <row r="1466" spans="1:31" x14ac:dyDescent="0.25">
      <c r="A1466">
        <v>5074</v>
      </c>
      <c r="B1466">
        <v>1986</v>
      </c>
      <c r="C1466" t="s">
        <v>36</v>
      </c>
      <c r="D1466" t="s">
        <v>34</v>
      </c>
      <c r="E1466" t="str">
        <f>IF(OR(Table1[[#This Row],[marital_status]]="Married", Table1[[#This Row],[marital_status]]="Together"), "Partnered", "Single")</f>
        <v>Partnered</v>
      </c>
      <c r="F1466" s="7">
        <v>28072</v>
      </c>
      <c r="G1466" s="8">
        <v>1</v>
      </c>
      <c r="H1466" s="8">
        <v>0</v>
      </c>
      <c r="I1466" s="8">
        <f>Table1[[#This Row],[kids]]+Table1[[#This Row],[teens]]</f>
        <v>1</v>
      </c>
      <c r="J1466" s="9">
        <v>41463</v>
      </c>
      <c r="K1466" s="8">
        <v>10</v>
      </c>
      <c r="L1466" s="6">
        <v>30</v>
      </c>
      <c r="M1466" s="5">
        <v>0</v>
      </c>
      <c r="N1466" s="5">
        <v>10</v>
      </c>
      <c r="O1466" s="5">
        <v>2</v>
      </c>
      <c r="P1466" s="5">
        <v>0</v>
      </c>
      <c r="Q1466" s="5">
        <v>5</v>
      </c>
      <c r="R1466" s="8">
        <v>1</v>
      </c>
      <c r="S1466" s="8">
        <v>1</v>
      </c>
      <c r="T1466" s="8">
        <v>0</v>
      </c>
      <c r="U1466" s="8">
        <v>3</v>
      </c>
      <c r="V1466" s="8">
        <v>7</v>
      </c>
      <c r="W1466" t="s">
        <v>473</v>
      </c>
      <c r="X1466" t="s">
        <v>473</v>
      </c>
      <c r="Y1466" t="s">
        <v>473</v>
      </c>
      <c r="Z1466" t="s">
        <v>473</v>
      </c>
      <c r="AA1466" t="s">
        <v>473</v>
      </c>
      <c r="AB1466" t="s">
        <v>473</v>
      </c>
      <c r="AC1466" s="10">
        <v>3</v>
      </c>
      <c r="AD1466" s="10">
        <v>11</v>
      </c>
      <c r="AE1466" t="s">
        <v>473</v>
      </c>
    </row>
    <row r="1467" spans="1:31" x14ac:dyDescent="0.25">
      <c r="A1467">
        <v>10524</v>
      </c>
      <c r="B1467">
        <v>1963</v>
      </c>
      <c r="C1467" t="s">
        <v>36</v>
      </c>
      <c r="D1467" t="s">
        <v>37</v>
      </c>
      <c r="E1467" t="str">
        <f>IF(OR(Table1[[#This Row],[marital_status]]="Married", Table1[[#This Row],[marital_status]]="Together"), "Partnered", "Single")</f>
        <v>Single</v>
      </c>
      <c r="F1467" s="7">
        <v>49476</v>
      </c>
      <c r="G1467" s="8">
        <v>0</v>
      </c>
      <c r="H1467" s="8">
        <v>1</v>
      </c>
      <c r="I1467" s="8">
        <f>Table1[[#This Row],[kids]]+Table1[[#This Row],[teens]]</f>
        <v>1</v>
      </c>
      <c r="J1467" s="9">
        <v>41445</v>
      </c>
      <c r="K1467" s="8">
        <v>29</v>
      </c>
      <c r="L1467" s="6">
        <v>386</v>
      </c>
      <c r="M1467" s="5">
        <v>23</v>
      </c>
      <c r="N1467" s="5">
        <v>95</v>
      </c>
      <c r="O1467" s="5">
        <v>54</v>
      </c>
      <c r="P1467" s="5">
        <v>41</v>
      </c>
      <c r="Q1467" s="5">
        <v>196</v>
      </c>
      <c r="R1467" s="8">
        <v>4</v>
      </c>
      <c r="S1467" s="8">
        <v>2</v>
      </c>
      <c r="T1467" s="8">
        <v>11</v>
      </c>
      <c r="U1467" s="8">
        <v>5</v>
      </c>
      <c r="V1467" s="8">
        <v>2</v>
      </c>
      <c r="W1467" t="s">
        <v>473</v>
      </c>
      <c r="X1467" t="s">
        <v>473</v>
      </c>
      <c r="Y1467" t="s">
        <v>473</v>
      </c>
      <c r="Z1467" t="s">
        <v>473</v>
      </c>
      <c r="AA1467" t="s">
        <v>473</v>
      </c>
      <c r="AB1467" t="s">
        <v>473</v>
      </c>
      <c r="AC1467" s="10">
        <v>3</v>
      </c>
      <c r="AD1467" s="10">
        <v>11</v>
      </c>
      <c r="AE1467" t="s">
        <v>473</v>
      </c>
    </row>
    <row r="1468" spans="1:31" x14ac:dyDescent="0.25">
      <c r="A1468">
        <v>4690</v>
      </c>
      <c r="B1468">
        <v>1953</v>
      </c>
      <c r="C1468" t="s">
        <v>466</v>
      </c>
      <c r="D1468" t="s">
        <v>34</v>
      </c>
      <c r="E1468" t="str">
        <f>IF(OR(Table1[[#This Row],[marital_status]]="Married", Table1[[#This Row],[marital_status]]="Together"), "Partnered", "Single")</f>
        <v>Partnered</v>
      </c>
      <c r="F1468" s="7">
        <v>50725</v>
      </c>
      <c r="G1468" s="8">
        <v>0</v>
      </c>
      <c r="H1468" s="8">
        <v>1</v>
      </c>
      <c r="I1468" s="8">
        <f>Table1[[#This Row],[kids]]+Table1[[#This Row],[teens]]</f>
        <v>1</v>
      </c>
      <c r="J1468" s="9">
        <v>41318</v>
      </c>
      <c r="K1468" s="8">
        <v>45</v>
      </c>
      <c r="L1468" s="6">
        <v>443</v>
      </c>
      <c r="M1468" s="5">
        <v>10</v>
      </c>
      <c r="N1468" s="5">
        <v>75</v>
      </c>
      <c r="O1468" s="5">
        <v>0</v>
      </c>
      <c r="P1468" s="5">
        <v>10</v>
      </c>
      <c r="Q1468" s="5">
        <v>48</v>
      </c>
      <c r="R1468" s="8">
        <v>4</v>
      </c>
      <c r="S1468" s="8">
        <v>8</v>
      </c>
      <c r="T1468" s="8">
        <v>1</v>
      </c>
      <c r="U1468" s="8">
        <v>8</v>
      </c>
      <c r="V1468" s="8">
        <v>8</v>
      </c>
      <c r="W1468" t="s">
        <v>473</v>
      </c>
      <c r="X1468" t="s">
        <v>473</v>
      </c>
      <c r="Y1468" t="s">
        <v>473</v>
      </c>
      <c r="Z1468" t="s">
        <v>473</v>
      </c>
      <c r="AA1468" t="s">
        <v>473</v>
      </c>
      <c r="AB1468" t="s">
        <v>473</v>
      </c>
      <c r="AC1468" s="10">
        <v>3</v>
      </c>
      <c r="AD1468" s="10">
        <v>11</v>
      </c>
      <c r="AE1468" t="s">
        <v>473</v>
      </c>
    </row>
    <row r="1469" spans="1:31" x14ac:dyDescent="0.25">
      <c r="A1469">
        <v>7521</v>
      </c>
      <c r="B1469">
        <v>1952</v>
      </c>
      <c r="C1469" t="s">
        <v>466</v>
      </c>
      <c r="D1469" t="s">
        <v>31</v>
      </c>
      <c r="E1469" t="str">
        <f>IF(OR(Table1[[#This Row],[marital_status]]="Married", Table1[[#This Row],[marital_status]]="Together"), "Partnered", "Single")</f>
        <v>Partnered</v>
      </c>
      <c r="F1469" s="7">
        <v>83844</v>
      </c>
      <c r="G1469" s="8">
        <v>0</v>
      </c>
      <c r="H1469" s="8">
        <v>0</v>
      </c>
      <c r="I1469" s="8">
        <f>Table1[[#This Row],[kids]]+Table1[[#This Row],[teens]]</f>
        <v>0</v>
      </c>
      <c r="J1469" s="9">
        <v>41406</v>
      </c>
      <c r="K1469" s="8">
        <v>57</v>
      </c>
      <c r="L1469" s="6">
        <v>901</v>
      </c>
      <c r="M1469" s="5">
        <v>31</v>
      </c>
      <c r="N1469" s="5">
        <v>345</v>
      </c>
      <c r="O1469" s="5">
        <v>75</v>
      </c>
      <c r="P1469" s="5">
        <v>31</v>
      </c>
      <c r="Q1469" s="5">
        <v>191</v>
      </c>
      <c r="R1469" s="8">
        <v>1</v>
      </c>
      <c r="S1469" s="8">
        <v>4</v>
      </c>
      <c r="T1469" s="8">
        <v>4</v>
      </c>
      <c r="U1469" s="8">
        <v>11</v>
      </c>
      <c r="V1469" s="8">
        <v>1</v>
      </c>
      <c r="W1469" t="s">
        <v>473</v>
      </c>
      <c r="X1469" t="s">
        <v>473</v>
      </c>
      <c r="Y1469" t="s">
        <v>474</v>
      </c>
      <c r="Z1469" t="s">
        <v>473</v>
      </c>
      <c r="AA1469" t="s">
        <v>473</v>
      </c>
      <c r="AB1469" t="s">
        <v>473</v>
      </c>
      <c r="AC1469" s="10">
        <v>3</v>
      </c>
      <c r="AD1469" s="10">
        <v>11</v>
      </c>
      <c r="AE1469" t="s">
        <v>473</v>
      </c>
    </row>
    <row r="1470" spans="1:31" x14ac:dyDescent="0.25">
      <c r="A1470">
        <v>7196</v>
      </c>
      <c r="B1470">
        <v>1950</v>
      </c>
      <c r="C1470" t="s">
        <v>33</v>
      </c>
      <c r="D1470" t="s">
        <v>34</v>
      </c>
      <c r="E1470" t="str">
        <f>IF(OR(Table1[[#This Row],[marital_status]]="Married", Table1[[#This Row],[marital_status]]="Together"), "Partnered", "Single")</f>
        <v>Partnered</v>
      </c>
      <c r="F1470" s="7">
        <v>41145</v>
      </c>
      <c r="G1470" s="8">
        <v>1</v>
      </c>
      <c r="H1470" s="8">
        <v>1</v>
      </c>
      <c r="I1470" s="8">
        <f>Table1[[#This Row],[kids]]+Table1[[#This Row],[teens]]</f>
        <v>2</v>
      </c>
      <c r="J1470" s="9">
        <v>41678</v>
      </c>
      <c r="K1470" s="8">
        <v>20</v>
      </c>
      <c r="L1470" s="6">
        <v>9</v>
      </c>
      <c r="M1470" s="5">
        <v>0</v>
      </c>
      <c r="N1470" s="5">
        <v>3</v>
      </c>
      <c r="O1470" s="5">
        <v>0</v>
      </c>
      <c r="P1470" s="5">
        <v>0</v>
      </c>
      <c r="Q1470" s="5">
        <v>1</v>
      </c>
      <c r="R1470" s="8">
        <v>1</v>
      </c>
      <c r="S1470" s="8">
        <v>0</v>
      </c>
      <c r="T1470" s="8">
        <v>0</v>
      </c>
      <c r="U1470" s="8">
        <v>3</v>
      </c>
      <c r="V1470" s="8">
        <v>3</v>
      </c>
      <c r="W1470" t="s">
        <v>473</v>
      </c>
      <c r="X1470" t="s">
        <v>473</v>
      </c>
      <c r="Y1470" t="s">
        <v>473</v>
      </c>
      <c r="Z1470" t="s">
        <v>473</v>
      </c>
      <c r="AA1470" t="s">
        <v>473</v>
      </c>
      <c r="AB1470" t="s">
        <v>473</v>
      </c>
      <c r="AC1470" s="10">
        <v>3</v>
      </c>
      <c r="AD1470" s="10">
        <v>11</v>
      </c>
      <c r="AE1470" t="s">
        <v>473</v>
      </c>
    </row>
    <row r="1471" spans="1:31" x14ac:dyDescent="0.25">
      <c r="A1471">
        <v>4406</v>
      </c>
      <c r="B1471">
        <v>1970</v>
      </c>
      <c r="C1471" t="s">
        <v>466</v>
      </c>
      <c r="D1471" t="s">
        <v>31</v>
      </c>
      <c r="E1471" t="str">
        <f>IF(OR(Table1[[#This Row],[marital_status]]="Married", Table1[[#This Row],[marital_status]]="Together"), "Partnered", "Single")</f>
        <v>Partnered</v>
      </c>
      <c r="F1471" s="7">
        <v>67419</v>
      </c>
      <c r="G1471" s="8">
        <v>0</v>
      </c>
      <c r="H1471" s="8">
        <v>1</v>
      </c>
      <c r="I1471" s="8">
        <f>Table1[[#This Row],[kids]]+Table1[[#This Row],[teens]]</f>
        <v>1</v>
      </c>
      <c r="J1471" s="9">
        <v>41290</v>
      </c>
      <c r="K1471" s="8">
        <v>29</v>
      </c>
      <c r="L1471" s="6">
        <v>846</v>
      </c>
      <c r="M1471" s="5">
        <v>84</v>
      </c>
      <c r="N1471" s="5">
        <v>352</v>
      </c>
      <c r="O1471" s="5">
        <v>91</v>
      </c>
      <c r="P1471" s="5">
        <v>56</v>
      </c>
      <c r="Q1471" s="5">
        <v>42</v>
      </c>
      <c r="R1471" s="8">
        <v>4</v>
      </c>
      <c r="S1471" s="8">
        <v>9</v>
      </c>
      <c r="T1471" s="8">
        <v>4</v>
      </c>
      <c r="U1471" s="8">
        <v>8</v>
      </c>
      <c r="V1471" s="8">
        <v>5</v>
      </c>
      <c r="W1471" t="s">
        <v>473</v>
      </c>
      <c r="X1471" t="s">
        <v>473</v>
      </c>
      <c r="Y1471" t="s">
        <v>473</v>
      </c>
      <c r="Z1471" t="s">
        <v>473</v>
      </c>
      <c r="AA1471" t="s">
        <v>473</v>
      </c>
      <c r="AB1471" t="s">
        <v>473</v>
      </c>
      <c r="AC1471" s="10">
        <v>3</v>
      </c>
      <c r="AD1471" s="10">
        <v>11</v>
      </c>
      <c r="AE1471" t="s">
        <v>473</v>
      </c>
    </row>
    <row r="1472" spans="1:31" x14ac:dyDescent="0.25">
      <c r="A1472">
        <v>9672</v>
      </c>
      <c r="B1472">
        <v>1970</v>
      </c>
      <c r="C1472" t="s">
        <v>46</v>
      </c>
      <c r="D1472" t="s">
        <v>34</v>
      </c>
      <c r="E1472" t="str">
        <f>IF(OR(Table1[[#This Row],[marital_status]]="Married", Table1[[#This Row],[marital_status]]="Together"), "Partnered", "Single")</f>
        <v>Partnered</v>
      </c>
      <c r="F1472" s="7">
        <v>23162</v>
      </c>
      <c r="G1472" s="8">
        <v>1</v>
      </c>
      <c r="H1472" s="8">
        <v>1</v>
      </c>
      <c r="I1472" s="8">
        <f>Table1[[#This Row],[kids]]+Table1[[#This Row],[teens]]</f>
        <v>2</v>
      </c>
      <c r="J1472" s="9">
        <v>41629</v>
      </c>
      <c r="K1472" s="8">
        <v>82</v>
      </c>
      <c r="L1472" s="6">
        <v>8</v>
      </c>
      <c r="M1472" s="5">
        <v>3</v>
      </c>
      <c r="N1472" s="5">
        <v>9</v>
      </c>
      <c r="O1472" s="5">
        <v>19</v>
      </c>
      <c r="P1472" s="5">
        <v>4</v>
      </c>
      <c r="Q1472" s="5">
        <v>22</v>
      </c>
      <c r="R1472" s="8">
        <v>3</v>
      </c>
      <c r="S1472" s="8">
        <v>1</v>
      </c>
      <c r="T1472" s="8">
        <v>1</v>
      </c>
      <c r="U1472" s="8">
        <v>3</v>
      </c>
      <c r="V1472" s="8">
        <v>6</v>
      </c>
      <c r="W1472" t="s">
        <v>473</v>
      </c>
      <c r="X1472" t="s">
        <v>473</v>
      </c>
      <c r="Y1472" t="s">
        <v>473</v>
      </c>
      <c r="Z1472" t="s">
        <v>473</v>
      </c>
      <c r="AA1472" t="s">
        <v>473</v>
      </c>
      <c r="AB1472" t="s">
        <v>473</v>
      </c>
      <c r="AC1472" s="10">
        <v>3</v>
      </c>
      <c r="AD1472" s="10">
        <v>11</v>
      </c>
      <c r="AE1472" t="s">
        <v>473</v>
      </c>
    </row>
    <row r="1473" spans="1:31" x14ac:dyDescent="0.25">
      <c r="A1473">
        <v>4864</v>
      </c>
      <c r="B1473">
        <v>1977</v>
      </c>
      <c r="C1473" t="s">
        <v>466</v>
      </c>
      <c r="D1473" t="s">
        <v>34</v>
      </c>
      <c r="E1473" t="str">
        <f>IF(OR(Table1[[#This Row],[marital_status]]="Married", Table1[[#This Row],[marital_status]]="Together"), "Partnered", "Single")</f>
        <v>Partnered</v>
      </c>
      <c r="F1473" s="7">
        <v>34380</v>
      </c>
      <c r="G1473" s="8">
        <v>1</v>
      </c>
      <c r="H1473" s="8">
        <v>0</v>
      </c>
      <c r="I1473" s="8">
        <f>Table1[[#This Row],[kids]]+Table1[[#This Row],[teens]]</f>
        <v>1</v>
      </c>
      <c r="J1473" s="9">
        <v>41396</v>
      </c>
      <c r="K1473" s="8">
        <v>68</v>
      </c>
      <c r="L1473" s="6">
        <v>72</v>
      </c>
      <c r="M1473" s="5">
        <v>7</v>
      </c>
      <c r="N1473" s="5">
        <v>58</v>
      </c>
      <c r="O1473" s="5">
        <v>13</v>
      </c>
      <c r="P1473" s="5">
        <v>1</v>
      </c>
      <c r="Q1473" s="5">
        <v>24</v>
      </c>
      <c r="R1473" s="8">
        <v>4</v>
      </c>
      <c r="S1473" s="8">
        <v>4</v>
      </c>
      <c r="T1473" s="8">
        <v>1</v>
      </c>
      <c r="U1473" s="8">
        <v>3</v>
      </c>
      <c r="V1473" s="8">
        <v>8</v>
      </c>
      <c r="W1473" t="s">
        <v>473</v>
      </c>
      <c r="X1473" t="s">
        <v>473</v>
      </c>
      <c r="Y1473" t="s">
        <v>473</v>
      </c>
      <c r="Z1473" t="s">
        <v>473</v>
      </c>
      <c r="AA1473" t="s">
        <v>473</v>
      </c>
      <c r="AB1473" t="s">
        <v>473</v>
      </c>
      <c r="AC1473" s="10">
        <v>3</v>
      </c>
      <c r="AD1473" s="10">
        <v>11</v>
      </c>
      <c r="AE1473" t="s">
        <v>473</v>
      </c>
    </row>
    <row r="1474" spans="1:31" x14ac:dyDescent="0.25">
      <c r="A1474">
        <v>4706</v>
      </c>
      <c r="B1474">
        <v>1966</v>
      </c>
      <c r="C1474" t="s">
        <v>466</v>
      </c>
      <c r="D1474" t="s">
        <v>30</v>
      </c>
      <c r="E1474" t="str">
        <f>IF(OR(Table1[[#This Row],[marital_status]]="Married", Table1[[#This Row],[marital_status]]="Together"), "Partnered", "Single")</f>
        <v>Single</v>
      </c>
      <c r="F1474" s="7">
        <v>34704</v>
      </c>
      <c r="G1474" s="8">
        <v>0</v>
      </c>
      <c r="H1474" s="8">
        <v>1</v>
      </c>
      <c r="I1474" s="8">
        <f>Table1[[#This Row],[kids]]+Table1[[#This Row],[teens]]</f>
        <v>1</v>
      </c>
      <c r="J1474" s="9">
        <v>41391</v>
      </c>
      <c r="K1474" s="8">
        <v>65</v>
      </c>
      <c r="L1474" s="6">
        <v>29</v>
      </c>
      <c r="M1474" s="5">
        <v>0</v>
      </c>
      <c r="N1474" s="5">
        <v>5</v>
      </c>
      <c r="O1474" s="5">
        <v>0</v>
      </c>
      <c r="P1474" s="5">
        <v>1</v>
      </c>
      <c r="Q1474" s="5">
        <v>5</v>
      </c>
      <c r="R1474" s="8">
        <v>1</v>
      </c>
      <c r="S1474" s="8">
        <v>1</v>
      </c>
      <c r="T1474" s="8">
        <v>0</v>
      </c>
      <c r="U1474" s="8">
        <v>3</v>
      </c>
      <c r="V1474" s="8">
        <v>5</v>
      </c>
      <c r="W1474" t="s">
        <v>473</v>
      </c>
      <c r="X1474" t="s">
        <v>473</v>
      </c>
      <c r="Y1474" t="s">
        <v>473</v>
      </c>
      <c r="Z1474" t="s">
        <v>473</v>
      </c>
      <c r="AA1474" t="s">
        <v>473</v>
      </c>
      <c r="AB1474" t="s">
        <v>473</v>
      </c>
      <c r="AC1474" s="10">
        <v>3</v>
      </c>
      <c r="AD1474" s="10">
        <v>11</v>
      </c>
      <c r="AE1474" t="s">
        <v>473</v>
      </c>
    </row>
    <row r="1475" spans="1:31" x14ac:dyDescent="0.25">
      <c r="A1475">
        <v>4070</v>
      </c>
      <c r="B1475">
        <v>1969</v>
      </c>
      <c r="C1475" t="s">
        <v>33</v>
      </c>
      <c r="D1475" t="s">
        <v>34</v>
      </c>
      <c r="E1475" t="str">
        <f>IF(OR(Table1[[#This Row],[marital_status]]="Married", Table1[[#This Row],[marital_status]]="Together"), "Partnered", "Single")</f>
        <v>Partnered</v>
      </c>
      <c r="F1475" s="7">
        <v>94871</v>
      </c>
      <c r="G1475" s="8">
        <v>0</v>
      </c>
      <c r="H1475" s="8">
        <v>2</v>
      </c>
      <c r="I1475" s="8">
        <f>Table1[[#This Row],[kids]]+Table1[[#This Row],[teens]]</f>
        <v>2</v>
      </c>
      <c r="J1475" s="9">
        <v>41153</v>
      </c>
      <c r="K1475" s="8">
        <v>99</v>
      </c>
      <c r="L1475" s="6">
        <v>169</v>
      </c>
      <c r="M1475" s="5">
        <v>24</v>
      </c>
      <c r="N1475" s="5">
        <v>553</v>
      </c>
      <c r="O1475" s="5">
        <v>188</v>
      </c>
      <c r="P1475" s="5">
        <v>0</v>
      </c>
      <c r="Q1475" s="5">
        <v>144</v>
      </c>
      <c r="R1475" s="8">
        <v>1</v>
      </c>
      <c r="S1475" s="8">
        <v>8</v>
      </c>
      <c r="T1475" s="8">
        <v>5</v>
      </c>
      <c r="U1475" s="8">
        <v>4</v>
      </c>
      <c r="V1475" s="8">
        <v>7</v>
      </c>
      <c r="W1475" t="s">
        <v>473</v>
      </c>
      <c r="X1475" t="s">
        <v>474</v>
      </c>
      <c r="Y1475" t="s">
        <v>474</v>
      </c>
      <c r="Z1475" t="s">
        <v>473</v>
      </c>
      <c r="AA1475" t="s">
        <v>473</v>
      </c>
      <c r="AB1475" t="s">
        <v>473</v>
      </c>
      <c r="AC1475" s="10">
        <v>3</v>
      </c>
      <c r="AD1475" s="10">
        <v>11</v>
      </c>
      <c r="AE1475" t="s">
        <v>474</v>
      </c>
    </row>
    <row r="1476" spans="1:31" x14ac:dyDescent="0.25">
      <c r="A1476">
        <v>25</v>
      </c>
      <c r="B1476">
        <v>1958</v>
      </c>
      <c r="C1476" t="s">
        <v>466</v>
      </c>
      <c r="D1476" t="s">
        <v>34</v>
      </c>
      <c r="E1476" t="str">
        <f>IF(OR(Table1[[#This Row],[marital_status]]="Married", Table1[[#This Row],[marital_status]]="Together"), "Partnered", "Single")</f>
        <v>Partnered</v>
      </c>
      <c r="F1476" s="7">
        <v>65148</v>
      </c>
      <c r="G1476" s="8">
        <v>0</v>
      </c>
      <c r="H1476" s="8">
        <v>1</v>
      </c>
      <c r="I1476" s="8">
        <f>Table1[[#This Row],[kids]]+Table1[[#This Row],[teens]]</f>
        <v>1</v>
      </c>
      <c r="J1476" s="9">
        <v>41229</v>
      </c>
      <c r="K1476" s="8">
        <v>9</v>
      </c>
      <c r="L1476" s="6">
        <v>460</v>
      </c>
      <c r="M1476" s="5">
        <v>35</v>
      </c>
      <c r="N1476" s="5">
        <v>422</v>
      </c>
      <c r="O1476" s="5">
        <v>33</v>
      </c>
      <c r="P1476" s="5">
        <v>12</v>
      </c>
      <c r="Q1476" s="5">
        <v>153</v>
      </c>
      <c r="R1476" s="8">
        <v>2</v>
      </c>
      <c r="S1476" s="8">
        <v>6</v>
      </c>
      <c r="T1476" s="8">
        <v>6</v>
      </c>
      <c r="U1476" s="8">
        <v>7</v>
      </c>
      <c r="V1476" s="8">
        <v>4</v>
      </c>
      <c r="W1476" t="s">
        <v>473</v>
      </c>
      <c r="X1476" t="s">
        <v>473</v>
      </c>
      <c r="Y1476" t="s">
        <v>473</v>
      </c>
      <c r="Z1476" t="s">
        <v>473</v>
      </c>
      <c r="AA1476" t="s">
        <v>473</v>
      </c>
      <c r="AB1476" t="s">
        <v>473</v>
      </c>
      <c r="AC1476" s="10">
        <v>3</v>
      </c>
      <c r="AD1476" s="10">
        <v>11</v>
      </c>
      <c r="AE1476" t="s">
        <v>473</v>
      </c>
    </row>
    <row r="1477" spans="1:31" x14ac:dyDescent="0.25">
      <c r="A1477">
        <v>3697</v>
      </c>
      <c r="B1477">
        <v>1954</v>
      </c>
      <c r="C1477" t="s">
        <v>466</v>
      </c>
      <c r="D1477" t="s">
        <v>31</v>
      </c>
      <c r="E1477" t="str">
        <f>IF(OR(Table1[[#This Row],[marital_status]]="Married", Table1[[#This Row],[marital_status]]="Together"), "Partnered", "Single")</f>
        <v>Partnered</v>
      </c>
      <c r="F1477" s="7">
        <v>39898</v>
      </c>
      <c r="G1477" s="8">
        <v>0</v>
      </c>
      <c r="H1477" s="8">
        <v>1</v>
      </c>
      <c r="I1477" s="8">
        <f>Table1[[#This Row],[kids]]+Table1[[#This Row],[teens]]</f>
        <v>1</v>
      </c>
      <c r="J1477" s="9">
        <v>41317</v>
      </c>
      <c r="K1477" s="8">
        <v>20</v>
      </c>
      <c r="L1477" s="6">
        <v>69</v>
      </c>
      <c r="M1477" s="5">
        <v>8</v>
      </c>
      <c r="N1477" s="5">
        <v>26</v>
      </c>
      <c r="O1477" s="5">
        <v>12</v>
      </c>
      <c r="P1477" s="5">
        <v>7</v>
      </c>
      <c r="Q1477" s="5">
        <v>12</v>
      </c>
      <c r="R1477" s="8">
        <v>2</v>
      </c>
      <c r="S1477" s="8">
        <v>3</v>
      </c>
      <c r="T1477" s="8">
        <v>0</v>
      </c>
      <c r="U1477" s="8">
        <v>4</v>
      </c>
      <c r="V1477" s="8">
        <v>7</v>
      </c>
      <c r="W1477" t="s">
        <v>473</v>
      </c>
      <c r="X1477" t="s">
        <v>473</v>
      </c>
      <c r="Y1477" t="s">
        <v>473</v>
      </c>
      <c r="Z1477" t="s">
        <v>473</v>
      </c>
      <c r="AA1477" t="s">
        <v>473</v>
      </c>
      <c r="AB1477" t="s">
        <v>473</v>
      </c>
      <c r="AC1477" s="10">
        <v>3</v>
      </c>
      <c r="AD1477" s="10">
        <v>11</v>
      </c>
      <c r="AE1477" t="s">
        <v>473</v>
      </c>
    </row>
    <row r="1478" spans="1:31" x14ac:dyDescent="0.25">
      <c r="A1478">
        <v>217</v>
      </c>
      <c r="B1478">
        <v>1956</v>
      </c>
      <c r="C1478" t="s">
        <v>36</v>
      </c>
      <c r="D1478" t="s">
        <v>30</v>
      </c>
      <c r="E1478" t="str">
        <f>IF(OR(Table1[[#This Row],[marital_status]]="Married", Table1[[#This Row],[marital_status]]="Together"), "Partnered", "Single")</f>
        <v>Single</v>
      </c>
      <c r="F1478" s="7">
        <v>64857</v>
      </c>
      <c r="G1478" s="8">
        <v>0</v>
      </c>
      <c r="H1478" s="8">
        <v>0</v>
      </c>
      <c r="I1478" s="8">
        <f>Table1[[#This Row],[kids]]+Table1[[#This Row],[teens]]</f>
        <v>0</v>
      </c>
      <c r="J1478" s="9">
        <v>41236</v>
      </c>
      <c r="K1478" s="8">
        <v>78</v>
      </c>
      <c r="L1478" s="6">
        <v>556</v>
      </c>
      <c r="M1478" s="5">
        <v>14</v>
      </c>
      <c r="N1478" s="5">
        <v>717</v>
      </c>
      <c r="O1478" s="5">
        <v>210</v>
      </c>
      <c r="P1478" s="5">
        <v>0</v>
      </c>
      <c r="Q1478" s="5">
        <v>43</v>
      </c>
      <c r="R1478" s="8">
        <v>1</v>
      </c>
      <c r="S1478" s="8">
        <v>7</v>
      </c>
      <c r="T1478" s="8">
        <v>5</v>
      </c>
      <c r="U1478" s="8">
        <v>10</v>
      </c>
      <c r="V1478" s="8">
        <v>4</v>
      </c>
      <c r="W1478" t="s">
        <v>473</v>
      </c>
      <c r="X1478" t="s">
        <v>473</v>
      </c>
      <c r="Y1478" t="s">
        <v>473</v>
      </c>
      <c r="Z1478" t="s">
        <v>473</v>
      </c>
      <c r="AA1478" t="s">
        <v>473</v>
      </c>
      <c r="AB1478" t="s">
        <v>473</v>
      </c>
      <c r="AC1478" s="10">
        <v>3</v>
      </c>
      <c r="AD1478" s="10">
        <v>11</v>
      </c>
      <c r="AE1478" t="s">
        <v>473</v>
      </c>
    </row>
    <row r="1479" spans="1:31" x14ac:dyDescent="0.25">
      <c r="A1479">
        <v>4220</v>
      </c>
      <c r="B1479">
        <v>1970</v>
      </c>
      <c r="C1479" t="s">
        <v>33</v>
      </c>
      <c r="D1479" t="s">
        <v>34</v>
      </c>
      <c r="E1479" t="str">
        <f>IF(OR(Table1[[#This Row],[marital_status]]="Married", Table1[[#This Row],[marital_status]]="Together"), "Partnered", "Single")</f>
        <v>Partnered</v>
      </c>
      <c r="F1479" s="7">
        <v>59892</v>
      </c>
      <c r="G1479" s="8">
        <v>0</v>
      </c>
      <c r="H1479" s="8">
        <v>1</v>
      </c>
      <c r="I1479" s="8">
        <f>Table1[[#This Row],[kids]]+Table1[[#This Row],[teens]]</f>
        <v>1</v>
      </c>
      <c r="J1479" s="9">
        <v>41580</v>
      </c>
      <c r="K1479" s="8">
        <v>26</v>
      </c>
      <c r="L1479" s="6">
        <v>73</v>
      </c>
      <c r="M1479" s="5">
        <v>0</v>
      </c>
      <c r="N1479" s="5">
        <v>13</v>
      </c>
      <c r="O1479" s="5">
        <v>0</v>
      </c>
      <c r="P1479" s="5">
        <v>1</v>
      </c>
      <c r="Q1479" s="5">
        <v>0</v>
      </c>
      <c r="R1479" s="8">
        <v>1</v>
      </c>
      <c r="S1479" s="8">
        <v>2</v>
      </c>
      <c r="T1479" s="8">
        <v>1</v>
      </c>
      <c r="U1479" s="8">
        <v>3</v>
      </c>
      <c r="V1479" s="8">
        <v>3</v>
      </c>
      <c r="W1479" t="s">
        <v>473</v>
      </c>
      <c r="X1479" t="s">
        <v>473</v>
      </c>
      <c r="Y1479" t="s">
        <v>473</v>
      </c>
      <c r="Z1479" t="s">
        <v>473</v>
      </c>
      <c r="AA1479" t="s">
        <v>473</v>
      </c>
      <c r="AB1479" t="s">
        <v>473</v>
      </c>
      <c r="AC1479" s="10">
        <v>3</v>
      </c>
      <c r="AD1479" s="10">
        <v>11</v>
      </c>
      <c r="AE1479" t="s">
        <v>473</v>
      </c>
    </row>
    <row r="1480" spans="1:31" x14ac:dyDescent="0.25">
      <c r="A1480">
        <v>5286</v>
      </c>
      <c r="B1480">
        <v>1987</v>
      </c>
      <c r="C1480" t="s">
        <v>36</v>
      </c>
      <c r="D1480" t="s">
        <v>30</v>
      </c>
      <c r="E1480" t="str">
        <f>IF(OR(Table1[[#This Row],[marital_status]]="Married", Table1[[#This Row],[marital_status]]="Together"), "Partnered", "Single")</f>
        <v>Single</v>
      </c>
      <c r="F1480" s="7">
        <v>41020</v>
      </c>
      <c r="G1480" s="8">
        <v>0</v>
      </c>
      <c r="H1480" s="8">
        <v>0</v>
      </c>
      <c r="I1480" s="8">
        <f>Table1[[#This Row],[kids]]+Table1[[#This Row],[teens]]</f>
        <v>0</v>
      </c>
      <c r="J1480" s="9">
        <v>41575</v>
      </c>
      <c r="K1480" s="8">
        <v>68</v>
      </c>
      <c r="L1480" s="6">
        <v>112</v>
      </c>
      <c r="M1480" s="5">
        <v>1</v>
      </c>
      <c r="N1480" s="5">
        <v>54</v>
      </c>
      <c r="O1480" s="5">
        <v>7</v>
      </c>
      <c r="P1480" s="5">
        <v>7</v>
      </c>
      <c r="Q1480" s="5">
        <v>36</v>
      </c>
      <c r="R1480" s="8">
        <v>1</v>
      </c>
      <c r="S1480" s="8">
        <v>3</v>
      </c>
      <c r="T1480" s="8">
        <v>2</v>
      </c>
      <c r="U1480" s="8">
        <v>4</v>
      </c>
      <c r="V1480" s="8">
        <v>3</v>
      </c>
      <c r="W1480" t="s">
        <v>473</v>
      </c>
      <c r="X1480" t="s">
        <v>473</v>
      </c>
      <c r="Y1480" t="s">
        <v>473</v>
      </c>
      <c r="Z1480" t="s">
        <v>473</v>
      </c>
      <c r="AA1480" t="s">
        <v>473</v>
      </c>
      <c r="AB1480" t="s">
        <v>473</v>
      </c>
      <c r="AC1480" s="10">
        <v>3</v>
      </c>
      <c r="AD1480" s="10">
        <v>11</v>
      </c>
      <c r="AE1480" t="s">
        <v>473</v>
      </c>
    </row>
    <row r="1481" spans="1:31" x14ac:dyDescent="0.25">
      <c r="A1481">
        <v>9559</v>
      </c>
      <c r="B1481">
        <v>1961</v>
      </c>
      <c r="C1481" t="s">
        <v>33</v>
      </c>
      <c r="D1481" t="s">
        <v>34</v>
      </c>
      <c r="E1481" t="str">
        <f>IF(OR(Table1[[#This Row],[marital_status]]="Married", Table1[[#This Row],[marital_status]]="Together"), "Partnered", "Single")</f>
        <v>Partnered</v>
      </c>
      <c r="F1481" s="7">
        <v>57072</v>
      </c>
      <c r="G1481" s="8">
        <v>0</v>
      </c>
      <c r="H1481" s="8">
        <v>1</v>
      </c>
      <c r="I1481" s="8">
        <f>Table1[[#This Row],[kids]]+Table1[[#This Row],[teens]]</f>
        <v>1</v>
      </c>
      <c r="J1481" s="9">
        <v>41663</v>
      </c>
      <c r="K1481" s="8">
        <v>79</v>
      </c>
      <c r="L1481" s="6">
        <v>944</v>
      </c>
      <c r="M1481" s="5">
        <v>0</v>
      </c>
      <c r="N1481" s="5">
        <v>60</v>
      </c>
      <c r="O1481" s="5">
        <v>0</v>
      </c>
      <c r="P1481" s="5">
        <v>0</v>
      </c>
      <c r="Q1481" s="5">
        <v>30</v>
      </c>
      <c r="R1481" s="8">
        <v>2</v>
      </c>
      <c r="S1481" s="8">
        <v>7</v>
      </c>
      <c r="T1481" s="8">
        <v>5</v>
      </c>
      <c r="U1481" s="8">
        <v>13</v>
      </c>
      <c r="V1481" s="8">
        <v>5</v>
      </c>
      <c r="W1481" t="s">
        <v>474</v>
      </c>
      <c r="X1481" t="s">
        <v>473</v>
      </c>
      <c r="Y1481" t="s">
        <v>473</v>
      </c>
      <c r="Z1481" t="s">
        <v>473</v>
      </c>
      <c r="AA1481" t="s">
        <v>473</v>
      </c>
      <c r="AB1481" t="s">
        <v>473</v>
      </c>
      <c r="AC1481" s="10">
        <v>3</v>
      </c>
      <c r="AD1481" s="10">
        <v>11</v>
      </c>
      <c r="AE1481" t="s">
        <v>473</v>
      </c>
    </row>
    <row r="1482" spans="1:31" x14ac:dyDescent="0.25">
      <c r="A1482">
        <v>2849</v>
      </c>
      <c r="B1482">
        <v>1979</v>
      </c>
      <c r="C1482" t="s">
        <v>466</v>
      </c>
      <c r="D1482" t="s">
        <v>30</v>
      </c>
      <c r="E1482" t="str">
        <f>IF(OR(Table1[[#This Row],[marital_status]]="Married", Table1[[#This Row],[marital_status]]="Together"), "Partnered", "Single")</f>
        <v>Single</v>
      </c>
      <c r="F1482" s="7">
        <v>60474</v>
      </c>
      <c r="G1482" s="8">
        <v>0</v>
      </c>
      <c r="H1482" s="8">
        <v>1</v>
      </c>
      <c r="I1482" s="8">
        <f>Table1[[#This Row],[kids]]+Table1[[#This Row],[teens]]</f>
        <v>1</v>
      </c>
      <c r="J1482" s="9">
        <v>41365</v>
      </c>
      <c r="K1482" s="8">
        <v>25</v>
      </c>
      <c r="L1482" s="6">
        <v>265</v>
      </c>
      <c r="M1482" s="5">
        <v>199</v>
      </c>
      <c r="N1482" s="5">
        <v>303</v>
      </c>
      <c r="O1482" s="5">
        <v>234</v>
      </c>
      <c r="P1482" s="5">
        <v>9</v>
      </c>
      <c r="Q1482" s="5">
        <v>170</v>
      </c>
      <c r="R1482" s="8">
        <v>7</v>
      </c>
      <c r="S1482" s="8">
        <v>10</v>
      </c>
      <c r="T1482" s="8">
        <v>2</v>
      </c>
      <c r="U1482" s="8">
        <v>12</v>
      </c>
      <c r="V1482" s="8">
        <v>7</v>
      </c>
      <c r="W1482" t="s">
        <v>473</v>
      </c>
      <c r="X1482" t="s">
        <v>473</v>
      </c>
      <c r="Y1482" t="s">
        <v>473</v>
      </c>
      <c r="Z1482" t="s">
        <v>473</v>
      </c>
      <c r="AA1482" t="s">
        <v>473</v>
      </c>
      <c r="AB1482" t="s">
        <v>473</v>
      </c>
      <c r="AC1482" s="10">
        <v>3</v>
      </c>
      <c r="AD1482" s="10">
        <v>11</v>
      </c>
      <c r="AE1482" t="s">
        <v>473</v>
      </c>
    </row>
    <row r="1483" spans="1:31" x14ac:dyDescent="0.25">
      <c r="A1483">
        <v>7787</v>
      </c>
      <c r="B1483">
        <v>1960</v>
      </c>
      <c r="C1483" t="s">
        <v>466</v>
      </c>
      <c r="D1483" t="s">
        <v>31</v>
      </c>
      <c r="E1483" t="str">
        <f>IF(OR(Table1[[#This Row],[marital_status]]="Married", Table1[[#This Row],[marital_status]]="Together"), "Partnered", "Single")</f>
        <v>Partnered</v>
      </c>
      <c r="F1483" s="7">
        <v>62807</v>
      </c>
      <c r="G1483" s="8">
        <v>0</v>
      </c>
      <c r="H1483" s="8">
        <v>1</v>
      </c>
      <c r="I1483" s="8">
        <f>Table1[[#This Row],[kids]]+Table1[[#This Row],[teens]]</f>
        <v>1</v>
      </c>
      <c r="J1483" s="9">
        <v>41152</v>
      </c>
      <c r="K1483" s="8">
        <v>83</v>
      </c>
      <c r="L1483" s="6">
        <v>526</v>
      </c>
      <c r="M1483" s="5">
        <v>28</v>
      </c>
      <c r="N1483" s="5">
        <v>135</v>
      </c>
      <c r="O1483" s="5">
        <v>10</v>
      </c>
      <c r="P1483" s="5">
        <v>21</v>
      </c>
      <c r="Q1483" s="5">
        <v>99</v>
      </c>
      <c r="R1483" s="8">
        <v>3</v>
      </c>
      <c r="S1483" s="8">
        <v>5</v>
      </c>
      <c r="T1483" s="8">
        <v>3</v>
      </c>
      <c r="U1483" s="8">
        <v>12</v>
      </c>
      <c r="V1483" s="8">
        <v>5</v>
      </c>
      <c r="W1483" t="s">
        <v>473</v>
      </c>
      <c r="X1483" t="s">
        <v>473</v>
      </c>
      <c r="Y1483" t="s">
        <v>473</v>
      </c>
      <c r="Z1483" t="s">
        <v>473</v>
      </c>
      <c r="AA1483" t="s">
        <v>473</v>
      </c>
      <c r="AB1483" t="s">
        <v>473</v>
      </c>
      <c r="AC1483" s="10">
        <v>3</v>
      </c>
      <c r="AD1483" s="10">
        <v>11</v>
      </c>
      <c r="AE1483" t="s">
        <v>473</v>
      </c>
    </row>
    <row r="1484" spans="1:31" x14ac:dyDescent="0.25">
      <c r="A1484">
        <v>3102</v>
      </c>
      <c r="B1484">
        <v>1981</v>
      </c>
      <c r="C1484" t="s">
        <v>46</v>
      </c>
      <c r="D1484" t="s">
        <v>31</v>
      </c>
      <c r="E1484" t="str">
        <f>IF(OR(Table1[[#This Row],[marital_status]]="Married", Table1[[#This Row],[marital_status]]="Together"), "Partnered", "Single")</f>
        <v>Partnered</v>
      </c>
      <c r="F1484" s="7">
        <v>19414</v>
      </c>
      <c r="G1484" s="8">
        <v>1</v>
      </c>
      <c r="H1484" s="8">
        <v>0</v>
      </c>
      <c r="I1484" s="8">
        <f>Table1[[#This Row],[kids]]+Table1[[#This Row],[teens]]</f>
        <v>1</v>
      </c>
      <c r="J1484" s="9">
        <v>41563</v>
      </c>
      <c r="K1484" s="8">
        <v>32</v>
      </c>
      <c r="L1484" s="6">
        <v>2</v>
      </c>
      <c r="M1484" s="5">
        <v>3</v>
      </c>
      <c r="N1484" s="5">
        <v>12</v>
      </c>
      <c r="O1484" s="5">
        <v>3</v>
      </c>
      <c r="P1484" s="5">
        <v>5</v>
      </c>
      <c r="Q1484" s="5">
        <v>7</v>
      </c>
      <c r="R1484" s="8">
        <v>1</v>
      </c>
      <c r="S1484" s="8">
        <v>1</v>
      </c>
      <c r="T1484" s="8">
        <v>0</v>
      </c>
      <c r="U1484" s="8">
        <v>3</v>
      </c>
      <c r="V1484" s="8">
        <v>8</v>
      </c>
      <c r="W1484" t="s">
        <v>473</v>
      </c>
      <c r="X1484" t="s">
        <v>473</v>
      </c>
      <c r="Y1484" t="s">
        <v>473</v>
      </c>
      <c r="Z1484" t="s">
        <v>473</v>
      </c>
      <c r="AA1484" t="s">
        <v>473</v>
      </c>
      <c r="AB1484" t="s">
        <v>473</v>
      </c>
      <c r="AC1484" s="10">
        <v>3</v>
      </c>
      <c r="AD1484" s="10">
        <v>11</v>
      </c>
      <c r="AE1484" t="s">
        <v>473</v>
      </c>
    </row>
    <row r="1485" spans="1:31" x14ac:dyDescent="0.25">
      <c r="A1485">
        <v>5868</v>
      </c>
      <c r="B1485">
        <v>1980</v>
      </c>
      <c r="C1485" t="s">
        <v>466</v>
      </c>
      <c r="D1485" t="s">
        <v>34</v>
      </c>
      <c r="E1485" t="str">
        <f>IF(OR(Table1[[#This Row],[marital_status]]="Married", Table1[[#This Row],[marital_status]]="Together"), "Partnered", "Single")</f>
        <v>Partnered</v>
      </c>
      <c r="F1485" s="7">
        <v>19107</v>
      </c>
      <c r="G1485" s="8">
        <v>1</v>
      </c>
      <c r="H1485" s="8">
        <v>0</v>
      </c>
      <c r="I1485" s="8">
        <f>Table1[[#This Row],[kids]]+Table1[[#This Row],[teens]]</f>
        <v>1</v>
      </c>
      <c r="J1485" s="9">
        <v>41508</v>
      </c>
      <c r="K1485" s="8">
        <v>49</v>
      </c>
      <c r="L1485" s="6">
        <v>2</v>
      </c>
      <c r="M1485" s="5">
        <v>4</v>
      </c>
      <c r="N1485" s="5">
        <v>9</v>
      </c>
      <c r="O1485" s="5">
        <v>10</v>
      </c>
      <c r="P1485" s="5">
        <v>5</v>
      </c>
      <c r="Q1485" s="5">
        <v>16</v>
      </c>
      <c r="R1485" s="8">
        <v>2</v>
      </c>
      <c r="S1485" s="8">
        <v>1</v>
      </c>
      <c r="T1485" s="8">
        <v>0</v>
      </c>
      <c r="U1485" s="8">
        <v>3</v>
      </c>
      <c r="V1485" s="8">
        <v>7</v>
      </c>
      <c r="W1485" t="s">
        <v>473</v>
      </c>
      <c r="X1485" t="s">
        <v>473</v>
      </c>
      <c r="Y1485" t="s">
        <v>473</v>
      </c>
      <c r="Z1485" t="s">
        <v>473</v>
      </c>
      <c r="AA1485" t="s">
        <v>473</v>
      </c>
      <c r="AB1485" t="s">
        <v>473</v>
      </c>
      <c r="AC1485" s="10">
        <v>3</v>
      </c>
      <c r="AD1485" s="10">
        <v>11</v>
      </c>
      <c r="AE1485" t="s">
        <v>473</v>
      </c>
    </row>
    <row r="1486" spans="1:31" x14ac:dyDescent="0.25">
      <c r="A1486">
        <v>8370</v>
      </c>
      <c r="B1486">
        <v>1976</v>
      </c>
      <c r="C1486" t="s">
        <v>46</v>
      </c>
      <c r="D1486" t="s">
        <v>31</v>
      </c>
      <c r="E1486" t="str">
        <f>IF(OR(Table1[[#This Row],[marital_status]]="Married", Table1[[#This Row],[marital_status]]="Together"), "Partnered", "Single")</f>
        <v>Partnered</v>
      </c>
      <c r="F1486" s="7">
        <v>75484</v>
      </c>
      <c r="G1486" s="8">
        <v>0</v>
      </c>
      <c r="H1486" s="8">
        <v>1</v>
      </c>
      <c r="I1486" s="8">
        <f>Table1[[#This Row],[kids]]+Table1[[#This Row],[teens]]</f>
        <v>1</v>
      </c>
      <c r="J1486" s="9">
        <v>41123</v>
      </c>
      <c r="K1486" s="8">
        <v>50</v>
      </c>
      <c r="L1486" s="6">
        <v>378</v>
      </c>
      <c r="M1486" s="5">
        <v>97</v>
      </c>
      <c r="N1486" s="5">
        <v>259</v>
      </c>
      <c r="O1486" s="5">
        <v>197</v>
      </c>
      <c r="P1486" s="5">
        <v>194</v>
      </c>
      <c r="Q1486" s="5">
        <v>34</v>
      </c>
      <c r="R1486" s="8">
        <v>2</v>
      </c>
      <c r="S1486" s="8">
        <v>7</v>
      </c>
      <c r="T1486" s="8">
        <v>3</v>
      </c>
      <c r="U1486" s="8">
        <v>6</v>
      </c>
      <c r="V1486" s="8">
        <v>4</v>
      </c>
      <c r="W1486" t="s">
        <v>473</v>
      </c>
      <c r="X1486" t="s">
        <v>473</v>
      </c>
      <c r="Y1486" t="s">
        <v>473</v>
      </c>
      <c r="Z1486" t="s">
        <v>473</v>
      </c>
      <c r="AA1486" t="s">
        <v>473</v>
      </c>
      <c r="AB1486" t="s">
        <v>473</v>
      </c>
      <c r="AC1486" s="10">
        <v>3</v>
      </c>
      <c r="AD1486" s="10">
        <v>11</v>
      </c>
      <c r="AE1486" t="s">
        <v>473</v>
      </c>
    </row>
    <row r="1487" spans="1:31" x14ac:dyDescent="0.25">
      <c r="A1487">
        <v>9988</v>
      </c>
      <c r="B1487">
        <v>1976</v>
      </c>
      <c r="C1487" t="s">
        <v>36</v>
      </c>
      <c r="D1487" t="s">
        <v>30</v>
      </c>
      <c r="E1487" t="str">
        <f>IF(OR(Table1[[#This Row],[marital_status]]="Married", Table1[[#This Row],[marital_status]]="Together"), "Partnered", "Single")</f>
        <v>Single</v>
      </c>
      <c r="F1487" s="7">
        <v>70379</v>
      </c>
      <c r="G1487" s="8">
        <v>0</v>
      </c>
      <c r="H1487" s="8">
        <v>1</v>
      </c>
      <c r="I1487" s="8">
        <f>Table1[[#This Row],[kids]]+Table1[[#This Row],[teens]]</f>
        <v>1</v>
      </c>
      <c r="J1487" s="9">
        <v>41336</v>
      </c>
      <c r="K1487" s="8">
        <v>84</v>
      </c>
      <c r="L1487" s="6">
        <v>553</v>
      </c>
      <c r="M1487" s="5">
        <v>25</v>
      </c>
      <c r="N1487" s="5">
        <v>142</v>
      </c>
      <c r="O1487" s="5">
        <v>65</v>
      </c>
      <c r="P1487" s="5">
        <v>67</v>
      </c>
      <c r="Q1487" s="5">
        <v>8</v>
      </c>
      <c r="R1487" s="8">
        <v>3</v>
      </c>
      <c r="S1487" s="8">
        <v>6</v>
      </c>
      <c r="T1487" s="8">
        <v>3</v>
      </c>
      <c r="U1487" s="8">
        <v>13</v>
      </c>
      <c r="V1487" s="8">
        <v>4</v>
      </c>
      <c r="W1487" t="s">
        <v>473</v>
      </c>
      <c r="X1487" t="s">
        <v>473</v>
      </c>
      <c r="Y1487" t="s">
        <v>473</v>
      </c>
      <c r="Z1487" t="s">
        <v>473</v>
      </c>
      <c r="AA1487" t="s">
        <v>473</v>
      </c>
      <c r="AB1487" t="s">
        <v>473</v>
      </c>
      <c r="AC1487" s="10">
        <v>3</v>
      </c>
      <c r="AD1487" s="10">
        <v>11</v>
      </c>
      <c r="AE1487" t="s">
        <v>473</v>
      </c>
    </row>
    <row r="1488" spans="1:31" x14ac:dyDescent="0.25">
      <c r="A1488">
        <v>2939</v>
      </c>
      <c r="B1488">
        <v>1970</v>
      </c>
      <c r="C1488" t="s">
        <v>36</v>
      </c>
      <c r="D1488" t="s">
        <v>31</v>
      </c>
      <c r="E1488" t="str">
        <f>IF(OR(Table1[[#This Row],[marital_status]]="Married", Table1[[#This Row],[marital_status]]="Together"), "Partnered", "Single")</f>
        <v>Partnered</v>
      </c>
      <c r="F1488" s="7">
        <v>79419</v>
      </c>
      <c r="G1488" s="8">
        <v>0</v>
      </c>
      <c r="H1488" s="8">
        <v>0</v>
      </c>
      <c r="I1488" s="8">
        <f>Table1[[#This Row],[kids]]+Table1[[#This Row],[teens]]</f>
        <v>0</v>
      </c>
      <c r="J1488" s="9">
        <v>41812</v>
      </c>
      <c r="K1488" s="8">
        <v>96</v>
      </c>
      <c r="L1488" s="6">
        <v>751</v>
      </c>
      <c r="M1488" s="5">
        <v>127</v>
      </c>
      <c r="N1488" s="5">
        <v>687</v>
      </c>
      <c r="O1488" s="5">
        <v>20</v>
      </c>
      <c r="P1488" s="5">
        <v>15</v>
      </c>
      <c r="Q1488" s="5">
        <v>31</v>
      </c>
      <c r="R1488" s="8">
        <v>1</v>
      </c>
      <c r="S1488" s="8">
        <v>4</v>
      </c>
      <c r="T1488" s="8">
        <v>6</v>
      </c>
      <c r="U1488" s="8">
        <v>4</v>
      </c>
      <c r="V1488" s="8">
        <v>2</v>
      </c>
      <c r="W1488" t="s">
        <v>473</v>
      </c>
      <c r="X1488" t="s">
        <v>473</v>
      </c>
      <c r="Y1488" t="s">
        <v>473</v>
      </c>
      <c r="Z1488" t="s">
        <v>473</v>
      </c>
      <c r="AA1488" t="s">
        <v>473</v>
      </c>
      <c r="AB1488" t="s">
        <v>473</v>
      </c>
      <c r="AC1488" s="10">
        <v>3</v>
      </c>
      <c r="AD1488" s="10">
        <v>11</v>
      </c>
      <c r="AE1488" t="s">
        <v>473</v>
      </c>
    </row>
    <row r="1489" spans="1:31" x14ac:dyDescent="0.25">
      <c r="A1489">
        <v>5529</v>
      </c>
      <c r="B1489">
        <v>1946</v>
      </c>
      <c r="C1489" t="s">
        <v>33</v>
      </c>
      <c r="D1489" t="s">
        <v>31</v>
      </c>
      <c r="E1489" t="str">
        <f>IF(OR(Table1[[#This Row],[marital_status]]="Married", Table1[[#This Row],[marital_status]]="Together"), "Partnered", "Single")</f>
        <v>Partnered</v>
      </c>
      <c r="F1489" s="7">
        <v>64014</v>
      </c>
      <c r="G1489" s="8">
        <v>2</v>
      </c>
      <c r="H1489" s="8">
        <v>1</v>
      </c>
      <c r="I1489" s="8">
        <f>Table1[[#This Row],[kids]]+Table1[[#This Row],[teens]]</f>
        <v>3</v>
      </c>
      <c r="J1489" s="9">
        <v>41800</v>
      </c>
      <c r="K1489" s="8">
        <v>56</v>
      </c>
      <c r="L1489" s="6">
        <v>406</v>
      </c>
      <c r="M1489" s="5">
        <v>0</v>
      </c>
      <c r="N1489" s="5">
        <v>30</v>
      </c>
      <c r="O1489" s="5">
        <v>0</v>
      </c>
      <c r="P1489" s="5">
        <v>0</v>
      </c>
      <c r="Q1489" s="5">
        <v>8</v>
      </c>
      <c r="R1489" s="8">
        <v>7</v>
      </c>
      <c r="S1489" s="8">
        <v>8</v>
      </c>
      <c r="T1489" s="8">
        <v>2</v>
      </c>
      <c r="U1489" s="8">
        <v>5</v>
      </c>
      <c r="V1489" s="8">
        <v>7</v>
      </c>
      <c r="W1489" t="s">
        <v>473</v>
      </c>
      <c r="X1489" t="s">
        <v>473</v>
      </c>
      <c r="Y1489" t="s">
        <v>473</v>
      </c>
      <c r="Z1489" t="s">
        <v>474</v>
      </c>
      <c r="AA1489" t="s">
        <v>473</v>
      </c>
      <c r="AB1489" t="s">
        <v>473</v>
      </c>
      <c r="AC1489" s="10">
        <v>3</v>
      </c>
      <c r="AD1489" s="10">
        <v>11</v>
      </c>
      <c r="AE1489" t="s">
        <v>473</v>
      </c>
    </row>
    <row r="1490" spans="1:31" x14ac:dyDescent="0.25">
      <c r="A1490">
        <v>9743</v>
      </c>
      <c r="B1490">
        <v>1955</v>
      </c>
      <c r="C1490" t="s">
        <v>466</v>
      </c>
      <c r="D1490" t="s">
        <v>34</v>
      </c>
      <c r="E1490" t="str">
        <f>IF(OR(Table1[[#This Row],[marital_status]]="Married", Table1[[#This Row],[marital_status]]="Together"), "Partnered", "Single")</f>
        <v>Partnered</v>
      </c>
      <c r="F1490" s="7">
        <v>76998</v>
      </c>
      <c r="G1490" s="8">
        <v>0</v>
      </c>
      <c r="H1490" s="8">
        <v>1</v>
      </c>
      <c r="I1490" s="8">
        <f>Table1[[#This Row],[kids]]+Table1[[#This Row],[teens]]</f>
        <v>1</v>
      </c>
      <c r="J1490" s="9">
        <v>41285</v>
      </c>
      <c r="K1490" s="8">
        <v>85</v>
      </c>
      <c r="L1490" s="6">
        <v>1449</v>
      </c>
      <c r="M1490" s="5">
        <v>89</v>
      </c>
      <c r="N1490" s="5">
        <v>161</v>
      </c>
      <c r="O1490" s="5">
        <v>69</v>
      </c>
      <c r="P1490" s="5">
        <v>35</v>
      </c>
      <c r="Q1490" s="5">
        <v>107</v>
      </c>
      <c r="R1490" s="8">
        <v>2</v>
      </c>
      <c r="S1490" s="8">
        <v>11</v>
      </c>
      <c r="T1490" s="8">
        <v>8</v>
      </c>
      <c r="U1490" s="8">
        <v>8</v>
      </c>
      <c r="V1490" s="8">
        <v>6</v>
      </c>
      <c r="W1490" t="s">
        <v>473</v>
      </c>
      <c r="X1490" t="s">
        <v>473</v>
      </c>
      <c r="Y1490" t="s">
        <v>474</v>
      </c>
      <c r="Z1490" t="s">
        <v>473</v>
      </c>
      <c r="AA1490" t="s">
        <v>473</v>
      </c>
      <c r="AB1490" t="s">
        <v>473</v>
      </c>
      <c r="AC1490" s="10">
        <v>3</v>
      </c>
      <c r="AD1490" s="10">
        <v>11</v>
      </c>
      <c r="AE1490" t="s">
        <v>473</v>
      </c>
    </row>
    <row r="1491" spans="1:31" x14ac:dyDescent="0.25">
      <c r="A1491">
        <v>5763</v>
      </c>
      <c r="B1491">
        <v>1972</v>
      </c>
      <c r="C1491" t="s">
        <v>36</v>
      </c>
      <c r="D1491" t="s">
        <v>31</v>
      </c>
      <c r="E1491" t="str">
        <f>IF(OR(Table1[[#This Row],[marital_status]]="Married", Table1[[#This Row],[marital_status]]="Together"), "Partnered", "Single")</f>
        <v>Partnered</v>
      </c>
      <c r="F1491" s="7">
        <v>49854</v>
      </c>
      <c r="G1491" s="8">
        <v>1</v>
      </c>
      <c r="H1491" s="8">
        <v>0</v>
      </c>
      <c r="I1491" s="8">
        <f>Table1[[#This Row],[kids]]+Table1[[#This Row],[teens]]</f>
        <v>1</v>
      </c>
      <c r="J1491" s="9">
        <v>41588</v>
      </c>
      <c r="K1491" s="8">
        <v>63</v>
      </c>
      <c r="L1491" s="6">
        <v>123</v>
      </c>
      <c r="M1491" s="5">
        <v>17</v>
      </c>
      <c r="N1491" s="5">
        <v>171</v>
      </c>
      <c r="O1491" s="5">
        <v>39</v>
      </c>
      <c r="P1491" s="5">
        <v>0</v>
      </c>
      <c r="Q1491" s="5">
        <v>30</v>
      </c>
      <c r="R1491" s="8">
        <v>5</v>
      </c>
      <c r="S1491" s="8">
        <v>6</v>
      </c>
      <c r="T1491" s="8">
        <v>2</v>
      </c>
      <c r="U1491" s="8">
        <v>5</v>
      </c>
      <c r="V1491" s="8">
        <v>6</v>
      </c>
      <c r="W1491" t="s">
        <v>473</v>
      </c>
      <c r="X1491" t="s">
        <v>473</v>
      </c>
      <c r="Y1491" t="s">
        <v>473</v>
      </c>
      <c r="Z1491" t="s">
        <v>473</v>
      </c>
      <c r="AA1491" t="s">
        <v>473</v>
      </c>
      <c r="AB1491" t="s">
        <v>473</v>
      </c>
      <c r="AC1491" s="10">
        <v>3</v>
      </c>
      <c r="AD1491" s="10">
        <v>11</v>
      </c>
      <c r="AE1491" t="s">
        <v>473</v>
      </c>
    </row>
    <row r="1492" spans="1:31" x14ac:dyDescent="0.25">
      <c r="A1492">
        <v>3478</v>
      </c>
      <c r="B1492">
        <v>1971</v>
      </c>
      <c r="C1492" t="s">
        <v>33</v>
      </c>
      <c r="D1492" t="s">
        <v>34</v>
      </c>
      <c r="E1492" t="str">
        <f>IF(OR(Table1[[#This Row],[marital_status]]="Married", Table1[[#This Row],[marital_status]]="Together"), "Partnered", "Single")</f>
        <v>Partnered</v>
      </c>
      <c r="F1492" s="7">
        <v>60585</v>
      </c>
      <c r="G1492" s="8">
        <v>1</v>
      </c>
      <c r="H1492" s="8">
        <v>1</v>
      </c>
      <c r="I1492" s="8">
        <f>Table1[[#This Row],[kids]]+Table1[[#This Row],[teens]]</f>
        <v>2</v>
      </c>
      <c r="J1492" s="9">
        <v>41449</v>
      </c>
      <c r="K1492" s="8">
        <v>17</v>
      </c>
      <c r="L1492" s="6">
        <v>267</v>
      </c>
      <c r="M1492" s="5">
        <v>42</v>
      </c>
      <c r="N1492" s="5">
        <v>309</v>
      </c>
      <c r="O1492" s="5">
        <v>55</v>
      </c>
      <c r="P1492" s="5">
        <v>42</v>
      </c>
      <c r="Q1492" s="5">
        <v>21</v>
      </c>
      <c r="R1492" s="8">
        <v>10</v>
      </c>
      <c r="S1492" s="8">
        <v>7</v>
      </c>
      <c r="T1492" s="8">
        <v>4</v>
      </c>
      <c r="U1492" s="8">
        <v>9</v>
      </c>
      <c r="V1492" s="8">
        <v>5</v>
      </c>
      <c r="W1492" t="s">
        <v>473</v>
      </c>
      <c r="X1492" t="s">
        <v>473</v>
      </c>
      <c r="Y1492" t="s">
        <v>473</v>
      </c>
      <c r="Z1492" t="s">
        <v>473</v>
      </c>
      <c r="AA1492" t="s">
        <v>473</v>
      </c>
      <c r="AB1492" t="s">
        <v>473</v>
      </c>
      <c r="AC1492" s="10">
        <v>3</v>
      </c>
      <c r="AD1492" s="10">
        <v>11</v>
      </c>
      <c r="AE1492" t="s">
        <v>474</v>
      </c>
    </row>
    <row r="1493" spans="1:31" x14ac:dyDescent="0.25">
      <c r="A1493">
        <v>7494</v>
      </c>
      <c r="B1493">
        <v>1950</v>
      </c>
      <c r="C1493" t="s">
        <v>33</v>
      </c>
      <c r="D1493" t="s">
        <v>37</v>
      </c>
      <c r="E1493" t="str">
        <f>IF(OR(Table1[[#This Row],[marital_status]]="Married", Table1[[#This Row],[marital_status]]="Together"), "Partnered", "Single")</f>
        <v>Single</v>
      </c>
      <c r="F1493" s="7">
        <v>42873</v>
      </c>
      <c r="G1493" s="8">
        <v>1</v>
      </c>
      <c r="H1493" s="8">
        <v>1</v>
      </c>
      <c r="I1493" s="8">
        <f>Table1[[#This Row],[kids]]+Table1[[#This Row],[teens]]</f>
        <v>2</v>
      </c>
      <c r="J1493" s="9">
        <v>41295</v>
      </c>
      <c r="K1493" s="8">
        <v>11</v>
      </c>
      <c r="L1493" s="6">
        <v>209</v>
      </c>
      <c r="M1493" s="5">
        <v>0</v>
      </c>
      <c r="N1493" s="5">
        <v>40</v>
      </c>
      <c r="O1493" s="5">
        <v>3</v>
      </c>
      <c r="P1493" s="5">
        <v>2</v>
      </c>
      <c r="Q1493" s="5">
        <v>15</v>
      </c>
      <c r="R1493" s="8">
        <v>4</v>
      </c>
      <c r="S1493" s="8">
        <v>6</v>
      </c>
      <c r="T1493" s="8">
        <v>1</v>
      </c>
      <c r="U1493" s="8">
        <v>4</v>
      </c>
      <c r="V1493" s="8">
        <v>8</v>
      </c>
      <c r="W1493" t="s">
        <v>473</v>
      </c>
      <c r="X1493" t="s">
        <v>473</v>
      </c>
      <c r="Y1493" t="s">
        <v>473</v>
      </c>
      <c r="Z1493" t="s">
        <v>473</v>
      </c>
      <c r="AA1493" t="s">
        <v>473</v>
      </c>
      <c r="AB1493" t="s">
        <v>473</v>
      </c>
      <c r="AC1493" s="10">
        <v>3</v>
      </c>
      <c r="AD1493" s="10">
        <v>11</v>
      </c>
      <c r="AE1493" t="s">
        <v>473</v>
      </c>
    </row>
    <row r="1494" spans="1:31" x14ac:dyDescent="0.25">
      <c r="A1494">
        <v>1763</v>
      </c>
      <c r="B1494">
        <v>1988</v>
      </c>
      <c r="C1494" t="s">
        <v>466</v>
      </c>
      <c r="D1494" t="s">
        <v>31</v>
      </c>
      <c r="E1494" t="str">
        <f>IF(OR(Table1[[#This Row],[marital_status]]="Married", Table1[[#This Row],[marital_status]]="Together"), "Partnered", "Single")</f>
        <v>Partnered</v>
      </c>
      <c r="F1494" s="7">
        <v>87679</v>
      </c>
      <c r="G1494" s="8">
        <v>0</v>
      </c>
      <c r="H1494" s="8">
        <v>0</v>
      </c>
      <c r="I1494" s="8">
        <f>Table1[[#This Row],[kids]]+Table1[[#This Row],[teens]]</f>
        <v>0</v>
      </c>
      <c r="J1494" s="9">
        <v>41482</v>
      </c>
      <c r="K1494" s="8">
        <v>62</v>
      </c>
      <c r="L1494" s="6">
        <v>1259</v>
      </c>
      <c r="M1494" s="5">
        <v>172</v>
      </c>
      <c r="N1494" s="5">
        <v>815</v>
      </c>
      <c r="O1494" s="5">
        <v>97</v>
      </c>
      <c r="P1494" s="5">
        <v>148</v>
      </c>
      <c r="Q1494" s="5">
        <v>33</v>
      </c>
      <c r="R1494" s="8">
        <v>1</v>
      </c>
      <c r="S1494" s="8">
        <v>7</v>
      </c>
      <c r="T1494" s="8">
        <v>11</v>
      </c>
      <c r="U1494" s="8">
        <v>10</v>
      </c>
      <c r="V1494" s="8">
        <v>4</v>
      </c>
      <c r="W1494" t="s">
        <v>474</v>
      </c>
      <c r="X1494" t="s">
        <v>473</v>
      </c>
      <c r="Y1494" t="s">
        <v>474</v>
      </c>
      <c r="Z1494" t="s">
        <v>474</v>
      </c>
      <c r="AA1494" t="s">
        <v>473</v>
      </c>
      <c r="AB1494" t="s">
        <v>473</v>
      </c>
      <c r="AC1494" s="10">
        <v>3</v>
      </c>
      <c r="AD1494" s="10">
        <v>11</v>
      </c>
      <c r="AE1494" t="s">
        <v>474</v>
      </c>
    </row>
    <row r="1495" spans="1:31" x14ac:dyDescent="0.25">
      <c r="A1495">
        <v>7250</v>
      </c>
      <c r="B1495">
        <v>1978</v>
      </c>
      <c r="C1495" t="s">
        <v>466</v>
      </c>
      <c r="D1495" t="s">
        <v>31</v>
      </c>
      <c r="E1495" t="str">
        <f>IF(OR(Table1[[#This Row],[marital_status]]="Married", Table1[[#This Row],[marital_status]]="Together"), "Partnered", "Single")</f>
        <v>Partnered</v>
      </c>
      <c r="F1495" s="7">
        <v>57867</v>
      </c>
      <c r="G1495" s="8">
        <v>1</v>
      </c>
      <c r="H1495" s="8">
        <v>0</v>
      </c>
      <c r="I1495" s="8">
        <f>Table1[[#This Row],[kids]]+Table1[[#This Row],[teens]]</f>
        <v>1</v>
      </c>
      <c r="J1495" s="9">
        <v>41548</v>
      </c>
      <c r="K1495" s="8">
        <v>48</v>
      </c>
      <c r="L1495" s="6">
        <v>344</v>
      </c>
      <c r="M1495" s="5">
        <v>35</v>
      </c>
      <c r="N1495" s="5">
        <v>178</v>
      </c>
      <c r="O1495" s="5">
        <v>15</v>
      </c>
      <c r="P1495" s="5">
        <v>23</v>
      </c>
      <c r="Q1495" s="5">
        <v>17</v>
      </c>
      <c r="R1495" s="8">
        <v>7</v>
      </c>
      <c r="S1495" s="8">
        <v>7</v>
      </c>
      <c r="T1495" s="8">
        <v>2</v>
      </c>
      <c r="U1495" s="8">
        <v>9</v>
      </c>
      <c r="V1495" s="8">
        <v>6</v>
      </c>
      <c r="W1495" t="s">
        <v>473</v>
      </c>
      <c r="X1495" t="s">
        <v>473</v>
      </c>
      <c r="Y1495" t="s">
        <v>473</v>
      </c>
      <c r="Z1495" t="s">
        <v>473</v>
      </c>
      <c r="AA1495" t="s">
        <v>473</v>
      </c>
      <c r="AB1495" t="s">
        <v>473</v>
      </c>
      <c r="AC1495" s="10">
        <v>3</v>
      </c>
      <c r="AD1495" s="10">
        <v>11</v>
      </c>
      <c r="AE1495" t="s">
        <v>473</v>
      </c>
    </row>
    <row r="1496" spans="1:31" x14ac:dyDescent="0.25">
      <c r="A1496">
        <v>2005</v>
      </c>
      <c r="B1496">
        <v>1990</v>
      </c>
      <c r="C1496" t="s">
        <v>466</v>
      </c>
      <c r="D1496" t="s">
        <v>34</v>
      </c>
      <c r="E1496" t="str">
        <f>IF(OR(Table1[[#This Row],[marital_status]]="Married", Table1[[#This Row],[marital_status]]="Together"), "Partnered", "Single")</f>
        <v>Partnered</v>
      </c>
      <c r="F1496" s="7">
        <v>35765</v>
      </c>
      <c r="G1496" s="8">
        <v>1</v>
      </c>
      <c r="H1496" s="8">
        <v>0</v>
      </c>
      <c r="I1496" s="8">
        <f>Table1[[#This Row],[kids]]+Table1[[#This Row],[teens]]</f>
        <v>1</v>
      </c>
      <c r="J1496" s="9">
        <v>41619</v>
      </c>
      <c r="K1496" s="8">
        <v>86</v>
      </c>
      <c r="L1496" s="6">
        <v>22</v>
      </c>
      <c r="M1496" s="5">
        <v>3</v>
      </c>
      <c r="N1496" s="5">
        <v>30</v>
      </c>
      <c r="O1496" s="5">
        <v>0</v>
      </c>
      <c r="P1496" s="5">
        <v>5</v>
      </c>
      <c r="Q1496" s="5">
        <v>15</v>
      </c>
      <c r="R1496" s="8">
        <v>2</v>
      </c>
      <c r="S1496" s="8">
        <v>2</v>
      </c>
      <c r="T1496" s="8">
        <v>0</v>
      </c>
      <c r="U1496" s="8">
        <v>4</v>
      </c>
      <c r="V1496" s="8">
        <v>6</v>
      </c>
      <c r="W1496" t="s">
        <v>473</v>
      </c>
      <c r="X1496" t="s">
        <v>473</v>
      </c>
      <c r="Y1496" t="s">
        <v>473</v>
      </c>
      <c r="Z1496" t="s">
        <v>473</v>
      </c>
      <c r="AA1496" t="s">
        <v>473</v>
      </c>
      <c r="AB1496" t="s">
        <v>473</v>
      </c>
      <c r="AC1496" s="10">
        <v>3</v>
      </c>
      <c r="AD1496" s="10">
        <v>11</v>
      </c>
      <c r="AE1496" t="s">
        <v>473</v>
      </c>
    </row>
    <row r="1497" spans="1:31" x14ac:dyDescent="0.25">
      <c r="A1497">
        <v>10770</v>
      </c>
      <c r="B1497">
        <v>1959</v>
      </c>
      <c r="C1497" t="s">
        <v>466</v>
      </c>
      <c r="D1497" t="s">
        <v>34</v>
      </c>
      <c r="E1497" t="str">
        <f>IF(OR(Table1[[#This Row],[marital_status]]="Married", Table1[[#This Row],[marital_status]]="Together"), "Partnered", "Single")</f>
        <v>Partnered</v>
      </c>
      <c r="F1497" s="7">
        <v>65492</v>
      </c>
      <c r="G1497" s="8">
        <v>0</v>
      </c>
      <c r="H1497" s="8">
        <v>0</v>
      </c>
      <c r="I1497" s="8">
        <f>Table1[[#This Row],[kids]]+Table1[[#This Row],[teens]]</f>
        <v>0</v>
      </c>
      <c r="J1497" s="9">
        <v>41665</v>
      </c>
      <c r="K1497" s="8">
        <v>73</v>
      </c>
      <c r="L1497" s="6">
        <v>247</v>
      </c>
      <c r="M1497" s="5">
        <v>161</v>
      </c>
      <c r="N1497" s="5">
        <v>295</v>
      </c>
      <c r="O1497" s="5">
        <v>210</v>
      </c>
      <c r="P1497" s="5">
        <v>85</v>
      </c>
      <c r="Q1497" s="5">
        <v>47</v>
      </c>
      <c r="R1497" s="8">
        <v>2</v>
      </c>
      <c r="S1497" s="8">
        <v>4</v>
      </c>
      <c r="T1497" s="8">
        <v>7</v>
      </c>
      <c r="U1497" s="8">
        <v>13</v>
      </c>
      <c r="V1497" s="8">
        <v>2</v>
      </c>
      <c r="W1497" t="s">
        <v>473</v>
      </c>
      <c r="X1497" t="s">
        <v>473</v>
      </c>
      <c r="Y1497" t="s">
        <v>473</v>
      </c>
      <c r="Z1497" t="s">
        <v>473</v>
      </c>
      <c r="AA1497" t="s">
        <v>473</v>
      </c>
      <c r="AB1497" t="s">
        <v>473</v>
      </c>
      <c r="AC1497" s="10">
        <v>3</v>
      </c>
      <c r="AD1497" s="10">
        <v>11</v>
      </c>
      <c r="AE1497" t="s">
        <v>473</v>
      </c>
    </row>
    <row r="1498" spans="1:31" x14ac:dyDescent="0.25">
      <c r="A1498">
        <v>6885</v>
      </c>
      <c r="B1498">
        <v>1977</v>
      </c>
      <c r="C1498" t="s">
        <v>466</v>
      </c>
      <c r="D1498" t="s">
        <v>37</v>
      </c>
      <c r="E1498" t="str">
        <f>IF(OR(Table1[[#This Row],[marital_status]]="Married", Table1[[#This Row],[marital_status]]="Together"), "Partnered", "Single")</f>
        <v>Single</v>
      </c>
      <c r="F1498" s="7">
        <v>32952</v>
      </c>
      <c r="G1498" s="8">
        <v>1</v>
      </c>
      <c r="H1498" s="8">
        <v>0</v>
      </c>
      <c r="I1498" s="8">
        <f>Table1[[#This Row],[kids]]+Table1[[#This Row],[teens]]</f>
        <v>1</v>
      </c>
      <c r="J1498" s="9">
        <v>41609</v>
      </c>
      <c r="K1498" s="8">
        <v>36</v>
      </c>
      <c r="L1498" s="6">
        <v>38</v>
      </c>
      <c r="M1498" s="5">
        <v>0</v>
      </c>
      <c r="N1498" s="5">
        <v>12</v>
      </c>
      <c r="O1498" s="5">
        <v>3</v>
      </c>
      <c r="P1498" s="5">
        <v>1</v>
      </c>
      <c r="Q1498" s="5">
        <v>1</v>
      </c>
      <c r="R1498" s="8">
        <v>1</v>
      </c>
      <c r="S1498" s="8">
        <v>2</v>
      </c>
      <c r="T1498" s="8">
        <v>0</v>
      </c>
      <c r="U1498" s="8">
        <v>3</v>
      </c>
      <c r="V1498" s="8">
        <v>7</v>
      </c>
      <c r="W1498" t="s">
        <v>473</v>
      </c>
      <c r="X1498" t="s">
        <v>473</v>
      </c>
      <c r="Y1498" t="s">
        <v>473</v>
      </c>
      <c r="Z1498" t="s">
        <v>473</v>
      </c>
      <c r="AA1498" t="s">
        <v>473</v>
      </c>
      <c r="AB1498" t="s">
        <v>473</v>
      </c>
      <c r="AC1498" s="10">
        <v>3</v>
      </c>
      <c r="AD1498" s="10">
        <v>11</v>
      </c>
      <c r="AE1498" t="s">
        <v>473</v>
      </c>
    </row>
    <row r="1499" spans="1:31" x14ac:dyDescent="0.25">
      <c r="A1499">
        <v>2072</v>
      </c>
      <c r="B1499">
        <v>1969</v>
      </c>
      <c r="C1499" t="s">
        <v>33</v>
      </c>
      <c r="D1499" t="s">
        <v>31</v>
      </c>
      <c r="E1499" t="str">
        <f>IF(OR(Table1[[#This Row],[marital_status]]="Married", Table1[[#This Row],[marital_status]]="Together"), "Partnered", "Single")</f>
        <v>Partnered</v>
      </c>
      <c r="F1499" s="7">
        <v>53374</v>
      </c>
      <c r="G1499" s="8">
        <v>0</v>
      </c>
      <c r="H1499" s="8">
        <v>1</v>
      </c>
      <c r="I1499" s="8">
        <f>Table1[[#This Row],[kids]]+Table1[[#This Row],[teens]]</f>
        <v>1</v>
      </c>
      <c r="J1499" s="9">
        <v>41137</v>
      </c>
      <c r="K1499" s="8">
        <v>34</v>
      </c>
      <c r="L1499" s="6">
        <v>896</v>
      </c>
      <c r="M1499" s="5">
        <v>10</v>
      </c>
      <c r="N1499" s="5">
        <v>101</v>
      </c>
      <c r="O1499" s="5">
        <v>13</v>
      </c>
      <c r="P1499" s="5">
        <v>10</v>
      </c>
      <c r="Q1499" s="5">
        <v>34</v>
      </c>
      <c r="R1499" s="8">
        <v>6</v>
      </c>
      <c r="S1499" s="8">
        <v>4</v>
      </c>
      <c r="T1499" s="8">
        <v>2</v>
      </c>
      <c r="U1499" s="8">
        <v>9</v>
      </c>
      <c r="V1499" s="8">
        <v>9</v>
      </c>
      <c r="W1499" t="s">
        <v>474</v>
      </c>
      <c r="X1499" t="s">
        <v>473</v>
      </c>
      <c r="Y1499" t="s">
        <v>473</v>
      </c>
      <c r="Z1499" t="s">
        <v>473</v>
      </c>
      <c r="AA1499" t="s">
        <v>473</v>
      </c>
      <c r="AB1499" t="s">
        <v>473</v>
      </c>
      <c r="AC1499" s="10">
        <v>3</v>
      </c>
      <c r="AD1499" s="10">
        <v>11</v>
      </c>
      <c r="AE1499" t="s">
        <v>474</v>
      </c>
    </row>
    <row r="1500" spans="1:31" x14ac:dyDescent="0.25">
      <c r="A1500">
        <v>9463</v>
      </c>
      <c r="B1500">
        <v>1959</v>
      </c>
      <c r="C1500" t="s">
        <v>466</v>
      </c>
      <c r="D1500" t="s">
        <v>31</v>
      </c>
      <c r="E1500" t="str">
        <f>IF(OR(Table1[[#This Row],[marital_status]]="Married", Table1[[#This Row],[marital_status]]="Together"), "Partnered", "Single")</f>
        <v>Partnered</v>
      </c>
      <c r="F1500" s="7">
        <v>71706</v>
      </c>
      <c r="G1500" s="8">
        <v>0</v>
      </c>
      <c r="H1500" s="8">
        <v>1</v>
      </c>
      <c r="I1500" s="8">
        <f>Table1[[#This Row],[kids]]+Table1[[#This Row],[teens]]</f>
        <v>1</v>
      </c>
      <c r="J1500" s="9">
        <v>41226</v>
      </c>
      <c r="K1500" s="8">
        <v>16</v>
      </c>
      <c r="L1500" s="6">
        <v>931</v>
      </c>
      <c r="M1500" s="5">
        <v>56</v>
      </c>
      <c r="N1500" s="5">
        <v>253</v>
      </c>
      <c r="O1500" s="5">
        <v>91</v>
      </c>
      <c r="P1500" s="5">
        <v>98</v>
      </c>
      <c r="Q1500" s="5">
        <v>14</v>
      </c>
      <c r="R1500" s="8">
        <v>4</v>
      </c>
      <c r="S1500" s="8">
        <v>9</v>
      </c>
      <c r="T1500" s="8">
        <v>5</v>
      </c>
      <c r="U1500" s="8">
        <v>7</v>
      </c>
      <c r="V1500" s="8">
        <v>5</v>
      </c>
      <c r="W1500" t="s">
        <v>473</v>
      </c>
      <c r="X1500" t="s">
        <v>473</v>
      </c>
      <c r="Y1500" t="s">
        <v>473</v>
      </c>
      <c r="Z1500" t="s">
        <v>473</v>
      </c>
      <c r="AA1500" t="s">
        <v>473</v>
      </c>
      <c r="AB1500" t="s">
        <v>473</v>
      </c>
      <c r="AC1500" s="10">
        <v>3</v>
      </c>
      <c r="AD1500" s="10">
        <v>11</v>
      </c>
      <c r="AE1500" t="s">
        <v>473</v>
      </c>
    </row>
    <row r="1501" spans="1:31" x14ac:dyDescent="0.25">
      <c r="A1501">
        <v>6318</v>
      </c>
      <c r="B1501">
        <v>1988</v>
      </c>
      <c r="C1501" t="s">
        <v>466</v>
      </c>
      <c r="D1501" t="s">
        <v>34</v>
      </c>
      <c r="E1501" t="str">
        <f>IF(OR(Table1[[#This Row],[marital_status]]="Married", Table1[[#This Row],[marital_status]]="Together"), "Partnered", "Single")</f>
        <v>Partnered</v>
      </c>
      <c r="F1501" s="7">
        <v>68487</v>
      </c>
      <c r="G1501" s="8">
        <v>0</v>
      </c>
      <c r="H1501" s="8">
        <v>0</v>
      </c>
      <c r="I1501" s="8">
        <f>Table1[[#This Row],[kids]]+Table1[[#This Row],[teens]]</f>
        <v>0</v>
      </c>
      <c r="J1501" s="9">
        <v>41287</v>
      </c>
      <c r="K1501" s="8">
        <v>48</v>
      </c>
      <c r="L1501" s="6">
        <v>758</v>
      </c>
      <c r="M1501" s="5">
        <v>12</v>
      </c>
      <c r="N1501" s="5">
        <v>385</v>
      </c>
      <c r="O1501" s="5">
        <v>33</v>
      </c>
      <c r="P1501" s="5">
        <v>89</v>
      </c>
      <c r="Q1501" s="5">
        <v>89</v>
      </c>
      <c r="R1501" s="8">
        <v>1</v>
      </c>
      <c r="S1501" s="8">
        <v>9</v>
      </c>
      <c r="T1501" s="8">
        <v>7</v>
      </c>
      <c r="U1501" s="8">
        <v>13</v>
      </c>
      <c r="V1501" s="8">
        <v>4</v>
      </c>
      <c r="W1501" t="s">
        <v>473</v>
      </c>
      <c r="X1501" t="s">
        <v>473</v>
      </c>
      <c r="Y1501" t="s">
        <v>473</v>
      </c>
      <c r="Z1501" t="s">
        <v>473</v>
      </c>
      <c r="AA1501" t="s">
        <v>473</v>
      </c>
      <c r="AB1501" t="s">
        <v>473</v>
      </c>
      <c r="AC1501" s="10">
        <v>3</v>
      </c>
      <c r="AD1501" s="10">
        <v>11</v>
      </c>
      <c r="AE1501" t="s">
        <v>473</v>
      </c>
    </row>
    <row r="1502" spans="1:31" x14ac:dyDescent="0.25">
      <c r="A1502">
        <v>4093</v>
      </c>
      <c r="B1502">
        <v>1975</v>
      </c>
      <c r="C1502" t="s">
        <v>36</v>
      </c>
      <c r="D1502" t="s">
        <v>31</v>
      </c>
      <c r="E1502" t="str">
        <f>IF(OR(Table1[[#This Row],[marital_status]]="Married", Table1[[#This Row],[marital_status]]="Together"), "Partnered", "Single")</f>
        <v>Partnered</v>
      </c>
      <c r="F1502" s="7">
        <v>53253</v>
      </c>
      <c r="G1502" s="8">
        <v>1</v>
      </c>
      <c r="H1502" s="8">
        <v>1</v>
      </c>
      <c r="I1502" s="8">
        <f>Table1[[#This Row],[kids]]+Table1[[#This Row],[teens]]</f>
        <v>2</v>
      </c>
      <c r="J1502" s="9">
        <v>41316</v>
      </c>
      <c r="K1502" s="8">
        <v>61</v>
      </c>
      <c r="L1502" s="6">
        <v>216</v>
      </c>
      <c r="M1502" s="5">
        <v>9</v>
      </c>
      <c r="N1502" s="5">
        <v>57</v>
      </c>
      <c r="O1502" s="5">
        <v>20</v>
      </c>
      <c r="P1502" s="5">
        <v>9</v>
      </c>
      <c r="Q1502" s="5">
        <v>125</v>
      </c>
      <c r="R1502" s="8">
        <v>7</v>
      </c>
      <c r="S1502" s="8">
        <v>4</v>
      </c>
      <c r="T1502" s="8">
        <v>3</v>
      </c>
      <c r="U1502" s="8">
        <v>5</v>
      </c>
      <c r="V1502" s="8">
        <v>5</v>
      </c>
      <c r="W1502" t="s">
        <v>473</v>
      </c>
      <c r="X1502" t="s">
        <v>473</v>
      </c>
      <c r="Y1502" t="s">
        <v>473</v>
      </c>
      <c r="Z1502" t="s">
        <v>473</v>
      </c>
      <c r="AA1502" t="s">
        <v>473</v>
      </c>
      <c r="AB1502" t="s">
        <v>473</v>
      </c>
      <c r="AC1502" s="10">
        <v>3</v>
      </c>
      <c r="AD1502" s="10">
        <v>11</v>
      </c>
      <c r="AE1502" t="s">
        <v>473</v>
      </c>
    </row>
    <row r="1503" spans="1:31" x14ac:dyDescent="0.25">
      <c r="A1503">
        <v>5751</v>
      </c>
      <c r="B1503">
        <v>1973</v>
      </c>
      <c r="C1503" t="s">
        <v>46</v>
      </c>
      <c r="D1503" t="s">
        <v>37</v>
      </c>
      <c r="E1503" t="str">
        <f>IF(OR(Table1[[#This Row],[marital_status]]="Married", Table1[[#This Row],[marital_status]]="Together"), "Partnered", "Single")</f>
        <v>Single</v>
      </c>
      <c r="F1503" s="7">
        <v>31163</v>
      </c>
      <c r="G1503" s="8">
        <v>1</v>
      </c>
      <c r="H1503" s="8">
        <v>0</v>
      </c>
      <c r="I1503" s="8">
        <f>Table1[[#This Row],[kids]]+Table1[[#This Row],[teens]]</f>
        <v>1</v>
      </c>
      <c r="J1503" s="9">
        <v>41683</v>
      </c>
      <c r="K1503" s="8">
        <v>54</v>
      </c>
      <c r="L1503" s="6">
        <v>2</v>
      </c>
      <c r="M1503" s="5">
        <v>3</v>
      </c>
      <c r="N1503" s="5">
        <v>10</v>
      </c>
      <c r="O1503" s="5">
        <v>11</v>
      </c>
      <c r="P1503" s="5">
        <v>2</v>
      </c>
      <c r="Q1503" s="5">
        <v>10</v>
      </c>
      <c r="R1503" s="8">
        <v>1</v>
      </c>
      <c r="S1503" s="8">
        <v>1</v>
      </c>
      <c r="T1503" s="8">
        <v>0</v>
      </c>
      <c r="U1503" s="8">
        <v>3</v>
      </c>
      <c r="V1503" s="8">
        <v>6</v>
      </c>
      <c r="W1503" t="s">
        <v>473</v>
      </c>
      <c r="X1503" t="s">
        <v>473</v>
      </c>
      <c r="Y1503" t="s">
        <v>473</v>
      </c>
      <c r="Z1503" t="s">
        <v>473</v>
      </c>
      <c r="AA1503" t="s">
        <v>473</v>
      </c>
      <c r="AB1503" t="s">
        <v>473</v>
      </c>
      <c r="AC1503" s="10">
        <v>3</v>
      </c>
      <c r="AD1503" s="10">
        <v>11</v>
      </c>
      <c r="AE1503" t="s">
        <v>473</v>
      </c>
    </row>
    <row r="1504" spans="1:31" x14ac:dyDescent="0.25">
      <c r="A1504">
        <v>3340</v>
      </c>
      <c r="B1504">
        <v>1977</v>
      </c>
      <c r="C1504" t="s">
        <v>466</v>
      </c>
      <c r="D1504" t="s">
        <v>34</v>
      </c>
      <c r="E1504" t="str">
        <f>IF(OR(Table1[[#This Row],[marital_status]]="Married", Table1[[#This Row],[marital_status]]="Together"), "Partnered", "Single")</f>
        <v>Partnered</v>
      </c>
      <c r="F1504" s="7">
        <v>42014</v>
      </c>
      <c r="G1504" s="8">
        <v>1</v>
      </c>
      <c r="H1504" s="8">
        <v>0</v>
      </c>
      <c r="I1504" s="8">
        <f>Table1[[#This Row],[kids]]+Table1[[#This Row],[teens]]</f>
        <v>1</v>
      </c>
      <c r="J1504" s="9">
        <v>41138</v>
      </c>
      <c r="K1504" s="8">
        <v>56</v>
      </c>
      <c r="L1504" s="6">
        <v>244</v>
      </c>
      <c r="M1504" s="5">
        <v>15</v>
      </c>
      <c r="N1504" s="5">
        <v>108</v>
      </c>
      <c r="O1504" s="5">
        <v>4</v>
      </c>
      <c r="P1504" s="5">
        <v>15</v>
      </c>
      <c r="Q1504" s="5">
        <v>50</v>
      </c>
      <c r="R1504" s="8">
        <v>6</v>
      </c>
      <c r="S1504" s="8">
        <v>7</v>
      </c>
      <c r="T1504" s="8">
        <v>1</v>
      </c>
      <c r="U1504" s="8">
        <v>6</v>
      </c>
      <c r="V1504" s="8">
        <v>8</v>
      </c>
      <c r="W1504" t="s">
        <v>473</v>
      </c>
      <c r="X1504" t="s">
        <v>473</v>
      </c>
      <c r="Y1504" t="s">
        <v>473</v>
      </c>
      <c r="Z1504" t="s">
        <v>473</v>
      </c>
      <c r="AA1504" t="s">
        <v>473</v>
      </c>
      <c r="AB1504" t="s">
        <v>473</v>
      </c>
      <c r="AC1504" s="10">
        <v>3</v>
      </c>
      <c r="AD1504" s="10">
        <v>11</v>
      </c>
      <c r="AE1504" t="s">
        <v>474</v>
      </c>
    </row>
    <row r="1505" spans="1:31" x14ac:dyDescent="0.25">
      <c r="A1505">
        <v>3594</v>
      </c>
      <c r="B1505">
        <v>1973</v>
      </c>
      <c r="C1505" t="s">
        <v>36</v>
      </c>
      <c r="D1505" t="s">
        <v>34</v>
      </c>
      <c r="E1505" t="str">
        <f>IF(OR(Table1[[#This Row],[marital_status]]="Married", Table1[[#This Row],[marital_status]]="Together"), "Partnered", "Single")</f>
        <v>Partnered</v>
      </c>
      <c r="F1505" s="7">
        <v>54108</v>
      </c>
      <c r="G1505" s="8">
        <v>1</v>
      </c>
      <c r="H1505" s="8">
        <v>1</v>
      </c>
      <c r="I1505" s="8">
        <f>Table1[[#This Row],[kids]]+Table1[[#This Row],[teens]]</f>
        <v>2</v>
      </c>
      <c r="J1505" s="9">
        <v>41218</v>
      </c>
      <c r="K1505" s="8">
        <v>74</v>
      </c>
      <c r="L1505" s="6">
        <v>539</v>
      </c>
      <c r="M1505" s="5">
        <v>6</v>
      </c>
      <c r="N1505" s="5">
        <v>91</v>
      </c>
      <c r="O1505" s="5">
        <v>8</v>
      </c>
      <c r="P1505" s="5">
        <v>6</v>
      </c>
      <c r="Q1505" s="5">
        <v>97</v>
      </c>
      <c r="R1505" s="8">
        <v>13</v>
      </c>
      <c r="S1505" s="8">
        <v>8</v>
      </c>
      <c r="T1505" s="8">
        <v>2</v>
      </c>
      <c r="U1505" s="8">
        <v>9</v>
      </c>
      <c r="V1505" s="8">
        <v>8</v>
      </c>
      <c r="W1505" t="s">
        <v>473</v>
      </c>
      <c r="X1505" t="s">
        <v>473</v>
      </c>
      <c r="Y1505" t="s">
        <v>473</v>
      </c>
      <c r="Z1505" t="s">
        <v>473</v>
      </c>
      <c r="AA1505" t="s">
        <v>473</v>
      </c>
      <c r="AB1505" t="s">
        <v>473</v>
      </c>
      <c r="AC1505" s="10">
        <v>3</v>
      </c>
      <c r="AD1505" s="10">
        <v>11</v>
      </c>
      <c r="AE1505" t="s">
        <v>473</v>
      </c>
    </row>
    <row r="1506" spans="1:31" x14ac:dyDescent="0.25">
      <c r="A1506">
        <v>3584</v>
      </c>
      <c r="B1506">
        <v>1955</v>
      </c>
      <c r="C1506" t="s">
        <v>33</v>
      </c>
      <c r="D1506" t="s">
        <v>30</v>
      </c>
      <c r="E1506" t="str">
        <f>IF(OR(Table1[[#This Row],[marital_status]]="Married", Table1[[#This Row],[marital_status]]="Together"), "Partnered", "Single")</f>
        <v>Single</v>
      </c>
      <c r="F1506" s="7">
        <v>49667</v>
      </c>
      <c r="G1506" s="8">
        <v>0</v>
      </c>
      <c r="H1506" s="8">
        <v>0</v>
      </c>
      <c r="I1506" s="8">
        <f>Table1[[#This Row],[kids]]+Table1[[#This Row],[teens]]</f>
        <v>0</v>
      </c>
      <c r="J1506" s="9">
        <v>41141</v>
      </c>
      <c r="K1506" s="8">
        <v>35</v>
      </c>
      <c r="L1506" s="6">
        <v>1181</v>
      </c>
      <c r="M1506" s="5">
        <v>26</v>
      </c>
      <c r="N1506" s="5">
        <v>120</v>
      </c>
      <c r="O1506" s="5">
        <v>17</v>
      </c>
      <c r="P1506" s="5">
        <v>13</v>
      </c>
      <c r="Q1506" s="5">
        <v>39</v>
      </c>
      <c r="R1506" s="8">
        <v>2</v>
      </c>
      <c r="S1506" s="8">
        <v>5</v>
      </c>
      <c r="T1506" s="8">
        <v>10</v>
      </c>
      <c r="U1506" s="8">
        <v>5</v>
      </c>
      <c r="V1506" s="8">
        <v>8</v>
      </c>
      <c r="W1506" t="s">
        <v>474</v>
      </c>
      <c r="X1506" t="s">
        <v>473</v>
      </c>
      <c r="Y1506" t="s">
        <v>473</v>
      </c>
      <c r="Z1506" t="s">
        <v>473</v>
      </c>
      <c r="AA1506" t="s">
        <v>473</v>
      </c>
      <c r="AB1506" t="s">
        <v>473</v>
      </c>
      <c r="AC1506" s="10">
        <v>3</v>
      </c>
      <c r="AD1506" s="10">
        <v>11</v>
      </c>
      <c r="AE1506" t="s">
        <v>474</v>
      </c>
    </row>
    <row r="1507" spans="1:31" x14ac:dyDescent="0.25">
      <c r="A1507">
        <v>3643</v>
      </c>
      <c r="B1507">
        <v>1974</v>
      </c>
      <c r="C1507" t="s">
        <v>36</v>
      </c>
      <c r="D1507" t="s">
        <v>34</v>
      </c>
      <c r="E1507" t="str">
        <f>IF(OR(Table1[[#This Row],[marital_status]]="Married", Table1[[#This Row],[marital_status]]="Together"), "Partnered", "Single")</f>
        <v>Partnered</v>
      </c>
      <c r="F1507" s="7">
        <v>63206</v>
      </c>
      <c r="G1507" s="8">
        <v>0</v>
      </c>
      <c r="H1507" s="8">
        <v>0</v>
      </c>
      <c r="I1507" s="8">
        <f>Table1[[#This Row],[kids]]+Table1[[#This Row],[teens]]</f>
        <v>0</v>
      </c>
      <c r="J1507" s="9">
        <v>41718</v>
      </c>
      <c r="K1507" s="8">
        <v>65</v>
      </c>
      <c r="L1507" s="6">
        <v>750</v>
      </c>
      <c r="M1507" s="5">
        <v>8</v>
      </c>
      <c r="N1507" s="5">
        <v>125</v>
      </c>
      <c r="O1507" s="5">
        <v>11</v>
      </c>
      <c r="P1507" s="5">
        <v>8</v>
      </c>
      <c r="Q1507" s="5">
        <v>26</v>
      </c>
      <c r="R1507" s="8">
        <v>1</v>
      </c>
      <c r="S1507" s="8">
        <v>4</v>
      </c>
      <c r="T1507" s="8">
        <v>3</v>
      </c>
      <c r="U1507" s="8">
        <v>6</v>
      </c>
      <c r="V1507" s="8">
        <v>2</v>
      </c>
      <c r="W1507" t="s">
        <v>473</v>
      </c>
      <c r="X1507" t="s">
        <v>473</v>
      </c>
      <c r="Y1507" t="s">
        <v>474</v>
      </c>
      <c r="Z1507" t="s">
        <v>473</v>
      </c>
      <c r="AA1507" t="s">
        <v>473</v>
      </c>
      <c r="AB1507" t="s">
        <v>473</v>
      </c>
      <c r="AC1507" s="10">
        <v>3</v>
      </c>
      <c r="AD1507" s="10">
        <v>11</v>
      </c>
      <c r="AE1507" t="s">
        <v>473</v>
      </c>
    </row>
    <row r="1508" spans="1:31" x14ac:dyDescent="0.25">
      <c r="A1508">
        <v>851</v>
      </c>
      <c r="B1508">
        <v>1972</v>
      </c>
      <c r="C1508" t="s">
        <v>36</v>
      </c>
      <c r="D1508" t="s">
        <v>34</v>
      </c>
      <c r="E1508" t="str">
        <f>IF(OR(Table1[[#This Row],[marital_status]]="Married", Table1[[#This Row],[marital_status]]="Together"), "Partnered", "Single")</f>
        <v>Partnered</v>
      </c>
      <c r="F1508" s="7">
        <v>57136</v>
      </c>
      <c r="G1508" s="8">
        <v>1</v>
      </c>
      <c r="H1508" s="8">
        <v>1</v>
      </c>
      <c r="I1508" s="8">
        <f>Table1[[#This Row],[kids]]+Table1[[#This Row],[teens]]</f>
        <v>2</v>
      </c>
      <c r="J1508" s="9">
        <v>41464</v>
      </c>
      <c r="K1508" s="8">
        <v>48</v>
      </c>
      <c r="L1508" s="6">
        <v>306</v>
      </c>
      <c r="M1508" s="5">
        <v>5</v>
      </c>
      <c r="N1508" s="5">
        <v>109</v>
      </c>
      <c r="O1508" s="5">
        <v>21</v>
      </c>
      <c r="P1508" s="5">
        <v>109</v>
      </c>
      <c r="Q1508" s="5">
        <v>92</v>
      </c>
      <c r="R1508" s="8">
        <v>9</v>
      </c>
      <c r="S1508" s="8">
        <v>5</v>
      </c>
      <c r="T1508" s="8">
        <v>2</v>
      </c>
      <c r="U1508" s="8">
        <v>10</v>
      </c>
      <c r="V1508" s="8">
        <v>6</v>
      </c>
      <c r="W1508" t="s">
        <v>473</v>
      </c>
      <c r="X1508" t="s">
        <v>473</v>
      </c>
      <c r="Y1508" t="s">
        <v>473</v>
      </c>
      <c r="Z1508" t="s">
        <v>473</v>
      </c>
      <c r="AA1508" t="s">
        <v>473</v>
      </c>
      <c r="AB1508" t="s">
        <v>473</v>
      </c>
      <c r="AC1508" s="10">
        <v>3</v>
      </c>
      <c r="AD1508" s="10">
        <v>11</v>
      </c>
      <c r="AE1508" t="s">
        <v>473</v>
      </c>
    </row>
    <row r="1509" spans="1:31" x14ac:dyDescent="0.25">
      <c r="A1509">
        <v>7706</v>
      </c>
      <c r="B1509">
        <v>1975</v>
      </c>
      <c r="C1509" t="s">
        <v>46</v>
      </c>
      <c r="D1509" t="s">
        <v>31</v>
      </c>
      <c r="E1509" t="str">
        <f>IF(OR(Table1[[#This Row],[marital_status]]="Married", Table1[[#This Row],[marital_status]]="Together"), "Partnered", "Single")</f>
        <v>Partnered</v>
      </c>
      <c r="F1509" s="7">
        <v>46772</v>
      </c>
      <c r="G1509" s="8">
        <v>0</v>
      </c>
      <c r="H1509" s="8">
        <v>1</v>
      </c>
      <c r="I1509" s="8">
        <f>Table1[[#This Row],[kids]]+Table1[[#This Row],[teens]]</f>
        <v>1</v>
      </c>
      <c r="J1509" s="9">
        <v>41220</v>
      </c>
      <c r="K1509" s="8">
        <v>88</v>
      </c>
      <c r="L1509" s="6">
        <v>350</v>
      </c>
      <c r="M1509" s="5">
        <v>104</v>
      </c>
      <c r="N1509" s="5">
        <v>189</v>
      </c>
      <c r="O1509" s="5">
        <v>197</v>
      </c>
      <c r="P1509" s="5">
        <v>151</v>
      </c>
      <c r="Q1509" s="5">
        <v>57</v>
      </c>
      <c r="R1509" s="8">
        <v>6</v>
      </c>
      <c r="S1509" s="8">
        <v>11</v>
      </c>
      <c r="T1509" s="8">
        <v>8</v>
      </c>
      <c r="U1509" s="8">
        <v>5</v>
      </c>
      <c r="V1509" s="8">
        <v>8</v>
      </c>
      <c r="W1509" t="s">
        <v>474</v>
      </c>
      <c r="X1509" t="s">
        <v>473</v>
      </c>
      <c r="Y1509" t="s">
        <v>473</v>
      </c>
      <c r="Z1509" t="s">
        <v>473</v>
      </c>
      <c r="AA1509" t="s">
        <v>473</v>
      </c>
      <c r="AB1509" t="s">
        <v>473</v>
      </c>
      <c r="AC1509" s="10">
        <v>3</v>
      </c>
      <c r="AD1509" s="10">
        <v>11</v>
      </c>
      <c r="AE1509" t="s">
        <v>473</v>
      </c>
    </row>
    <row r="1510" spans="1:31" x14ac:dyDescent="0.25">
      <c r="A1510">
        <v>3967</v>
      </c>
      <c r="B1510">
        <v>1971</v>
      </c>
      <c r="C1510" t="s">
        <v>33</v>
      </c>
      <c r="D1510" t="s">
        <v>34</v>
      </c>
      <c r="E1510" t="str">
        <f>IF(OR(Table1[[#This Row],[marital_status]]="Married", Table1[[#This Row],[marital_status]]="Together"), "Partnered", "Single")</f>
        <v>Partnered</v>
      </c>
      <c r="F1510" s="7">
        <v>78931</v>
      </c>
      <c r="G1510" s="8">
        <v>0</v>
      </c>
      <c r="H1510" s="8">
        <v>0</v>
      </c>
      <c r="I1510" s="8">
        <f>Table1[[#This Row],[kids]]+Table1[[#This Row],[teens]]</f>
        <v>0</v>
      </c>
      <c r="J1510" s="9">
        <v>41572</v>
      </c>
      <c r="K1510" s="8">
        <v>19</v>
      </c>
      <c r="L1510" s="6">
        <v>331</v>
      </c>
      <c r="M1510" s="5">
        <v>197</v>
      </c>
      <c r="N1510" s="5">
        <v>170</v>
      </c>
      <c r="O1510" s="5">
        <v>58</v>
      </c>
      <c r="P1510" s="5">
        <v>152</v>
      </c>
      <c r="Q1510" s="5">
        <v>35</v>
      </c>
      <c r="R1510" s="8">
        <v>1</v>
      </c>
      <c r="S1510" s="8">
        <v>2</v>
      </c>
      <c r="T1510" s="8">
        <v>8</v>
      </c>
      <c r="U1510" s="8">
        <v>13</v>
      </c>
      <c r="V1510" s="8">
        <v>1</v>
      </c>
      <c r="W1510" t="s">
        <v>473</v>
      </c>
      <c r="X1510" t="s">
        <v>473</v>
      </c>
      <c r="Y1510" t="s">
        <v>473</v>
      </c>
      <c r="Z1510" t="s">
        <v>473</v>
      </c>
      <c r="AA1510" t="s">
        <v>473</v>
      </c>
      <c r="AB1510" t="s">
        <v>473</v>
      </c>
      <c r="AC1510" s="10">
        <v>3</v>
      </c>
      <c r="AD1510" s="10">
        <v>11</v>
      </c>
      <c r="AE1510" t="s">
        <v>473</v>
      </c>
    </row>
    <row r="1511" spans="1:31" x14ac:dyDescent="0.25">
      <c r="A1511">
        <v>10128</v>
      </c>
      <c r="B1511">
        <v>1958</v>
      </c>
      <c r="C1511" t="s">
        <v>466</v>
      </c>
      <c r="D1511" t="s">
        <v>31</v>
      </c>
      <c r="E1511" t="str">
        <f>IF(OR(Table1[[#This Row],[marital_status]]="Married", Table1[[#This Row],[marital_status]]="Together"), "Partnered", "Single")</f>
        <v>Partnered</v>
      </c>
      <c r="F1511" s="7">
        <v>53977</v>
      </c>
      <c r="G1511" s="8">
        <v>0</v>
      </c>
      <c r="H1511" s="8">
        <v>1</v>
      </c>
      <c r="I1511" s="8">
        <f>Table1[[#This Row],[kids]]+Table1[[#This Row],[teens]]</f>
        <v>1</v>
      </c>
      <c r="J1511" s="9">
        <v>41433</v>
      </c>
      <c r="K1511" s="8">
        <v>21</v>
      </c>
      <c r="L1511" s="6">
        <v>620</v>
      </c>
      <c r="M1511" s="5">
        <v>16</v>
      </c>
      <c r="N1511" s="5">
        <v>165</v>
      </c>
      <c r="O1511" s="5">
        <v>0</v>
      </c>
      <c r="P1511" s="5">
        <v>24</v>
      </c>
      <c r="Q1511" s="5">
        <v>82</v>
      </c>
      <c r="R1511" s="8">
        <v>5</v>
      </c>
      <c r="S1511" s="8">
        <v>5</v>
      </c>
      <c r="T1511" s="8">
        <v>5</v>
      </c>
      <c r="U1511" s="8">
        <v>12</v>
      </c>
      <c r="V1511" s="8">
        <v>5</v>
      </c>
      <c r="W1511" t="s">
        <v>473</v>
      </c>
      <c r="X1511" t="s">
        <v>473</v>
      </c>
      <c r="Y1511" t="s">
        <v>473</v>
      </c>
      <c r="Z1511" t="s">
        <v>473</v>
      </c>
      <c r="AA1511" t="s">
        <v>473</v>
      </c>
      <c r="AB1511" t="s">
        <v>473</v>
      </c>
      <c r="AC1511" s="10">
        <v>3</v>
      </c>
      <c r="AD1511" s="10">
        <v>11</v>
      </c>
      <c r="AE1511" t="s">
        <v>473</v>
      </c>
    </row>
    <row r="1512" spans="1:31" x14ac:dyDescent="0.25">
      <c r="A1512">
        <v>486</v>
      </c>
      <c r="B1512">
        <v>1988</v>
      </c>
      <c r="C1512" t="s">
        <v>466</v>
      </c>
      <c r="D1512" t="s">
        <v>34</v>
      </c>
      <c r="E1512" t="str">
        <f>IF(OR(Table1[[#This Row],[marital_status]]="Married", Table1[[#This Row],[marital_status]]="Together"), "Partnered", "Single")</f>
        <v>Partnered</v>
      </c>
      <c r="F1512" s="7">
        <v>84219</v>
      </c>
      <c r="G1512" s="8">
        <v>0</v>
      </c>
      <c r="H1512" s="8">
        <v>0</v>
      </c>
      <c r="I1512" s="8">
        <f>Table1[[#This Row],[kids]]+Table1[[#This Row],[teens]]</f>
        <v>0</v>
      </c>
      <c r="J1512" s="9">
        <v>41672</v>
      </c>
      <c r="K1512" s="8">
        <v>27</v>
      </c>
      <c r="L1512" s="6">
        <v>434</v>
      </c>
      <c r="M1512" s="5">
        <v>137</v>
      </c>
      <c r="N1512" s="5">
        <v>400</v>
      </c>
      <c r="O1512" s="5">
        <v>45</v>
      </c>
      <c r="P1512" s="5">
        <v>137</v>
      </c>
      <c r="Q1512" s="5">
        <v>45</v>
      </c>
      <c r="R1512" s="8">
        <v>1</v>
      </c>
      <c r="S1512" s="8">
        <v>3</v>
      </c>
      <c r="T1512" s="8">
        <v>4</v>
      </c>
      <c r="U1512" s="8">
        <v>10</v>
      </c>
      <c r="V1512" s="8">
        <v>1</v>
      </c>
      <c r="W1512" t="s">
        <v>473</v>
      </c>
      <c r="X1512" t="s">
        <v>473</v>
      </c>
      <c r="Y1512" t="s">
        <v>473</v>
      </c>
      <c r="Z1512" t="s">
        <v>473</v>
      </c>
      <c r="AA1512" t="s">
        <v>473</v>
      </c>
      <c r="AB1512" t="s">
        <v>473</v>
      </c>
      <c r="AC1512" s="10">
        <v>3</v>
      </c>
      <c r="AD1512" s="10">
        <v>11</v>
      </c>
      <c r="AE1512" t="s">
        <v>473</v>
      </c>
    </row>
    <row r="1513" spans="1:31" x14ac:dyDescent="0.25">
      <c r="A1513">
        <v>9</v>
      </c>
      <c r="B1513">
        <v>1975</v>
      </c>
      <c r="C1513" t="s">
        <v>36</v>
      </c>
      <c r="D1513" t="s">
        <v>30</v>
      </c>
      <c r="E1513" t="str">
        <f>IF(OR(Table1[[#This Row],[marital_status]]="Married", Table1[[#This Row],[marital_status]]="Together"), "Partnered", "Single")</f>
        <v>Single</v>
      </c>
      <c r="F1513" s="7">
        <v>46098</v>
      </c>
      <c r="G1513" s="8">
        <v>1</v>
      </c>
      <c r="H1513" s="8">
        <v>1</v>
      </c>
      <c r="I1513" s="8">
        <f>Table1[[#This Row],[kids]]+Table1[[#This Row],[teens]]</f>
        <v>2</v>
      </c>
      <c r="J1513" s="9">
        <v>41139</v>
      </c>
      <c r="K1513" s="8">
        <v>86</v>
      </c>
      <c r="L1513" s="6">
        <v>57</v>
      </c>
      <c r="M1513" s="5">
        <v>0</v>
      </c>
      <c r="N1513" s="5">
        <v>27</v>
      </c>
      <c r="O1513" s="5">
        <v>0</v>
      </c>
      <c r="P1513" s="5">
        <v>0</v>
      </c>
      <c r="Q1513" s="5">
        <v>36</v>
      </c>
      <c r="R1513" s="8">
        <v>4</v>
      </c>
      <c r="S1513" s="8">
        <v>3</v>
      </c>
      <c r="T1513" s="8">
        <v>2</v>
      </c>
      <c r="U1513" s="8">
        <v>2</v>
      </c>
      <c r="V1513" s="8">
        <v>8</v>
      </c>
      <c r="W1513" t="s">
        <v>473</v>
      </c>
      <c r="X1513" t="s">
        <v>473</v>
      </c>
      <c r="Y1513" t="s">
        <v>473</v>
      </c>
      <c r="Z1513" t="s">
        <v>473</v>
      </c>
      <c r="AA1513" t="s">
        <v>473</v>
      </c>
      <c r="AB1513" t="s">
        <v>473</v>
      </c>
      <c r="AC1513" s="10">
        <v>3</v>
      </c>
      <c r="AD1513" s="10">
        <v>11</v>
      </c>
      <c r="AE1513" t="s">
        <v>473</v>
      </c>
    </row>
    <row r="1514" spans="1:31" x14ac:dyDescent="0.25">
      <c r="A1514">
        <v>9451</v>
      </c>
      <c r="B1514">
        <v>1965</v>
      </c>
      <c r="C1514" t="s">
        <v>466</v>
      </c>
      <c r="D1514" t="s">
        <v>34</v>
      </c>
      <c r="E1514" t="str">
        <f>IF(OR(Table1[[#This Row],[marital_status]]="Married", Table1[[#This Row],[marital_status]]="Together"), "Partnered", "Single")</f>
        <v>Partnered</v>
      </c>
      <c r="F1514" s="7">
        <v>73538</v>
      </c>
      <c r="G1514" s="8">
        <v>0</v>
      </c>
      <c r="H1514" s="8">
        <v>1</v>
      </c>
      <c r="I1514" s="8">
        <f>Table1[[#This Row],[kids]]+Table1[[#This Row],[teens]]</f>
        <v>1</v>
      </c>
      <c r="J1514" s="9">
        <v>41238</v>
      </c>
      <c r="K1514" s="8">
        <v>92</v>
      </c>
      <c r="L1514" s="6">
        <v>811</v>
      </c>
      <c r="M1514" s="5">
        <v>76</v>
      </c>
      <c r="N1514" s="5">
        <v>428</v>
      </c>
      <c r="O1514" s="5">
        <v>99</v>
      </c>
      <c r="P1514" s="5">
        <v>137</v>
      </c>
      <c r="Q1514" s="5">
        <v>107</v>
      </c>
      <c r="R1514" s="8">
        <v>3</v>
      </c>
      <c r="S1514" s="8">
        <v>10</v>
      </c>
      <c r="T1514" s="8">
        <v>4</v>
      </c>
      <c r="U1514" s="8">
        <v>9</v>
      </c>
      <c r="V1514" s="8">
        <v>7</v>
      </c>
      <c r="W1514" t="s">
        <v>473</v>
      </c>
      <c r="X1514" t="s">
        <v>473</v>
      </c>
      <c r="Y1514" t="s">
        <v>473</v>
      </c>
      <c r="Z1514" t="s">
        <v>473</v>
      </c>
      <c r="AA1514" t="s">
        <v>473</v>
      </c>
      <c r="AB1514" t="s">
        <v>473</v>
      </c>
      <c r="AC1514" s="10">
        <v>3</v>
      </c>
      <c r="AD1514" s="10">
        <v>11</v>
      </c>
      <c r="AE1514" t="s">
        <v>473</v>
      </c>
    </row>
    <row r="1515" spans="1:31" x14ac:dyDescent="0.25">
      <c r="A1515">
        <v>9264</v>
      </c>
      <c r="B1515">
        <v>1986</v>
      </c>
      <c r="C1515" t="s">
        <v>466</v>
      </c>
      <c r="D1515" t="s">
        <v>34</v>
      </c>
      <c r="E1515" t="str">
        <f>IF(OR(Table1[[#This Row],[marital_status]]="Married", Table1[[#This Row],[marital_status]]="Together"), "Partnered", "Single")</f>
        <v>Partnered</v>
      </c>
      <c r="F1515" s="7">
        <v>79529</v>
      </c>
      <c r="G1515" s="8">
        <v>0</v>
      </c>
      <c r="H1515" s="8">
        <v>0</v>
      </c>
      <c r="I1515" s="8">
        <f>Table1[[#This Row],[kids]]+Table1[[#This Row],[teens]]</f>
        <v>0</v>
      </c>
      <c r="J1515" s="9">
        <v>41756</v>
      </c>
      <c r="K1515" s="8">
        <v>1</v>
      </c>
      <c r="L1515" s="6">
        <v>423</v>
      </c>
      <c r="M1515" s="5">
        <v>42</v>
      </c>
      <c r="N1515" s="5">
        <v>706</v>
      </c>
      <c r="O1515" s="5">
        <v>73</v>
      </c>
      <c r="P1515" s="5">
        <v>197</v>
      </c>
      <c r="Q1515" s="5">
        <v>197</v>
      </c>
      <c r="R1515" s="8">
        <v>1</v>
      </c>
      <c r="S1515" s="8">
        <v>4</v>
      </c>
      <c r="T1515" s="8">
        <v>8</v>
      </c>
      <c r="U1515" s="8">
        <v>9</v>
      </c>
      <c r="V1515" s="8">
        <v>2</v>
      </c>
      <c r="W1515" t="s">
        <v>473</v>
      </c>
      <c r="X1515" t="s">
        <v>473</v>
      </c>
      <c r="Y1515" t="s">
        <v>473</v>
      </c>
      <c r="Z1515" t="s">
        <v>473</v>
      </c>
      <c r="AA1515" t="s">
        <v>473</v>
      </c>
      <c r="AB1515" t="s">
        <v>473</v>
      </c>
      <c r="AC1515" s="10">
        <v>3</v>
      </c>
      <c r="AD1515" s="10">
        <v>11</v>
      </c>
      <c r="AE1515" t="s">
        <v>473</v>
      </c>
    </row>
    <row r="1516" spans="1:31" x14ac:dyDescent="0.25">
      <c r="A1516">
        <v>3865</v>
      </c>
      <c r="B1516">
        <v>1977</v>
      </c>
      <c r="C1516" t="s">
        <v>46</v>
      </c>
      <c r="D1516" t="s">
        <v>31</v>
      </c>
      <c r="E1516" t="str">
        <f>IF(OR(Table1[[#This Row],[marital_status]]="Married", Table1[[#This Row],[marital_status]]="Together"), "Partnered", "Single")</f>
        <v>Partnered</v>
      </c>
      <c r="F1516" s="7">
        <v>20981</v>
      </c>
      <c r="G1516" s="8">
        <v>0</v>
      </c>
      <c r="H1516" s="8">
        <v>0</v>
      </c>
      <c r="I1516" s="8">
        <f>Table1[[#This Row],[kids]]+Table1[[#This Row],[teens]]</f>
        <v>0</v>
      </c>
      <c r="J1516" s="9">
        <v>41394</v>
      </c>
      <c r="K1516" s="8">
        <v>14</v>
      </c>
      <c r="L1516" s="6">
        <v>2</v>
      </c>
      <c r="M1516" s="5">
        <v>12</v>
      </c>
      <c r="N1516" s="5">
        <v>10</v>
      </c>
      <c r="O1516" s="5">
        <v>6</v>
      </c>
      <c r="P1516" s="5">
        <v>13</v>
      </c>
      <c r="Q1516" s="5">
        <v>30</v>
      </c>
      <c r="R1516" s="8">
        <v>1</v>
      </c>
      <c r="S1516" s="8">
        <v>3</v>
      </c>
      <c r="T1516" s="8">
        <v>1</v>
      </c>
      <c r="U1516" s="8">
        <v>2</v>
      </c>
      <c r="V1516" s="8">
        <v>8</v>
      </c>
      <c r="W1516" t="s">
        <v>473</v>
      </c>
      <c r="X1516" t="s">
        <v>473</v>
      </c>
      <c r="Y1516" t="s">
        <v>473</v>
      </c>
      <c r="Z1516" t="s">
        <v>473</v>
      </c>
      <c r="AA1516" t="s">
        <v>473</v>
      </c>
      <c r="AB1516" t="s">
        <v>473</v>
      </c>
      <c r="AC1516" s="10">
        <v>3</v>
      </c>
      <c r="AD1516" s="10">
        <v>11</v>
      </c>
      <c r="AE1516" t="s">
        <v>474</v>
      </c>
    </row>
    <row r="1517" spans="1:31" x14ac:dyDescent="0.25">
      <c r="A1517">
        <v>2853</v>
      </c>
      <c r="B1517">
        <v>1980</v>
      </c>
      <c r="C1517" t="s">
        <v>466</v>
      </c>
      <c r="D1517" t="s">
        <v>30</v>
      </c>
      <c r="E1517" t="str">
        <f>IF(OR(Table1[[#This Row],[marital_status]]="Married", Table1[[#This Row],[marital_status]]="Together"), "Partnered", "Single")</f>
        <v>Single</v>
      </c>
      <c r="F1517" s="7">
        <v>51766</v>
      </c>
      <c r="G1517" s="8">
        <v>1</v>
      </c>
      <c r="H1517" s="8">
        <v>0</v>
      </c>
      <c r="I1517" s="8">
        <f>Table1[[#This Row],[kids]]+Table1[[#This Row],[teens]]</f>
        <v>1</v>
      </c>
      <c r="J1517" s="9">
        <v>41709</v>
      </c>
      <c r="K1517" s="8">
        <v>74</v>
      </c>
      <c r="L1517" s="6">
        <v>60</v>
      </c>
      <c r="M1517" s="5">
        <v>51</v>
      </c>
      <c r="N1517" s="5">
        <v>87</v>
      </c>
      <c r="O1517" s="5">
        <v>6</v>
      </c>
      <c r="P1517" s="5">
        <v>20</v>
      </c>
      <c r="Q1517" s="5">
        <v>51</v>
      </c>
      <c r="R1517" s="8">
        <v>2</v>
      </c>
      <c r="S1517" s="8">
        <v>4</v>
      </c>
      <c r="T1517" s="8">
        <v>2</v>
      </c>
      <c r="U1517" s="8">
        <v>4</v>
      </c>
      <c r="V1517" s="8">
        <v>5</v>
      </c>
      <c r="W1517" t="s">
        <v>473</v>
      </c>
      <c r="X1517" t="s">
        <v>473</v>
      </c>
      <c r="Y1517" t="s">
        <v>473</v>
      </c>
      <c r="Z1517" t="s">
        <v>473</v>
      </c>
      <c r="AA1517" t="s">
        <v>473</v>
      </c>
      <c r="AB1517" t="s">
        <v>473</v>
      </c>
      <c r="AC1517" s="10">
        <v>3</v>
      </c>
      <c r="AD1517" s="10">
        <v>11</v>
      </c>
      <c r="AE1517" t="s">
        <v>473</v>
      </c>
    </row>
    <row r="1518" spans="1:31" x14ac:dyDescent="0.25">
      <c r="A1518">
        <v>1490</v>
      </c>
      <c r="B1518">
        <v>1962</v>
      </c>
      <c r="C1518" t="s">
        <v>466</v>
      </c>
      <c r="D1518" t="s">
        <v>34</v>
      </c>
      <c r="E1518" t="str">
        <f>IF(OR(Table1[[#This Row],[marital_status]]="Married", Table1[[#This Row],[marital_status]]="Together"), "Partnered", "Single")</f>
        <v>Partnered</v>
      </c>
      <c r="F1518" s="7">
        <v>55759</v>
      </c>
      <c r="G1518" s="8">
        <v>0</v>
      </c>
      <c r="H1518" s="8">
        <v>1</v>
      </c>
      <c r="I1518" s="8">
        <f>Table1[[#This Row],[kids]]+Table1[[#This Row],[teens]]</f>
        <v>1</v>
      </c>
      <c r="J1518" s="9">
        <v>41241</v>
      </c>
      <c r="K1518" s="8">
        <v>84</v>
      </c>
      <c r="L1518" s="6">
        <v>675</v>
      </c>
      <c r="M1518" s="5">
        <v>0</v>
      </c>
      <c r="N1518" s="5">
        <v>85</v>
      </c>
      <c r="O1518" s="5">
        <v>10</v>
      </c>
      <c r="P1518" s="5">
        <v>7</v>
      </c>
      <c r="Q1518" s="5">
        <v>77</v>
      </c>
      <c r="R1518" s="8">
        <v>5</v>
      </c>
      <c r="S1518" s="8">
        <v>10</v>
      </c>
      <c r="T1518" s="8">
        <v>3</v>
      </c>
      <c r="U1518" s="8">
        <v>8</v>
      </c>
      <c r="V1518" s="8">
        <v>8</v>
      </c>
      <c r="W1518" t="s">
        <v>473</v>
      </c>
      <c r="X1518" t="s">
        <v>473</v>
      </c>
      <c r="Y1518" t="s">
        <v>473</v>
      </c>
      <c r="Z1518" t="s">
        <v>473</v>
      </c>
      <c r="AA1518" t="s">
        <v>473</v>
      </c>
      <c r="AB1518" t="s">
        <v>473</v>
      </c>
      <c r="AC1518" s="10">
        <v>3</v>
      </c>
      <c r="AD1518" s="10">
        <v>11</v>
      </c>
      <c r="AE1518" t="s">
        <v>473</v>
      </c>
    </row>
    <row r="1519" spans="1:31" x14ac:dyDescent="0.25">
      <c r="A1519">
        <v>6310</v>
      </c>
      <c r="B1519">
        <v>1978</v>
      </c>
      <c r="C1519" t="s">
        <v>466</v>
      </c>
      <c r="D1519" t="s">
        <v>34</v>
      </c>
      <c r="E1519" t="str">
        <f>IF(OR(Table1[[#This Row],[marital_status]]="Married", Table1[[#This Row],[marital_status]]="Together"), "Partnered", "Single")</f>
        <v>Partnered</v>
      </c>
      <c r="F1519" s="7">
        <v>33039</v>
      </c>
      <c r="G1519" s="8">
        <v>1</v>
      </c>
      <c r="H1519" s="8">
        <v>0</v>
      </c>
      <c r="I1519" s="8">
        <f>Table1[[#This Row],[kids]]+Table1[[#This Row],[teens]]</f>
        <v>1</v>
      </c>
      <c r="J1519" s="9">
        <v>41526</v>
      </c>
      <c r="K1519" s="8">
        <v>4</v>
      </c>
      <c r="L1519" s="6">
        <v>30</v>
      </c>
      <c r="M1519" s="5">
        <v>8</v>
      </c>
      <c r="N1519" s="5">
        <v>12</v>
      </c>
      <c r="O1519" s="5">
        <v>8</v>
      </c>
      <c r="P1519" s="5">
        <v>8</v>
      </c>
      <c r="Q1519" s="5">
        <v>12</v>
      </c>
      <c r="R1519" s="8">
        <v>1</v>
      </c>
      <c r="S1519" s="8">
        <v>2</v>
      </c>
      <c r="T1519" s="8">
        <v>0</v>
      </c>
      <c r="U1519" s="8">
        <v>4</v>
      </c>
      <c r="V1519" s="8">
        <v>5</v>
      </c>
      <c r="W1519" t="s">
        <v>473</v>
      </c>
      <c r="X1519" t="s">
        <v>473</v>
      </c>
      <c r="Y1519" t="s">
        <v>473</v>
      </c>
      <c r="Z1519" t="s">
        <v>473</v>
      </c>
      <c r="AA1519" t="s">
        <v>473</v>
      </c>
      <c r="AB1519" t="s">
        <v>473</v>
      </c>
      <c r="AC1519" s="10">
        <v>3</v>
      </c>
      <c r="AD1519" s="10">
        <v>11</v>
      </c>
      <c r="AE1519" t="s">
        <v>473</v>
      </c>
    </row>
    <row r="1520" spans="1:31" x14ac:dyDescent="0.25">
      <c r="A1520">
        <v>10380</v>
      </c>
      <c r="B1520">
        <v>1972</v>
      </c>
      <c r="C1520" t="s">
        <v>36</v>
      </c>
      <c r="D1520" t="s">
        <v>34</v>
      </c>
      <c r="E1520" t="str">
        <f>IF(OR(Table1[[#This Row],[marital_status]]="Married", Table1[[#This Row],[marital_status]]="Together"), "Partnered", "Single")</f>
        <v>Partnered</v>
      </c>
      <c r="F1520" s="7">
        <v>37787</v>
      </c>
      <c r="G1520" s="8">
        <v>1</v>
      </c>
      <c r="H1520" s="8">
        <v>0</v>
      </c>
      <c r="I1520" s="8">
        <f>Table1[[#This Row],[kids]]+Table1[[#This Row],[teens]]</f>
        <v>1</v>
      </c>
      <c r="J1520" s="9">
        <v>41537</v>
      </c>
      <c r="K1520" s="8">
        <v>50</v>
      </c>
      <c r="L1520" s="6">
        <v>40</v>
      </c>
      <c r="M1520" s="5">
        <v>1</v>
      </c>
      <c r="N1520" s="5">
        <v>40</v>
      </c>
      <c r="O1520" s="5">
        <v>4</v>
      </c>
      <c r="P1520" s="5">
        <v>3</v>
      </c>
      <c r="Q1520" s="5">
        <v>18</v>
      </c>
      <c r="R1520" s="8">
        <v>1</v>
      </c>
      <c r="S1520" s="8">
        <v>3</v>
      </c>
      <c r="T1520" s="8">
        <v>0</v>
      </c>
      <c r="U1520" s="8">
        <v>3</v>
      </c>
      <c r="V1520" s="8">
        <v>8</v>
      </c>
      <c r="W1520" t="s">
        <v>473</v>
      </c>
      <c r="X1520" t="s">
        <v>473</v>
      </c>
      <c r="Y1520" t="s">
        <v>473</v>
      </c>
      <c r="Z1520" t="s">
        <v>473</v>
      </c>
      <c r="AA1520" t="s">
        <v>473</v>
      </c>
      <c r="AB1520" t="s">
        <v>473</v>
      </c>
      <c r="AC1520" s="10">
        <v>3</v>
      </c>
      <c r="AD1520" s="10">
        <v>11</v>
      </c>
      <c r="AE1520" t="s">
        <v>473</v>
      </c>
    </row>
    <row r="1521" spans="1:31" x14ac:dyDescent="0.25">
      <c r="A1521">
        <v>3887</v>
      </c>
      <c r="B1521">
        <v>1970</v>
      </c>
      <c r="C1521" t="s">
        <v>466</v>
      </c>
      <c r="D1521" t="s">
        <v>30</v>
      </c>
      <c r="E1521" t="str">
        <f>IF(OR(Table1[[#This Row],[marital_status]]="Married", Table1[[#This Row],[marital_status]]="Together"), "Partnered", "Single")</f>
        <v>Single</v>
      </c>
      <c r="F1521" s="7">
        <v>27242</v>
      </c>
      <c r="G1521" s="8">
        <v>1</v>
      </c>
      <c r="H1521" s="8">
        <v>0</v>
      </c>
      <c r="I1521" s="8">
        <f>Table1[[#This Row],[kids]]+Table1[[#This Row],[teens]]</f>
        <v>1</v>
      </c>
      <c r="J1521" s="9">
        <v>41224</v>
      </c>
      <c r="K1521" s="8">
        <v>2</v>
      </c>
      <c r="L1521" s="6">
        <v>3</v>
      </c>
      <c r="M1521" s="5">
        <v>17</v>
      </c>
      <c r="N1521" s="5">
        <v>26</v>
      </c>
      <c r="O1521" s="5">
        <v>20</v>
      </c>
      <c r="P1521" s="5">
        <v>1</v>
      </c>
      <c r="Q1521" s="5">
        <v>39</v>
      </c>
      <c r="R1521" s="8">
        <v>2</v>
      </c>
      <c r="S1521" s="8">
        <v>2</v>
      </c>
      <c r="T1521" s="8">
        <v>0</v>
      </c>
      <c r="U1521" s="8">
        <v>3</v>
      </c>
      <c r="V1521" s="8">
        <v>9</v>
      </c>
      <c r="W1521" t="s">
        <v>473</v>
      </c>
      <c r="X1521" t="s">
        <v>473</v>
      </c>
      <c r="Y1521" t="s">
        <v>473</v>
      </c>
      <c r="Z1521" t="s">
        <v>473</v>
      </c>
      <c r="AA1521" t="s">
        <v>473</v>
      </c>
      <c r="AB1521" t="s">
        <v>473</v>
      </c>
      <c r="AC1521" s="10">
        <v>3</v>
      </c>
      <c r="AD1521" s="10">
        <v>11</v>
      </c>
      <c r="AE1521" t="s">
        <v>474</v>
      </c>
    </row>
    <row r="1522" spans="1:31" x14ac:dyDescent="0.25">
      <c r="A1522">
        <v>4278</v>
      </c>
      <c r="B1522">
        <v>1983</v>
      </c>
      <c r="C1522" t="s">
        <v>33</v>
      </c>
      <c r="D1522" t="s">
        <v>30</v>
      </c>
      <c r="E1522" t="str">
        <f>IF(OR(Table1[[#This Row],[marital_status]]="Married", Table1[[#This Row],[marital_status]]="Together"), "Partnered", "Single")</f>
        <v>Single</v>
      </c>
      <c r="F1522" s="7">
        <v>87188</v>
      </c>
      <c r="G1522" s="8">
        <v>0</v>
      </c>
      <c r="H1522" s="8">
        <v>0</v>
      </c>
      <c r="I1522" s="8">
        <f>Table1[[#This Row],[kids]]+Table1[[#This Row],[teens]]</f>
        <v>0</v>
      </c>
      <c r="J1522" s="9">
        <v>41428</v>
      </c>
      <c r="K1522" s="8">
        <v>73</v>
      </c>
      <c r="L1522" s="6">
        <v>910</v>
      </c>
      <c r="M1522" s="5">
        <v>111</v>
      </c>
      <c r="N1522" s="5">
        <v>724</v>
      </c>
      <c r="O1522" s="5">
        <v>49</v>
      </c>
      <c r="P1522" s="5">
        <v>74</v>
      </c>
      <c r="Q1522" s="5">
        <v>55</v>
      </c>
      <c r="R1522" s="8">
        <v>1</v>
      </c>
      <c r="S1522" s="8">
        <v>10</v>
      </c>
      <c r="T1522" s="8">
        <v>2</v>
      </c>
      <c r="U1522" s="8">
        <v>6</v>
      </c>
      <c r="V1522" s="8">
        <v>3</v>
      </c>
      <c r="W1522" t="s">
        <v>473</v>
      </c>
      <c r="X1522" t="s">
        <v>473</v>
      </c>
      <c r="Y1522" t="s">
        <v>473</v>
      </c>
      <c r="Z1522" t="s">
        <v>473</v>
      </c>
      <c r="AA1522" t="s">
        <v>473</v>
      </c>
      <c r="AB1522" t="s">
        <v>473</v>
      </c>
      <c r="AC1522" s="10">
        <v>3</v>
      </c>
      <c r="AD1522" s="10">
        <v>11</v>
      </c>
      <c r="AE1522" t="s">
        <v>474</v>
      </c>
    </row>
    <row r="1523" spans="1:31" x14ac:dyDescent="0.25">
      <c r="A1523">
        <v>8643</v>
      </c>
      <c r="B1523">
        <v>1971</v>
      </c>
      <c r="C1523" t="s">
        <v>466</v>
      </c>
      <c r="D1523" t="s">
        <v>31</v>
      </c>
      <c r="E1523" t="str">
        <f>IF(OR(Table1[[#This Row],[marital_status]]="Married", Table1[[#This Row],[marital_status]]="Together"), "Partnered", "Single")</f>
        <v>Partnered</v>
      </c>
      <c r="F1523" s="7">
        <v>69930</v>
      </c>
      <c r="G1523" s="8">
        <v>0</v>
      </c>
      <c r="H1523" s="8">
        <v>0</v>
      </c>
      <c r="I1523" s="8">
        <f>Table1[[#This Row],[kids]]+Table1[[#This Row],[teens]]</f>
        <v>0</v>
      </c>
      <c r="J1523" s="9">
        <v>41420</v>
      </c>
      <c r="K1523" s="8">
        <v>21</v>
      </c>
      <c r="L1523" s="6">
        <v>252</v>
      </c>
      <c r="M1523" s="5">
        <v>98</v>
      </c>
      <c r="N1523" s="5">
        <v>827</v>
      </c>
      <c r="O1523" s="5">
        <v>219</v>
      </c>
      <c r="P1523" s="5">
        <v>70</v>
      </c>
      <c r="Q1523" s="5">
        <v>196</v>
      </c>
      <c r="R1523" s="8">
        <v>1</v>
      </c>
      <c r="S1523" s="8">
        <v>4</v>
      </c>
      <c r="T1523" s="8">
        <v>5</v>
      </c>
      <c r="U1523" s="8">
        <v>12</v>
      </c>
      <c r="V1523" s="8">
        <v>3</v>
      </c>
      <c r="W1523" t="s">
        <v>473</v>
      </c>
      <c r="X1523" t="s">
        <v>473</v>
      </c>
      <c r="Y1523" t="s">
        <v>473</v>
      </c>
      <c r="Z1523" t="s">
        <v>473</v>
      </c>
      <c r="AA1523" t="s">
        <v>473</v>
      </c>
      <c r="AB1523" t="s">
        <v>473</v>
      </c>
      <c r="AC1523" s="10">
        <v>3</v>
      </c>
      <c r="AD1523" s="10">
        <v>11</v>
      </c>
      <c r="AE1523" t="s">
        <v>473</v>
      </c>
    </row>
    <row r="1524" spans="1:31" x14ac:dyDescent="0.25">
      <c r="A1524">
        <v>1998</v>
      </c>
      <c r="B1524">
        <v>1976</v>
      </c>
      <c r="C1524" t="s">
        <v>466</v>
      </c>
      <c r="D1524" t="s">
        <v>30</v>
      </c>
      <c r="E1524" t="str">
        <f>IF(OR(Table1[[#This Row],[marital_status]]="Married", Table1[[#This Row],[marital_status]]="Together"), "Partnered", "Single")</f>
        <v>Single</v>
      </c>
      <c r="F1524" s="7">
        <v>37697</v>
      </c>
      <c r="G1524" s="8">
        <v>1</v>
      </c>
      <c r="H1524" s="8">
        <v>0</v>
      </c>
      <c r="I1524" s="8">
        <f>Table1[[#This Row],[kids]]+Table1[[#This Row],[teens]]</f>
        <v>1</v>
      </c>
      <c r="J1524" s="9">
        <v>41677</v>
      </c>
      <c r="K1524" s="8">
        <v>82</v>
      </c>
      <c r="L1524" s="6">
        <v>34</v>
      </c>
      <c r="M1524" s="5">
        <v>6</v>
      </c>
      <c r="N1524" s="5">
        <v>21</v>
      </c>
      <c r="O1524" s="5">
        <v>11</v>
      </c>
      <c r="P1524" s="5">
        <v>4</v>
      </c>
      <c r="Q1524" s="5">
        <v>8</v>
      </c>
      <c r="R1524" s="8">
        <v>1</v>
      </c>
      <c r="S1524" s="8">
        <v>2</v>
      </c>
      <c r="T1524" s="8">
        <v>1</v>
      </c>
      <c r="U1524" s="8">
        <v>3</v>
      </c>
      <c r="V1524" s="8">
        <v>6</v>
      </c>
      <c r="W1524" t="s">
        <v>473</v>
      </c>
      <c r="X1524" t="s">
        <v>473</v>
      </c>
      <c r="Y1524" t="s">
        <v>473</v>
      </c>
      <c r="Z1524" t="s">
        <v>473</v>
      </c>
      <c r="AA1524" t="s">
        <v>473</v>
      </c>
      <c r="AB1524" t="s">
        <v>473</v>
      </c>
      <c r="AC1524" s="10">
        <v>3</v>
      </c>
      <c r="AD1524" s="10">
        <v>11</v>
      </c>
      <c r="AE1524" t="s">
        <v>473</v>
      </c>
    </row>
    <row r="1525" spans="1:31" x14ac:dyDescent="0.25">
      <c r="A1525">
        <v>10795</v>
      </c>
      <c r="B1525">
        <v>1973</v>
      </c>
      <c r="C1525" t="s">
        <v>33</v>
      </c>
      <c r="D1525" t="s">
        <v>34</v>
      </c>
      <c r="E1525" t="str">
        <f>IF(OR(Table1[[#This Row],[marital_status]]="Married", Table1[[#This Row],[marital_status]]="Together"), "Partnered", "Single")</f>
        <v>Partnered</v>
      </c>
      <c r="F1525" s="7">
        <v>37401</v>
      </c>
      <c r="G1525" s="8">
        <v>1</v>
      </c>
      <c r="H1525" s="8">
        <v>0</v>
      </c>
      <c r="I1525" s="8">
        <f>Table1[[#This Row],[kids]]+Table1[[#This Row],[teens]]</f>
        <v>1</v>
      </c>
      <c r="J1525" s="9">
        <v>41765</v>
      </c>
      <c r="K1525" s="8">
        <v>14</v>
      </c>
      <c r="L1525" s="6">
        <v>19</v>
      </c>
      <c r="M1525" s="5">
        <v>3</v>
      </c>
      <c r="N1525" s="5">
        <v>19</v>
      </c>
      <c r="O1525" s="5">
        <v>3</v>
      </c>
      <c r="P1525" s="5">
        <v>1</v>
      </c>
      <c r="Q1525" s="5">
        <v>3</v>
      </c>
      <c r="R1525" s="8">
        <v>2</v>
      </c>
      <c r="S1525" s="8">
        <v>2</v>
      </c>
      <c r="T1525" s="8">
        <v>0</v>
      </c>
      <c r="U1525" s="8">
        <v>3</v>
      </c>
      <c r="V1525" s="8">
        <v>7</v>
      </c>
      <c r="W1525" t="s">
        <v>473</v>
      </c>
      <c r="X1525" t="s">
        <v>473</v>
      </c>
      <c r="Y1525" t="s">
        <v>473</v>
      </c>
      <c r="Z1525" t="s">
        <v>473</v>
      </c>
      <c r="AA1525" t="s">
        <v>473</v>
      </c>
      <c r="AB1525" t="s">
        <v>473</v>
      </c>
      <c r="AC1525" s="10">
        <v>3</v>
      </c>
      <c r="AD1525" s="10">
        <v>11</v>
      </c>
      <c r="AE1525" t="s">
        <v>473</v>
      </c>
    </row>
    <row r="1526" spans="1:31" x14ac:dyDescent="0.25">
      <c r="A1526">
        <v>11110</v>
      </c>
      <c r="B1526">
        <v>1973</v>
      </c>
      <c r="C1526" t="s">
        <v>466</v>
      </c>
      <c r="D1526" t="s">
        <v>30</v>
      </c>
      <c r="E1526" t="str">
        <f>IF(OR(Table1[[#This Row],[marital_status]]="Married", Table1[[#This Row],[marital_status]]="Together"), "Partnered", "Single")</f>
        <v>Single</v>
      </c>
      <c r="F1526" s="7">
        <v>3502</v>
      </c>
      <c r="G1526" s="8">
        <v>1</v>
      </c>
      <c r="H1526" s="8">
        <v>0</v>
      </c>
      <c r="I1526" s="8">
        <f>Table1[[#This Row],[kids]]+Table1[[#This Row],[teens]]</f>
        <v>1</v>
      </c>
      <c r="J1526" s="9">
        <v>41377</v>
      </c>
      <c r="K1526" s="8">
        <v>56</v>
      </c>
      <c r="L1526" s="6">
        <v>2</v>
      </c>
      <c r="M1526" s="5">
        <v>1</v>
      </c>
      <c r="N1526" s="5">
        <v>1</v>
      </c>
      <c r="O1526" s="5">
        <v>0</v>
      </c>
      <c r="P1526" s="5">
        <v>0</v>
      </c>
      <c r="Q1526" s="5">
        <v>1</v>
      </c>
      <c r="R1526" s="8">
        <v>0</v>
      </c>
      <c r="S1526" s="8">
        <v>0</v>
      </c>
      <c r="T1526" s="8">
        <v>0</v>
      </c>
      <c r="U1526" s="8">
        <v>0</v>
      </c>
      <c r="V1526" s="8">
        <v>14</v>
      </c>
      <c r="W1526" t="s">
        <v>473</v>
      </c>
      <c r="X1526" t="s">
        <v>473</v>
      </c>
      <c r="Y1526" t="s">
        <v>473</v>
      </c>
      <c r="Z1526" t="s">
        <v>473</v>
      </c>
      <c r="AA1526" t="s">
        <v>473</v>
      </c>
      <c r="AB1526" t="s">
        <v>473</v>
      </c>
      <c r="AC1526" s="10">
        <v>3</v>
      </c>
      <c r="AD1526" s="10">
        <v>11</v>
      </c>
      <c r="AE1526" t="s">
        <v>473</v>
      </c>
    </row>
    <row r="1527" spans="1:31" x14ac:dyDescent="0.25">
      <c r="A1527">
        <v>2408</v>
      </c>
      <c r="B1527">
        <v>1976</v>
      </c>
      <c r="C1527" t="s">
        <v>466</v>
      </c>
      <c r="D1527" t="s">
        <v>34</v>
      </c>
      <c r="E1527" t="str">
        <f>IF(OR(Table1[[#This Row],[marital_status]]="Married", Table1[[#This Row],[marital_status]]="Together"), "Partnered", "Single")</f>
        <v>Partnered</v>
      </c>
      <c r="F1527" s="7">
        <v>58597</v>
      </c>
      <c r="G1527" s="8">
        <v>1</v>
      </c>
      <c r="H1527" s="8">
        <v>1</v>
      </c>
      <c r="I1527" s="8">
        <f>Table1[[#This Row],[kids]]+Table1[[#This Row],[teens]]</f>
        <v>2</v>
      </c>
      <c r="J1527" s="9">
        <v>41233</v>
      </c>
      <c r="K1527" s="8">
        <v>20</v>
      </c>
      <c r="L1527" s="6">
        <v>490</v>
      </c>
      <c r="M1527" s="5">
        <v>0</v>
      </c>
      <c r="N1527" s="5">
        <v>184</v>
      </c>
      <c r="O1527" s="5">
        <v>10</v>
      </c>
      <c r="P1527" s="5">
        <v>28</v>
      </c>
      <c r="Q1527" s="5">
        <v>21</v>
      </c>
      <c r="R1527" s="8">
        <v>12</v>
      </c>
      <c r="S1527" s="8">
        <v>7</v>
      </c>
      <c r="T1527" s="8">
        <v>4</v>
      </c>
      <c r="U1527" s="8">
        <v>9</v>
      </c>
      <c r="V1527" s="8">
        <v>7</v>
      </c>
      <c r="W1527" t="s">
        <v>473</v>
      </c>
      <c r="X1527" t="s">
        <v>473</v>
      </c>
      <c r="Y1527" t="s">
        <v>473</v>
      </c>
      <c r="Z1527" t="s">
        <v>473</v>
      </c>
      <c r="AA1527" t="s">
        <v>473</v>
      </c>
      <c r="AB1527" t="s">
        <v>473</v>
      </c>
      <c r="AC1527" s="10">
        <v>3</v>
      </c>
      <c r="AD1527" s="10">
        <v>11</v>
      </c>
      <c r="AE1527" t="s">
        <v>473</v>
      </c>
    </row>
    <row r="1528" spans="1:31" x14ac:dyDescent="0.25">
      <c r="A1528">
        <v>202</v>
      </c>
      <c r="B1528">
        <v>1948</v>
      </c>
      <c r="C1528" t="s">
        <v>33</v>
      </c>
      <c r="D1528" t="s">
        <v>57</v>
      </c>
      <c r="E1528" t="str">
        <f>IF(OR(Table1[[#This Row],[marital_status]]="Married", Table1[[#This Row],[marital_status]]="Together"), "Partnered", "Single")</f>
        <v>Single</v>
      </c>
      <c r="F1528" s="7">
        <v>82032</v>
      </c>
      <c r="G1528" s="8">
        <v>0</v>
      </c>
      <c r="H1528" s="8">
        <v>0</v>
      </c>
      <c r="I1528" s="8">
        <f>Table1[[#This Row],[kids]]+Table1[[#This Row],[teens]]</f>
        <v>0</v>
      </c>
      <c r="J1528" s="9">
        <v>41734</v>
      </c>
      <c r="K1528" s="8">
        <v>54</v>
      </c>
      <c r="L1528" s="6">
        <v>332</v>
      </c>
      <c r="M1528" s="5">
        <v>194</v>
      </c>
      <c r="N1528" s="5">
        <v>377</v>
      </c>
      <c r="O1528" s="5">
        <v>149</v>
      </c>
      <c r="P1528" s="5">
        <v>125</v>
      </c>
      <c r="Q1528" s="5">
        <v>57</v>
      </c>
      <c r="R1528" s="8">
        <v>0</v>
      </c>
      <c r="S1528" s="8">
        <v>4</v>
      </c>
      <c r="T1528" s="8">
        <v>6</v>
      </c>
      <c r="U1528" s="8">
        <v>7</v>
      </c>
      <c r="V1528" s="8">
        <v>1</v>
      </c>
      <c r="W1528" t="s">
        <v>473</v>
      </c>
      <c r="X1528" t="s">
        <v>473</v>
      </c>
      <c r="Y1528" t="s">
        <v>473</v>
      </c>
      <c r="Z1528" t="s">
        <v>473</v>
      </c>
      <c r="AA1528" t="s">
        <v>473</v>
      </c>
      <c r="AB1528" t="s">
        <v>473</v>
      </c>
      <c r="AC1528" s="10">
        <v>3</v>
      </c>
      <c r="AD1528" s="10">
        <v>11</v>
      </c>
      <c r="AE1528" t="s">
        <v>473</v>
      </c>
    </row>
    <row r="1529" spans="1:31" x14ac:dyDescent="0.25">
      <c r="A1529">
        <v>7998</v>
      </c>
      <c r="B1529">
        <v>1958</v>
      </c>
      <c r="C1529" t="s">
        <v>466</v>
      </c>
      <c r="D1529" t="s">
        <v>31</v>
      </c>
      <c r="E1529" t="str">
        <f>IF(OR(Table1[[#This Row],[marital_status]]="Married", Table1[[#This Row],[marital_status]]="Together"), "Partnered", "Single")</f>
        <v>Partnered</v>
      </c>
      <c r="F1529" s="7">
        <v>28087</v>
      </c>
      <c r="G1529" s="8">
        <v>1</v>
      </c>
      <c r="H1529" s="8">
        <v>1</v>
      </c>
      <c r="I1529" s="8">
        <f>Table1[[#This Row],[kids]]+Table1[[#This Row],[teens]]</f>
        <v>2</v>
      </c>
      <c r="J1529" s="9">
        <v>41254</v>
      </c>
      <c r="K1529" s="8">
        <v>77</v>
      </c>
      <c r="L1529" s="6">
        <v>53</v>
      </c>
      <c r="M1529" s="5">
        <v>8</v>
      </c>
      <c r="N1529" s="5">
        <v>17</v>
      </c>
      <c r="O1529" s="5">
        <v>13</v>
      </c>
      <c r="P1529" s="5">
        <v>0</v>
      </c>
      <c r="Q1529" s="5">
        <v>21</v>
      </c>
      <c r="R1529" s="8">
        <v>3</v>
      </c>
      <c r="S1529" s="8">
        <v>2</v>
      </c>
      <c r="T1529" s="8">
        <v>2</v>
      </c>
      <c r="U1529" s="8">
        <v>2</v>
      </c>
      <c r="V1529" s="8">
        <v>7</v>
      </c>
      <c r="W1529" t="s">
        <v>473</v>
      </c>
      <c r="X1529" t="s">
        <v>473</v>
      </c>
      <c r="Y1529" t="s">
        <v>473</v>
      </c>
      <c r="Z1529" t="s">
        <v>473</v>
      </c>
      <c r="AA1529" t="s">
        <v>473</v>
      </c>
      <c r="AB1529" t="s">
        <v>473</v>
      </c>
      <c r="AC1529" s="10">
        <v>3</v>
      </c>
      <c r="AD1529" s="10">
        <v>11</v>
      </c>
      <c r="AE1529" t="s">
        <v>473</v>
      </c>
    </row>
    <row r="1530" spans="1:31" x14ac:dyDescent="0.25">
      <c r="A1530">
        <v>830</v>
      </c>
      <c r="B1530">
        <v>1987</v>
      </c>
      <c r="C1530" t="s">
        <v>33</v>
      </c>
      <c r="D1530" t="s">
        <v>30</v>
      </c>
      <c r="E1530" t="str">
        <f>IF(OR(Table1[[#This Row],[marital_status]]="Married", Table1[[#This Row],[marital_status]]="Together"), "Partnered", "Single")</f>
        <v>Single</v>
      </c>
      <c r="F1530" s="7">
        <v>74004</v>
      </c>
      <c r="G1530" s="8">
        <v>0</v>
      </c>
      <c r="H1530" s="8">
        <v>0</v>
      </c>
      <c r="I1530" s="8">
        <f>Table1[[#This Row],[kids]]+Table1[[#This Row],[teens]]</f>
        <v>0</v>
      </c>
      <c r="J1530" s="9">
        <v>41694</v>
      </c>
      <c r="K1530" s="8">
        <v>5</v>
      </c>
      <c r="L1530" s="6">
        <v>784</v>
      </c>
      <c r="M1530" s="5">
        <v>48</v>
      </c>
      <c r="N1530" s="5">
        <v>560</v>
      </c>
      <c r="O1530" s="5">
        <v>42</v>
      </c>
      <c r="P1530" s="5">
        <v>176</v>
      </c>
      <c r="Q1530" s="5">
        <v>48</v>
      </c>
      <c r="R1530" s="8">
        <v>1</v>
      </c>
      <c r="S1530" s="8">
        <v>4</v>
      </c>
      <c r="T1530" s="8">
        <v>6</v>
      </c>
      <c r="U1530" s="8">
        <v>4</v>
      </c>
      <c r="V1530" s="8">
        <v>3</v>
      </c>
      <c r="W1530" t="s">
        <v>473</v>
      </c>
      <c r="X1530" t="s">
        <v>473</v>
      </c>
      <c r="Y1530" t="s">
        <v>474</v>
      </c>
      <c r="Z1530" t="s">
        <v>474</v>
      </c>
      <c r="AA1530" t="s">
        <v>473</v>
      </c>
      <c r="AB1530" t="s">
        <v>473</v>
      </c>
      <c r="AC1530" s="10">
        <v>3</v>
      </c>
      <c r="AD1530" s="10">
        <v>11</v>
      </c>
      <c r="AE1530" t="s">
        <v>474</v>
      </c>
    </row>
    <row r="1531" spans="1:31" x14ac:dyDescent="0.25">
      <c r="A1531">
        <v>3536</v>
      </c>
      <c r="B1531">
        <v>1960</v>
      </c>
      <c r="C1531" t="s">
        <v>466</v>
      </c>
      <c r="D1531" t="s">
        <v>31</v>
      </c>
      <c r="E1531" t="str">
        <f>IF(OR(Table1[[#This Row],[marital_status]]="Married", Table1[[#This Row],[marital_status]]="Together"), "Partnered", "Single")</f>
        <v>Partnered</v>
      </c>
      <c r="F1531" s="7">
        <v>19740</v>
      </c>
      <c r="G1531" s="8">
        <v>0</v>
      </c>
      <c r="H1531" s="8">
        <v>1</v>
      </c>
      <c r="I1531" s="8">
        <f>Table1[[#This Row],[kids]]+Table1[[#This Row],[teens]]</f>
        <v>1</v>
      </c>
      <c r="J1531" s="9">
        <v>41357</v>
      </c>
      <c r="K1531" s="8">
        <v>65</v>
      </c>
      <c r="L1531" s="6">
        <v>7</v>
      </c>
      <c r="M1531" s="5">
        <v>11</v>
      </c>
      <c r="N1531" s="5">
        <v>3</v>
      </c>
      <c r="O1531" s="5">
        <v>10</v>
      </c>
      <c r="P1531" s="5">
        <v>4</v>
      </c>
      <c r="Q1531" s="5">
        <v>20</v>
      </c>
      <c r="R1531" s="8">
        <v>2</v>
      </c>
      <c r="S1531" s="8">
        <v>1</v>
      </c>
      <c r="T1531" s="8">
        <v>1</v>
      </c>
      <c r="U1531" s="8">
        <v>3</v>
      </c>
      <c r="V1531" s="8">
        <v>5</v>
      </c>
      <c r="W1531" t="s">
        <v>473</v>
      </c>
      <c r="X1531" t="s">
        <v>473</v>
      </c>
      <c r="Y1531" t="s">
        <v>473</v>
      </c>
      <c r="Z1531" t="s">
        <v>473</v>
      </c>
      <c r="AA1531" t="s">
        <v>473</v>
      </c>
      <c r="AB1531" t="s">
        <v>473</v>
      </c>
      <c r="AC1531" s="10">
        <v>3</v>
      </c>
      <c r="AD1531" s="10">
        <v>11</v>
      </c>
      <c r="AE1531" t="s">
        <v>473</v>
      </c>
    </row>
    <row r="1532" spans="1:31" x14ac:dyDescent="0.25">
      <c r="A1532">
        <v>6050</v>
      </c>
      <c r="B1532">
        <v>1975</v>
      </c>
      <c r="C1532" t="s">
        <v>46</v>
      </c>
      <c r="D1532" t="s">
        <v>34</v>
      </c>
      <c r="E1532" t="str">
        <f>IF(OR(Table1[[#This Row],[marital_status]]="Married", Table1[[#This Row],[marital_status]]="Together"), "Partnered", "Single")</f>
        <v>Partnered</v>
      </c>
      <c r="F1532" s="7">
        <v>57036</v>
      </c>
      <c r="G1532" s="8">
        <v>0</v>
      </c>
      <c r="H1532" s="8">
        <v>1</v>
      </c>
      <c r="I1532" s="8">
        <f>Table1[[#This Row],[kids]]+Table1[[#This Row],[teens]]</f>
        <v>1</v>
      </c>
      <c r="J1532" s="9">
        <v>41254</v>
      </c>
      <c r="K1532" s="8">
        <v>33</v>
      </c>
      <c r="L1532" s="6">
        <v>1171</v>
      </c>
      <c r="M1532" s="5">
        <v>43</v>
      </c>
      <c r="N1532" s="5">
        <v>219</v>
      </c>
      <c r="O1532" s="5">
        <v>19</v>
      </c>
      <c r="P1532" s="5">
        <v>14</v>
      </c>
      <c r="Q1532" s="5">
        <v>47</v>
      </c>
      <c r="R1532" s="8">
        <v>4</v>
      </c>
      <c r="S1532" s="8">
        <v>6</v>
      </c>
      <c r="T1532" s="8">
        <v>3</v>
      </c>
      <c r="U1532" s="8">
        <v>13</v>
      </c>
      <c r="V1532" s="8">
        <v>9</v>
      </c>
      <c r="W1532" t="s">
        <v>474</v>
      </c>
      <c r="X1532" t="s">
        <v>473</v>
      </c>
      <c r="Y1532" t="s">
        <v>473</v>
      </c>
      <c r="Z1532" t="s">
        <v>473</v>
      </c>
      <c r="AA1532" t="s">
        <v>473</v>
      </c>
      <c r="AB1532" t="s">
        <v>473</v>
      </c>
      <c r="AC1532" s="10">
        <v>3</v>
      </c>
      <c r="AD1532" s="10">
        <v>11</v>
      </c>
      <c r="AE1532" t="s">
        <v>473</v>
      </c>
    </row>
    <row r="1533" spans="1:31" x14ac:dyDescent="0.25">
      <c r="A1533">
        <v>125</v>
      </c>
      <c r="B1533">
        <v>1958</v>
      </c>
      <c r="C1533" t="s">
        <v>46</v>
      </c>
      <c r="D1533" t="s">
        <v>31</v>
      </c>
      <c r="E1533" t="str">
        <f>IF(OR(Table1[[#This Row],[marital_status]]="Married", Table1[[#This Row],[marital_status]]="Together"), "Partnered", "Single")</f>
        <v>Partnered</v>
      </c>
      <c r="F1533" s="7">
        <v>53083</v>
      </c>
      <c r="G1533" s="8">
        <v>1</v>
      </c>
      <c r="H1533" s="8">
        <v>1</v>
      </c>
      <c r="I1533" s="8">
        <f>Table1[[#This Row],[kids]]+Table1[[#This Row],[teens]]</f>
        <v>2</v>
      </c>
      <c r="J1533" s="9">
        <v>41409</v>
      </c>
      <c r="K1533" s="8">
        <v>65</v>
      </c>
      <c r="L1533" s="6">
        <v>215</v>
      </c>
      <c r="M1533" s="5">
        <v>7</v>
      </c>
      <c r="N1533" s="5">
        <v>33</v>
      </c>
      <c r="O1533" s="5">
        <v>3</v>
      </c>
      <c r="P1533" s="5">
        <v>0</v>
      </c>
      <c r="Q1533" s="5">
        <v>13</v>
      </c>
      <c r="R1533" s="8">
        <v>6</v>
      </c>
      <c r="S1533" s="8">
        <v>5</v>
      </c>
      <c r="T1533" s="8">
        <v>1</v>
      </c>
      <c r="U1533" s="8">
        <v>5</v>
      </c>
      <c r="V1533" s="8">
        <v>7</v>
      </c>
      <c r="W1533" t="s">
        <v>473</v>
      </c>
      <c r="X1533" t="s">
        <v>474</v>
      </c>
      <c r="Y1533" t="s">
        <v>473</v>
      </c>
      <c r="Z1533" t="s">
        <v>473</v>
      </c>
      <c r="AA1533" t="s">
        <v>473</v>
      </c>
      <c r="AB1533" t="s">
        <v>473</v>
      </c>
      <c r="AC1533" s="10">
        <v>3</v>
      </c>
      <c r="AD1533" s="10">
        <v>11</v>
      </c>
      <c r="AE1533" t="s">
        <v>473</v>
      </c>
    </row>
    <row r="1534" spans="1:31" x14ac:dyDescent="0.25">
      <c r="A1534">
        <v>3463</v>
      </c>
      <c r="B1534">
        <v>1975</v>
      </c>
      <c r="C1534" t="s">
        <v>33</v>
      </c>
      <c r="D1534" t="s">
        <v>34</v>
      </c>
      <c r="E1534" t="str">
        <f>IF(OR(Table1[[#This Row],[marital_status]]="Married", Table1[[#This Row],[marital_status]]="Together"), "Partnered", "Single")</f>
        <v>Partnered</v>
      </c>
      <c r="F1534" s="7">
        <v>69283</v>
      </c>
      <c r="G1534" s="8">
        <v>0</v>
      </c>
      <c r="H1534" s="8">
        <v>1</v>
      </c>
      <c r="I1534" s="8">
        <f>Table1[[#This Row],[kids]]+Table1[[#This Row],[teens]]</f>
        <v>1</v>
      </c>
      <c r="J1534" s="9">
        <v>41804</v>
      </c>
      <c r="K1534" s="8">
        <v>41</v>
      </c>
      <c r="L1534" s="6">
        <v>674</v>
      </c>
      <c r="M1534" s="5">
        <v>62</v>
      </c>
      <c r="N1534" s="5">
        <v>134</v>
      </c>
      <c r="O1534" s="5">
        <v>0</v>
      </c>
      <c r="P1534" s="5">
        <v>26</v>
      </c>
      <c r="Q1534" s="5">
        <v>8</v>
      </c>
      <c r="R1534" s="8">
        <v>4</v>
      </c>
      <c r="S1534" s="8">
        <v>7</v>
      </c>
      <c r="T1534" s="8">
        <v>3</v>
      </c>
      <c r="U1534" s="8">
        <v>13</v>
      </c>
      <c r="V1534" s="8">
        <v>5</v>
      </c>
      <c r="W1534" t="s">
        <v>473</v>
      </c>
      <c r="X1534" t="s">
        <v>473</v>
      </c>
      <c r="Y1534" t="s">
        <v>473</v>
      </c>
      <c r="Z1534" t="s">
        <v>473</v>
      </c>
      <c r="AA1534" t="s">
        <v>473</v>
      </c>
      <c r="AB1534" t="s">
        <v>473</v>
      </c>
      <c r="AC1534" s="10">
        <v>3</v>
      </c>
      <c r="AD1534" s="10">
        <v>11</v>
      </c>
      <c r="AE1534" t="s">
        <v>473</v>
      </c>
    </row>
    <row r="1535" spans="1:31" x14ac:dyDescent="0.25">
      <c r="A1535">
        <v>2804</v>
      </c>
      <c r="B1535">
        <v>1975</v>
      </c>
      <c r="C1535" t="s">
        <v>36</v>
      </c>
      <c r="D1535" t="s">
        <v>30</v>
      </c>
      <c r="E1535" t="str">
        <f>IF(OR(Table1[[#This Row],[marital_status]]="Married", Table1[[#This Row],[marital_status]]="Together"), "Partnered", "Single")</f>
        <v>Single</v>
      </c>
      <c r="F1535" s="7">
        <v>46098</v>
      </c>
      <c r="G1535" s="8">
        <v>1</v>
      </c>
      <c r="H1535" s="8">
        <v>1</v>
      </c>
      <c r="I1535" s="8">
        <f>Table1[[#This Row],[kids]]+Table1[[#This Row],[teens]]</f>
        <v>2</v>
      </c>
      <c r="J1535" s="9">
        <v>41139</v>
      </c>
      <c r="K1535" s="8">
        <v>86</v>
      </c>
      <c r="L1535" s="6">
        <v>57</v>
      </c>
      <c r="M1535" s="5">
        <v>0</v>
      </c>
      <c r="N1535" s="5">
        <v>27</v>
      </c>
      <c r="O1535" s="5">
        <v>0</v>
      </c>
      <c r="P1535" s="5">
        <v>0</v>
      </c>
      <c r="Q1535" s="5">
        <v>36</v>
      </c>
      <c r="R1535" s="8">
        <v>4</v>
      </c>
      <c r="S1535" s="8">
        <v>3</v>
      </c>
      <c r="T1535" s="8">
        <v>2</v>
      </c>
      <c r="U1535" s="8">
        <v>2</v>
      </c>
      <c r="V1535" s="8">
        <v>8</v>
      </c>
      <c r="W1535" t="s">
        <v>473</v>
      </c>
      <c r="X1535" t="s">
        <v>473</v>
      </c>
      <c r="Y1535" t="s">
        <v>473</v>
      </c>
      <c r="Z1535" t="s">
        <v>473</v>
      </c>
      <c r="AA1535" t="s">
        <v>473</v>
      </c>
      <c r="AB1535" t="s">
        <v>473</v>
      </c>
      <c r="AC1535" s="10">
        <v>3</v>
      </c>
      <c r="AD1535" s="10">
        <v>11</v>
      </c>
      <c r="AE1535" t="s">
        <v>474</v>
      </c>
    </row>
    <row r="1536" spans="1:31" x14ac:dyDescent="0.25">
      <c r="A1536">
        <v>3745</v>
      </c>
      <c r="B1536">
        <v>1988</v>
      </c>
      <c r="C1536" t="s">
        <v>46</v>
      </c>
      <c r="D1536" t="s">
        <v>34</v>
      </c>
      <c r="E1536" t="str">
        <f>IF(OR(Table1[[#This Row],[marital_status]]="Married", Table1[[#This Row],[marital_status]]="Together"), "Partnered", "Single")</f>
        <v>Partnered</v>
      </c>
      <c r="F1536" s="7">
        <v>23331</v>
      </c>
      <c r="G1536" s="8">
        <v>1</v>
      </c>
      <c r="H1536" s="8">
        <v>0</v>
      </c>
      <c r="I1536" s="8">
        <f>Table1[[#This Row],[kids]]+Table1[[#This Row],[teens]]</f>
        <v>1</v>
      </c>
      <c r="J1536" s="9">
        <v>41156</v>
      </c>
      <c r="K1536" s="8">
        <v>92</v>
      </c>
      <c r="L1536" s="6">
        <v>5</v>
      </c>
      <c r="M1536" s="5">
        <v>36</v>
      </c>
      <c r="N1536" s="5">
        <v>7</v>
      </c>
      <c r="O1536" s="5">
        <v>0</v>
      </c>
      <c r="P1536" s="5">
        <v>10</v>
      </c>
      <c r="Q1536" s="5">
        <v>45</v>
      </c>
      <c r="R1536" s="8">
        <v>2</v>
      </c>
      <c r="S1536" s="8">
        <v>3</v>
      </c>
      <c r="T1536" s="8">
        <v>0</v>
      </c>
      <c r="U1536" s="8">
        <v>3</v>
      </c>
      <c r="V1536" s="8">
        <v>8</v>
      </c>
      <c r="W1536" t="s">
        <v>473</v>
      </c>
      <c r="X1536" t="s">
        <v>473</v>
      </c>
      <c r="Y1536" t="s">
        <v>473</v>
      </c>
      <c r="Z1536" t="s">
        <v>473</v>
      </c>
      <c r="AA1536" t="s">
        <v>473</v>
      </c>
      <c r="AB1536" t="s">
        <v>473</v>
      </c>
      <c r="AC1536" s="10">
        <v>3</v>
      </c>
      <c r="AD1536" s="10">
        <v>11</v>
      </c>
      <c r="AE1536" t="s">
        <v>473</v>
      </c>
    </row>
    <row r="1537" spans="1:31" x14ac:dyDescent="0.25">
      <c r="A1537">
        <v>9771</v>
      </c>
      <c r="B1537">
        <v>1988</v>
      </c>
      <c r="C1537" t="s">
        <v>46</v>
      </c>
      <c r="D1537" t="s">
        <v>30</v>
      </c>
      <c r="E1537" t="str">
        <f>IF(OR(Table1[[#This Row],[marital_status]]="Married", Table1[[#This Row],[marital_status]]="Together"), "Partnered", "Single")</f>
        <v>Single</v>
      </c>
      <c r="F1537" s="7">
        <v>23331</v>
      </c>
      <c r="G1537" s="8">
        <v>1</v>
      </c>
      <c r="H1537" s="8">
        <v>0</v>
      </c>
      <c r="I1537" s="8">
        <f>Table1[[#This Row],[kids]]+Table1[[#This Row],[teens]]</f>
        <v>1</v>
      </c>
      <c r="J1537" s="9">
        <v>41187</v>
      </c>
      <c r="K1537" s="8">
        <v>97</v>
      </c>
      <c r="L1537" s="6">
        <v>104</v>
      </c>
      <c r="M1537" s="5">
        <v>20</v>
      </c>
      <c r="N1537" s="5">
        <v>101</v>
      </c>
      <c r="O1537" s="5">
        <v>24</v>
      </c>
      <c r="P1537" s="5">
        <v>15</v>
      </c>
      <c r="Q1537" s="5">
        <v>5</v>
      </c>
      <c r="R1537" s="8">
        <v>6</v>
      </c>
      <c r="S1537" s="8">
        <v>5</v>
      </c>
      <c r="T1537" s="8">
        <v>1</v>
      </c>
      <c r="U1537" s="8">
        <v>5</v>
      </c>
      <c r="V1537" s="8">
        <v>9</v>
      </c>
      <c r="W1537" t="s">
        <v>473</v>
      </c>
      <c r="X1537" t="s">
        <v>473</v>
      </c>
      <c r="Y1537" t="s">
        <v>473</v>
      </c>
      <c r="Z1537" t="s">
        <v>473</v>
      </c>
      <c r="AA1537" t="s">
        <v>473</v>
      </c>
      <c r="AB1537" t="s">
        <v>473</v>
      </c>
      <c r="AC1537" s="10">
        <v>3</v>
      </c>
      <c r="AD1537" s="10">
        <v>11</v>
      </c>
      <c r="AE1537" t="s">
        <v>473</v>
      </c>
    </row>
    <row r="1538" spans="1:31" x14ac:dyDescent="0.25">
      <c r="A1538">
        <v>451</v>
      </c>
      <c r="B1538">
        <v>1989</v>
      </c>
      <c r="C1538" t="s">
        <v>466</v>
      </c>
      <c r="D1538" t="s">
        <v>30</v>
      </c>
      <c r="E1538" t="str">
        <f>IF(OR(Table1[[#This Row],[marital_status]]="Married", Table1[[#This Row],[marital_status]]="Together"), "Partnered", "Single")</f>
        <v>Single</v>
      </c>
      <c r="F1538" s="7">
        <v>9255</v>
      </c>
      <c r="G1538" s="8">
        <v>1</v>
      </c>
      <c r="H1538" s="8">
        <v>0</v>
      </c>
      <c r="I1538" s="8">
        <f>Table1[[#This Row],[kids]]+Table1[[#This Row],[teens]]</f>
        <v>1</v>
      </c>
      <c r="J1538" s="9">
        <v>41628</v>
      </c>
      <c r="K1538" s="8">
        <v>91</v>
      </c>
      <c r="L1538" s="6">
        <v>9</v>
      </c>
      <c r="M1538" s="5">
        <v>0</v>
      </c>
      <c r="N1538" s="5">
        <v>7</v>
      </c>
      <c r="O1538" s="5">
        <v>2</v>
      </c>
      <c r="P1538" s="5">
        <v>0</v>
      </c>
      <c r="Q1538" s="5">
        <v>4</v>
      </c>
      <c r="R1538" s="8">
        <v>1</v>
      </c>
      <c r="S1538" s="8">
        <v>1</v>
      </c>
      <c r="T1538" s="8">
        <v>1</v>
      </c>
      <c r="U1538" s="8">
        <v>2</v>
      </c>
      <c r="V1538" s="8">
        <v>8</v>
      </c>
      <c r="W1538" t="s">
        <v>473</v>
      </c>
      <c r="X1538" t="s">
        <v>473</v>
      </c>
      <c r="Y1538" t="s">
        <v>473</v>
      </c>
      <c r="Z1538" t="s">
        <v>473</v>
      </c>
      <c r="AA1538" t="s">
        <v>473</v>
      </c>
      <c r="AB1538" t="s">
        <v>473</v>
      </c>
      <c r="AC1538" s="10">
        <v>3</v>
      </c>
      <c r="AD1538" s="10">
        <v>11</v>
      </c>
      <c r="AE1538" t="s">
        <v>473</v>
      </c>
    </row>
    <row r="1539" spans="1:31" x14ac:dyDescent="0.25">
      <c r="A1539">
        <v>10530</v>
      </c>
      <c r="B1539">
        <v>1959</v>
      </c>
      <c r="C1539" t="s">
        <v>33</v>
      </c>
      <c r="D1539" t="s">
        <v>57</v>
      </c>
      <c r="E1539" t="str">
        <f>IF(OR(Table1[[#This Row],[marital_status]]="Married", Table1[[#This Row],[marital_status]]="Together"), "Partnered", "Single")</f>
        <v>Single</v>
      </c>
      <c r="F1539" s="7">
        <v>67786</v>
      </c>
      <c r="G1539" s="8">
        <v>0</v>
      </c>
      <c r="H1539" s="8">
        <v>0</v>
      </c>
      <c r="I1539" s="8">
        <f>Table1[[#This Row],[kids]]+Table1[[#This Row],[teens]]</f>
        <v>0</v>
      </c>
      <c r="J1539" s="9">
        <v>41615</v>
      </c>
      <c r="K1539" s="8">
        <v>0</v>
      </c>
      <c r="L1539" s="6">
        <v>431</v>
      </c>
      <c r="M1539" s="5">
        <v>82</v>
      </c>
      <c r="N1539" s="5">
        <v>441</v>
      </c>
      <c r="O1539" s="5">
        <v>80</v>
      </c>
      <c r="P1539" s="5">
        <v>20</v>
      </c>
      <c r="Q1539" s="5">
        <v>102</v>
      </c>
      <c r="R1539" s="8">
        <v>1</v>
      </c>
      <c r="S1539" s="8">
        <v>3</v>
      </c>
      <c r="T1539" s="8">
        <v>6</v>
      </c>
      <c r="U1539" s="8">
        <v>6</v>
      </c>
      <c r="V1539" s="8">
        <v>1</v>
      </c>
      <c r="W1539" t="s">
        <v>473</v>
      </c>
      <c r="X1539" t="s">
        <v>473</v>
      </c>
      <c r="Y1539" t="s">
        <v>473</v>
      </c>
      <c r="Z1539" t="s">
        <v>473</v>
      </c>
      <c r="AA1539" t="s">
        <v>473</v>
      </c>
      <c r="AB1539" t="s">
        <v>473</v>
      </c>
      <c r="AC1539" s="10">
        <v>3</v>
      </c>
      <c r="AD1539" s="10">
        <v>11</v>
      </c>
      <c r="AE1539" t="s">
        <v>474</v>
      </c>
    </row>
    <row r="1540" spans="1:31" x14ac:dyDescent="0.25">
      <c r="A1540">
        <v>1079</v>
      </c>
      <c r="B1540">
        <v>1971</v>
      </c>
      <c r="C1540" t="s">
        <v>33</v>
      </c>
      <c r="D1540" t="s">
        <v>34</v>
      </c>
      <c r="E1540" t="str">
        <f>IF(OR(Table1[[#This Row],[marital_status]]="Married", Table1[[#This Row],[marital_status]]="Together"), "Partnered", "Single")</f>
        <v>Partnered</v>
      </c>
      <c r="F1540" s="7">
        <v>71969</v>
      </c>
      <c r="G1540" s="8">
        <v>0</v>
      </c>
      <c r="H1540" s="8">
        <v>1</v>
      </c>
      <c r="I1540" s="8">
        <f>Table1[[#This Row],[kids]]+Table1[[#This Row],[teens]]</f>
        <v>1</v>
      </c>
      <c r="J1540" s="9">
        <v>41198</v>
      </c>
      <c r="K1540" s="8">
        <v>59</v>
      </c>
      <c r="L1540" s="6">
        <v>1000</v>
      </c>
      <c r="M1540" s="5">
        <v>0</v>
      </c>
      <c r="N1540" s="5">
        <v>76</v>
      </c>
      <c r="O1540" s="5">
        <v>0</v>
      </c>
      <c r="P1540" s="5">
        <v>0</v>
      </c>
      <c r="Q1540" s="5">
        <v>10</v>
      </c>
      <c r="R1540" s="8">
        <v>3</v>
      </c>
      <c r="S1540" s="8">
        <v>3</v>
      </c>
      <c r="T1540" s="8">
        <v>4</v>
      </c>
      <c r="U1540" s="8">
        <v>9</v>
      </c>
      <c r="V1540" s="8">
        <v>8</v>
      </c>
      <c r="W1540" t="s">
        <v>473</v>
      </c>
      <c r="X1540" t="s">
        <v>474</v>
      </c>
      <c r="Y1540" t="s">
        <v>473</v>
      </c>
      <c r="Z1540" t="s">
        <v>473</v>
      </c>
      <c r="AA1540" t="s">
        <v>473</v>
      </c>
      <c r="AB1540" t="s">
        <v>473</v>
      </c>
      <c r="AC1540" s="10">
        <v>3</v>
      </c>
      <c r="AD1540" s="10">
        <v>11</v>
      </c>
      <c r="AE1540" t="s">
        <v>473</v>
      </c>
    </row>
    <row r="1541" spans="1:31" x14ac:dyDescent="0.25">
      <c r="A1541">
        <v>8920</v>
      </c>
      <c r="B1541">
        <v>1967</v>
      </c>
      <c r="C1541" t="s">
        <v>36</v>
      </c>
      <c r="D1541" t="s">
        <v>30</v>
      </c>
      <c r="E1541" t="str">
        <f>IF(OR(Table1[[#This Row],[marital_status]]="Married", Table1[[#This Row],[marital_status]]="Together"), "Partnered", "Single")</f>
        <v>Single</v>
      </c>
      <c r="F1541" s="7">
        <v>59235</v>
      </c>
      <c r="G1541" s="8">
        <v>1</v>
      </c>
      <c r="H1541" s="8">
        <v>0</v>
      </c>
      <c r="I1541" s="8">
        <f>Table1[[#This Row],[kids]]+Table1[[#This Row],[teens]]</f>
        <v>1</v>
      </c>
      <c r="J1541" s="9">
        <v>41286</v>
      </c>
      <c r="K1541" s="8">
        <v>4</v>
      </c>
      <c r="L1541" s="6">
        <v>448</v>
      </c>
      <c r="M1541" s="5">
        <v>40</v>
      </c>
      <c r="N1541" s="5">
        <v>469</v>
      </c>
      <c r="O1541" s="5">
        <v>80</v>
      </c>
      <c r="P1541" s="5">
        <v>0</v>
      </c>
      <c r="Q1541" s="5">
        <v>91</v>
      </c>
      <c r="R1541" s="8">
        <v>3</v>
      </c>
      <c r="S1541" s="8">
        <v>11</v>
      </c>
      <c r="T1541" s="8">
        <v>2</v>
      </c>
      <c r="U1541" s="8">
        <v>12</v>
      </c>
      <c r="V1541" s="8">
        <v>7</v>
      </c>
      <c r="W1541" t="s">
        <v>473</v>
      </c>
      <c r="X1541" t="s">
        <v>473</v>
      </c>
      <c r="Y1541" t="s">
        <v>473</v>
      </c>
      <c r="Z1541" t="s">
        <v>473</v>
      </c>
      <c r="AA1541" t="s">
        <v>473</v>
      </c>
      <c r="AB1541" t="s">
        <v>473</v>
      </c>
      <c r="AC1541" s="10">
        <v>3</v>
      </c>
      <c r="AD1541" s="10">
        <v>11</v>
      </c>
      <c r="AE1541" t="s">
        <v>473</v>
      </c>
    </row>
    <row r="1542" spans="1:31" x14ac:dyDescent="0.25">
      <c r="A1542">
        <v>6678</v>
      </c>
      <c r="B1542">
        <v>1989</v>
      </c>
      <c r="C1542" t="s">
        <v>466</v>
      </c>
      <c r="D1542" t="s">
        <v>31</v>
      </c>
      <c r="E1542" t="str">
        <f>IF(OR(Table1[[#This Row],[marital_status]]="Married", Table1[[#This Row],[marital_status]]="Together"), "Partnered", "Single")</f>
        <v>Partnered</v>
      </c>
      <c r="F1542" s="7">
        <v>31928</v>
      </c>
      <c r="G1542" s="8">
        <v>1</v>
      </c>
      <c r="H1542" s="8">
        <v>0</v>
      </c>
      <c r="I1542" s="8">
        <f>Table1[[#This Row],[kids]]+Table1[[#This Row],[teens]]</f>
        <v>1</v>
      </c>
      <c r="J1542" s="9">
        <v>41726</v>
      </c>
      <c r="K1542" s="8">
        <v>5</v>
      </c>
      <c r="L1542" s="6">
        <v>33</v>
      </c>
      <c r="M1542" s="5">
        <v>4</v>
      </c>
      <c r="N1542" s="5">
        <v>24</v>
      </c>
      <c r="O1542" s="5">
        <v>4</v>
      </c>
      <c r="P1542" s="5">
        <v>2</v>
      </c>
      <c r="Q1542" s="5">
        <v>5</v>
      </c>
      <c r="R1542" s="8">
        <v>2</v>
      </c>
      <c r="S1542" s="8">
        <v>3</v>
      </c>
      <c r="T1542" s="8">
        <v>0</v>
      </c>
      <c r="U1542" s="8">
        <v>4</v>
      </c>
      <c r="V1542" s="8">
        <v>7</v>
      </c>
      <c r="W1542" t="s">
        <v>473</v>
      </c>
      <c r="X1542" t="s">
        <v>473</v>
      </c>
      <c r="Y1542" t="s">
        <v>473</v>
      </c>
      <c r="Z1542" t="s">
        <v>473</v>
      </c>
      <c r="AA1542" t="s">
        <v>473</v>
      </c>
      <c r="AB1542" t="s">
        <v>473</v>
      </c>
      <c r="AC1542" s="10">
        <v>3</v>
      </c>
      <c r="AD1542" s="10">
        <v>11</v>
      </c>
      <c r="AE1542" t="s">
        <v>473</v>
      </c>
    </row>
    <row r="1543" spans="1:31" x14ac:dyDescent="0.25">
      <c r="A1543">
        <v>3852</v>
      </c>
      <c r="B1543">
        <v>1961</v>
      </c>
      <c r="C1543" t="s">
        <v>36</v>
      </c>
      <c r="D1543" t="s">
        <v>31</v>
      </c>
      <c r="E1543" t="str">
        <f>IF(OR(Table1[[#This Row],[marital_status]]="Married", Table1[[#This Row],[marital_status]]="Together"), "Partnered", "Single")</f>
        <v>Partnered</v>
      </c>
      <c r="F1543" s="7">
        <v>74881</v>
      </c>
      <c r="G1543" s="8">
        <v>1</v>
      </c>
      <c r="H1543" s="8">
        <v>1</v>
      </c>
      <c r="I1543" s="8">
        <f>Table1[[#This Row],[kids]]+Table1[[#This Row],[teens]]</f>
        <v>2</v>
      </c>
      <c r="J1543" s="9">
        <v>41341</v>
      </c>
      <c r="K1543" s="8">
        <v>48</v>
      </c>
      <c r="L1543" s="6">
        <v>505</v>
      </c>
      <c r="M1543" s="5">
        <v>72</v>
      </c>
      <c r="N1543" s="5">
        <v>270</v>
      </c>
      <c r="O1543" s="5">
        <v>36</v>
      </c>
      <c r="P1543" s="5">
        <v>27</v>
      </c>
      <c r="Q1543" s="5">
        <v>54</v>
      </c>
      <c r="R1543" s="8">
        <v>4</v>
      </c>
      <c r="S1543" s="8">
        <v>9</v>
      </c>
      <c r="T1543" s="8">
        <v>2</v>
      </c>
      <c r="U1543" s="8">
        <v>12</v>
      </c>
      <c r="V1543" s="8">
        <v>5</v>
      </c>
      <c r="W1543" t="s">
        <v>473</v>
      </c>
      <c r="X1543" t="s">
        <v>473</v>
      </c>
      <c r="Y1543" t="s">
        <v>473</v>
      </c>
      <c r="Z1543" t="s">
        <v>473</v>
      </c>
      <c r="AA1543" t="s">
        <v>473</v>
      </c>
      <c r="AB1543" t="s">
        <v>473</v>
      </c>
      <c r="AC1543" s="10">
        <v>3</v>
      </c>
      <c r="AD1543" s="10">
        <v>11</v>
      </c>
      <c r="AE1543" t="s">
        <v>473</v>
      </c>
    </row>
    <row r="1544" spans="1:31" x14ac:dyDescent="0.25">
      <c r="A1544">
        <v>528</v>
      </c>
      <c r="B1544">
        <v>1978</v>
      </c>
      <c r="C1544" t="s">
        <v>466</v>
      </c>
      <c r="D1544" t="s">
        <v>34</v>
      </c>
      <c r="E1544" t="str">
        <f>IF(OR(Table1[[#This Row],[marital_status]]="Married", Table1[[#This Row],[marital_status]]="Together"), "Partnered", "Single")</f>
        <v>Partnered</v>
      </c>
      <c r="F1544" s="7">
        <v>65819</v>
      </c>
      <c r="G1544" s="8">
        <v>0</v>
      </c>
      <c r="H1544" s="8">
        <v>0</v>
      </c>
      <c r="I1544" s="8">
        <f>Table1[[#This Row],[kids]]+Table1[[#This Row],[teens]]</f>
        <v>0</v>
      </c>
      <c r="J1544" s="9">
        <v>41242</v>
      </c>
      <c r="K1544" s="8">
        <v>99</v>
      </c>
      <c r="L1544" s="6">
        <v>267</v>
      </c>
      <c r="M1544" s="5">
        <v>38</v>
      </c>
      <c r="N1544" s="5">
        <v>701</v>
      </c>
      <c r="O1544" s="5">
        <v>149</v>
      </c>
      <c r="P1544" s="5">
        <v>165</v>
      </c>
      <c r="Q1544" s="5">
        <v>63</v>
      </c>
      <c r="R1544" s="8">
        <v>1</v>
      </c>
      <c r="S1544" s="8">
        <v>5</v>
      </c>
      <c r="T1544" s="8">
        <v>4</v>
      </c>
      <c r="U1544" s="8">
        <v>10</v>
      </c>
      <c r="V1544" s="8">
        <v>3</v>
      </c>
      <c r="W1544" t="s">
        <v>473</v>
      </c>
      <c r="X1544" t="s">
        <v>473</v>
      </c>
      <c r="Y1544" t="s">
        <v>473</v>
      </c>
      <c r="Z1544" t="s">
        <v>473</v>
      </c>
      <c r="AA1544" t="s">
        <v>473</v>
      </c>
      <c r="AB1544" t="s">
        <v>473</v>
      </c>
      <c r="AC1544" s="10">
        <v>3</v>
      </c>
      <c r="AD1544" s="10">
        <v>11</v>
      </c>
      <c r="AE1544" t="s">
        <v>473</v>
      </c>
    </row>
    <row r="1545" spans="1:31" x14ac:dyDescent="0.25">
      <c r="A1545">
        <v>73</v>
      </c>
      <c r="B1545">
        <v>1953</v>
      </c>
      <c r="C1545" t="s">
        <v>33</v>
      </c>
      <c r="D1545" t="s">
        <v>30</v>
      </c>
      <c r="E1545" t="str">
        <f>IF(OR(Table1[[#This Row],[marital_status]]="Married", Table1[[#This Row],[marital_status]]="Together"), "Partnered", "Single")</f>
        <v>Single</v>
      </c>
      <c r="F1545" s="7">
        <v>51411</v>
      </c>
      <c r="G1545" s="8">
        <v>1</v>
      </c>
      <c r="H1545" s="8">
        <v>2</v>
      </c>
      <c r="I1545" s="8">
        <f>Table1[[#This Row],[kids]]+Table1[[#This Row],[teens]]</f>
        <v>3</v>
      </c>
      <c r="J1545" s="9">
        <v>41420</v>
      </c>
      <c r="K1545" s="8">
        <v>81</v>
      </c>
      <c r="L1545" s="6">
        <v>14</v>
      </c>
      <c r="M1545" s="5">
        <v>0</v>
      </c>
      <c r="N1545" s="5">
        <v>3</v>
      </c>
      <c r="O1545" s="5">
        <v>0</v>
      </c>
      <c r="P1545" s="5">
        <v>0</v>
      </c>
      <c r="Q1545" s="5">
        <v>1</v>
      </c>
      <c r="R1545" s="8">
        <v>1</v>
      </c>
      <c r="S1545" s="8">
        <v>0</v>
      </c>
      <c r="T1545" s="8">
        <v>0</v>
      </c>
      <c r="U1545" s="8">
        <v>3</v>
      </c>
      <c r="V1545" s="8">
        <v>5</v>
      </c>
      <c r="W1545" t="s">
        <v>473</v>
      </c>
      <c r="X1545" t="s">
        <v>473</v>
      </c>
      <c r="Y1545" t="s">
        <v>473</v>
      </c>
      <c r="Z1545" t="s">
        <v>473</v>
      </c>
      <c r="AA1545" t="s">
        <v>473</v>
      </c>
      <c r="AB1545" t="s">
        <v>473</v>
      </c>
      <c r="AC1545" s="10">
        <v>3</v>
      </c>
      <c r="AD1545" s="10">
        <v>11</v>
      </c>
      <c r="AE1545" t="s">
        <v>473</v>
      </c>
    </row>
    <row r="1546" spans="1:31" x14ac:dyDescent="0.25">
      <c r="A1546">
        <v>5589</v>
      </c>
      <c r="B1546">
        <v>1964</v>
      </c>
      <c r="C1546" t="s">
        <v>466</v>
      </c>
      <c r="D1546" t="s">
        <v>37</v>
      </c>
      <c r="E1546" t="str">
        <f>IF(OR(Table1[[#This Row],[marital_status]]="Married", Table1[[#This Row],[marital_status]]="Together"), "Partnered", "Single")</f>
        <v>Single</v>
      </c>
      <c r="F1546" s="7">
        <v>51983</v>
      </c>
      <c r="G1546" s="8">
        <v>0</v>
      </c>
      <c r="H1546" s="8">
        <v>1</v>
      </c>
      <c r="I1546" s="8">
        <f>Table1[[#This Row],[kids]]+Table1[[#This Row],[teens]]</f>
        <v>1</v>
      </c>
      <c r="J1546" s="9">
        <v>41152</v>
      </c>
      <c r="K1546" s="8">
        <v>95</v>
      </c>
      <c r="L1546" s="6">
        <v>631</v>
      </c>
      <c r="M1546" s="5">
        <v>0</v>
      </c>
      <c r="N1546" s="5">
        <v>115</v>
      </c>
      <c r="O1546" s="5">
        <v>10</v>
      </c>
      <c r="P1546" s="5">
        <v>7</v>
      </c>
      <c r="Q1546" s="5">
        <v>30</v>
      </c>
      <c r="R1546" s="8">
        <v>3</v>
      </c>
      <c r="S1546" s="8">
        <v>9</v>
      </c>
      <c r="T1546" s="8">
        <v>2</v>
      </c>
      <c r="U1546" s="8">
        <v>10</v>
      </c>
      <c r="V1546" s="8">
        <v>7</v>
      </c>
      <c r="W1546" t="s">
        <v>473</v>
      </c>
      <c r="X1546" t="s">
        <v>473</v>
      </c>
      <c r="Y1546" t="s">
        <v>473</v>
      </c>
      <c r="Z1546" t="s">
        <v>473</v>
      </c>
      <c r="AA1546" t="s">
        <v>473</v>
      </c>
      <c r="AB1546" t="s">
        <v>473</v>
      </c>
      <c r="AC1546" s="10">
        <v>3</v>
      </c>
      <c r="AD1546" s="10">
        <v>11</v>
      </c>
      <c r="AE1546" t="s">
        <v>473</v>
      </c>
    </row>
    <row r="1547" spans="1:31" x14ac:dyDescent="0.25">
      <c r="A1547">
        <v>10212</v>
      </c>
      <c r="B1547">
        <v>1986</v>
      </c>
      <c r="C1547" t="s">
        <v>36</v>
      </c>
      <c r="D1547" t="s">
        <v>31</v>
      </c>
      <c r="E1547" t="str">
        <f>IF(OR(Table1[[#This Row],[marital_status]]="Married", Table1[[#This Row],[marital_status]]="Together"), "Partnered", "Single")</f>
        <v>Partnered</v>
      </c>
      <c r="F1547" s="7">
        <v>42386</v>
      </c>
      <c r="G1547" s="8">
        <v>1</v>
      </c>
      <c r="H1547" s="8">
        <v>0</v>
      </c>
      <c r="I1547" s="8">
        <f>Table1[[#This Row],[kids]]+Table1[[#This Row],[teens]]</f>
        <v>1</v>
      </c>
      <c r="J1547" s="9">
        <v>41287</v>
      </c>
      <c r="K1547" s="8">
        <v>43</v>
      </c>
      <c r="L1547" s="6">
        <v>65</v>
      </c>
      <c r="M1547" s="5">
        <v>4</v>
      </c>
      <c r="N1547" s="5">
        <v>16</v>
      </c>
      <c r="O1547" s="5">
        <v>0</v>
      </c>
      <c r="P1547" s="5">
        <v>4</v>
      </c>
      <c r="Q1547" s="5">
        <v>11</v>
      </c>
      <c r="R1547" s="8">
        <v>1</v>
      </c>
      <c r="S1547" s="8">
        <v>3</v>
      </c>
      <c r="T1547" s="8">
        <v>0</v>
      </c>
      <c r="U1547" s="8">
        <v>3</v>
      </c>
      <c r="V1547" s="8">
        <v>8</v>
      </c>
      <c r="W1547" t="s">
        <v>473</v>
      </c>
      <c r="X1547" t="s">
        <v>473</v>
      </c>
      <c r="Y1547" t="s">
        <v>473</v>
      </c>
      <c r="Z1547" t="s">
        <v>473</v>
      </c>
      <c r="AA1547" t="s">
        <v>473</v>
      </c>
      <c r="AB1547" t="s">
        <v>473</v>
      </c>
      <c r="AC1547" s="10">
        <v>3</v>
      </c>
      <c r="AD1547" s="10">
        <v>11</v>
      </c>
      <c r="AE1547" t="s">
        <v>473</v>
      </c>
    </row>
    <row r="1548" spans="1:31" x14ac:dyDescent="0.25">
      <c r="A1548">
        <v>6365</v>
      </c>
      <c r="B1548">
        <v>1987</v>
      </c>
      <c r="C1548" t="s">
        <v>46</v>
      </c>
      <c r="D1548" t="s">
        <v>34</v>
      </c>
      <c r="E1548" t="str">
        <f>IF(OR(Table1[[#This Row],[marital_status]]="Married", Table1[[#This Row],[marital_status]]="Together"), "Partnered", "Single")</f>
        <v>Partnered</v>
      </c>
      <c r="F1548" s="7">
        <v>30390</v>
      </c>
      <c r="G1548" s="8">
        <v>0</v>
      </c>
      <c r="H1548" s="8">
        <v>0</v>
      </c>
      <c r="I1548" s="8">
        <f>Table1[[#This Row],[kids]]+Table1[[#This Row],[teens]]</f>
        <v>0</v>
      </c>
      <c r="J1548" s="9">
        <v>41519</v>
      </c>
      <c r="K1548" s="8">
        <v>5</v>
      </c>
      <c r="L1548" s="6">
        <v>10</v>
      </c>
      <c r="M1548" s="5">
        <v>12</v>
      </c>
      <c r="N1548" s="5">
        <v>12</v>
      </c>
      <c r="O1548" s="5">
        <v>25</v>
      </c>
      <c r="P1548" s="5">
        <v>1</v>
      </c>
      <c r="Q1548" s="5">
        <v>20</v>
      </c>
      <c r="R1548" s="8">
        <v>1</v>
      </c>
      <c r="S1548" s="8">
        <v>2</v>
      </c>
      <c r="T1548" s="8">
        <v>0</v>
      </c>
      <c r="U1548" s="8">
        <v>3</v>
      </c>
      <c r="V1548" s="8">
        <v>6</v>
      </c>
      <c r="W1548" t="s">
        <v>473</v>
      </c>
      <c r="X1548" t="s">
        <v>473</v>
      </c>
      <c r="Y1548" t="s">
        <v>473</v>
      </c>
      <c r="Z1548" t="s">
        <v>473</v>
      </c>
      <c r="AA1548" t="s">
        <v>473</v>
      </c>
      <c r="AB1548" t="s">
        <v>473</v>
      </c>
      <c r="AC1548" s="10">
        <v>3</v>
      </c>
      <c r="AD1548" s="10">
        <v>11</v>
      </c>
      <c r="AE1548" t="s">
        <v>473</v>
      </c>
    </row>
    <row r="1549" spans="1:31" x14ac:dyDescent="0.25">
      <c r="A1549">
        <v>5636</v>
      </c>
      <c r="B1549">
        <v>1963</v>
      </c>
      <c r="C1549" t="s">
        <v>466</v>
      </c>
      <c r="D1549" t="s">
        <v>30</v>
      </c>
      <c r="E1549" t="str">
        <f>IF(OR(Table1[[#This Row],[marital_status]]="Married", Table1[[#This Row],[marital_status]]="Together"), "Partnered", "Single")</f>
        <v>Single</v>
      </c>
      <c r="F1549" s="7">
        <v>30983</v>
      </c>
      <c r="G1549" s="8">
        <v>0</v>
      </c>
      <c r="H1549" s="8">
        <v>0</v>
      </c>
      <c r="I1549" s="8">
        <f>Table1[[#This Row],[kids]]+Table1[[#This Row],[teens]]</f>
        <v>0</v>
      </c>
      <c r="J1549" s="9">
        <v>41222</v>
      </c>
      <c r="K1549" s="8">
        <v>50</v>
      </c>
      <c r="L1549" s="6">
        <v>51</v>
      </c>
      <c r="M1549" s="5">
        <v>4</v>
      </c>
      <c r="N1549" s="5">
        <v>50</v>
      </c>
      <c r="O1549" s="5">
        <v>12</v>
      </c>
      <c r="P1549" s="5">
        <v>1</v>
      </c>
      <c r="Q1549" s="5">
        <v>49</v>
      </c>
      <c r="R1549" s="8">
        <v>1</v>
      </c>
      <c r="S1549" s="8">
        <v>4</v>
      </c>
      <c r="T1549" s="8">
        <v>0</v>
      </c>
      <c r="U1549" s="8">
        <v>3</v>
      </c>
      <c r="V1549" s="8">
        <v>8</v>
      </c>
      <c r="W1549" t="s">
        <v>473</v>
      </c>
      <c r="X1549" t="s">
        <v>473</v>
      </c>
      <c r="Y1549" t="s">
        <v>473</v>
      </c>
      <c r="Z1549" t="s">
        <v>473</v>
      </c>
      <c r="AA1549" t="s">
        <v>473</v>
      </c>
      <c r="AB1549" t="s">
        <v>473</v>
      </c>
      <c r="AC1549" s="10">
        <v>3</v>
      </c>
      <c r="AD1549" s="10">
        <v>11</v>
      </c>
      <c r="AE1549" t="s">
        <v>474</v>
      </c>
    </row>
    <row r="1550" spans="1:31" x14ac:dyDescent="0.25">
      <c r="A1550">
        <v>591</v>
      </c>
      <c r="B1550">
        <v>1957</v>
      </c>
      <c r="C1550" t="s">
        <v>466</v>
      </c>
      <c r="D1550" t="s">
        <v>57</v>
      </c>
      <c r="E1550" t="str">
        <f>IF(OR(Table1[[#This Row],[marital_status]]="Married", Table1[[#This Row],[marital_status]]="Together"), "Partnered", "Single")</f>
        <v>Single</v>
      </c>
      <c r="F1550" s="7">
        <v>66033</v>
      </c>
      <c r="G1550" s="8">
        <v>0</v>
      </c>
      <c r="H1550" s="8">
        <v>1</v>
      </c>
      <c r="I1550" s="8">
        <f>Table1[[#This Row],[kids]]+Table1[[#This Row],[teens]]</f>
        <v>1</v>
      </c>
      <c r="J1550" s="9">
        <v>41294</v>
      </c>
      <c r="K1550" s="8">
        <v>76</v>
      </c>
      <c r="L1550" s="6">
        <v>293</v>
      </c>
      <c r="M1550" s="5">
        <v>35</v>
      </c>
      <c r="N1550" s="5">
        <v>179</v>
      </c>
      <c r="O1550" s="5">
        <v>46</v>
      </c>
      <c r="P1550" s="5">
        <v>59</v>
      </c>
      <c r="Q1550" s="5">
        <v>65</v>
      </c>
      <c r="R1550" s="8">
        <v>2</v>
      </c>
      <c r="S1550" s="8">
        <v>8</v>
      </c>
      <c r="T1550" s="8">
        <v>3</v>
      </c>
      <c r="U1550" s="8">
        <v>7</v>
      </c>
      <c r="V1550" s="8">
        <v>7</v>
      </c>
      <c r="W1550" t="s">
        <v>473</v>
      </c>
      <c r="X1550" t="s">
        <v>473</v>
      </c>
      <c r="Y1550" t="s">
        <v>473</v>
      </c>
      <c r="Z1550" t="s">
        <v>473</v>
      </c>
      <c r="AA1550" t="s">
        <v>473</v>
      </c>
      <c r="AB1550" t="s">
        <v>473</v>
      </c>
      <c r="AC1550" s="10">
        <v>3</v>
      </c>
      <c r="AD1550" s="10">
        <v>11</v>
      </c>
      <c r="AE1550" t="s">
        <v>473</v>
      </c>
    </row>
    <row r="1551" spans="1:31" x14ac:dyDescent="0.25">
      <c r="A1551">
        <v>2217</v>
      </c>
      <c r="B1551">
        <v>1975</v>
      </c>
      <c r="C1551" t="s">
        <v>46</v>
      </c>
      <c r="D1551" t="s">
        <v>34</v>
      </c>
      <c r="E1551" t="str">
        <f>IF(OR(Table1[[#This Row],[marital_status]]="Married", Table1[[#This Row],[marital_status]]="Together"), "Partnered", "Single")</f>
        <v>Partnered</v>
      </c>
      <c r="F1551" s="7">
        <v>37284</v>
      </c>
      <c r="G1551" s="8">
        <v>1</v>
      </c>
      <c r="H1551" s="8">
        <v>1</v>
      </c>
      <c r="I1551" s="8">
        <f>Table1[[#This Row],[kids]]+Table1[[#This Row],[teens]]</f>
        <v>2</v>
      </c>
      <c r="J1551" s="9">
        <v>41362</v>
      </c>
      <c r="K1551" s="8">
        <v>46</v>
      </c>
      <c r="L1551" s="6">
        <v>11</v>
      </c>
      <c r="M1551" s="5">
        <v>1</v>
      </c>
      <c r="N1551" s="5">
        <v>2</v>
      </c>
      <c r="O1551" s="5">
        <v>2</v>
      </c>
      <c r="P1551" s="5">
        <v>1</v>
      </c>
      <c r="Q1551" s="5">
        <v>6</v>
      </c>
      <c r="R1551" s="8">
        <v>1</v>
      </c>
      <c r="S1551" s="8">
        <v>0</v>
      </c>
      <c r="T1551" s="8">
        <v>0</v>
      </c>
      <c r="U1551" s="8">
        <v>3</v>
      </c>
      <c r="V1551" s="8">
        <v>6</v>
      </c>
      <c r="W1551" t="s">
        <v>473</v>
      </c>
      <c r="X1551" t="s">
        <v>473</v>
      </c>
      <c r="Y1551" t="s">
        <v>473</v>
      </c>
      <c r="Z1551" t="s">
        <v>473</v>
      </c>
      <c r="AA1551" t="s">
        <v>473</v>
      </c>
      <c r="AB1551" t="s">
        <v>473</v>
      </c>
      <c r="AC1551" s="10">
        <v>3</v>
      </c>
      <c r="AD1551" s="10">
        <v>11</v>
      </c>
      <c r="AE1551" t="s">
        <v>473</v>
      </c>
    </row>
    <row r="1552" spans="1:31" x14ac:dyDescent="0.25">
      <c r="A1552">
        <v>2544</v>
      </c>
      <c r="B1552">
        <v>1951</v>
      </c>
      <c r="C1552" t="s">
        <v>36</v>
      </c>
      <c r="D1552" t="s">
        <v>37</v>
      </c>
      <c r="E1552" t="str">
        <f>IF(OR(Table1[[#This Row],[marital_status]]="Married", Table1[[#This Row],[marital_status]]="Together"), "Partnered", "Single")</f>
        <v>Single</v>
      </c>
      <c r="F1552" s="7">
        <v>57530</v>
      </c>
      <c r="G1552" s="8">
        <v>0</v>
      </c>
      <c r="H1552" s="8">
        <v>1</v>
      </c>
      <c r="I1552" s="8">
        <f>Table1[[#This Row],[kids]]+Table1[[#This Row],[teens]]</f>
        <v>1</v>
      </c>
      <c r="J1552" s="9">
        <v>41559</v>
      </c>
      <c r="K1552" s="8">
        <v>68</v>
      </c>
      <c r="L1552" s="6">
        <v>50</v>
      </c>
      <c r="M1552" s="5">
        <v>1</v>
      </c>
      <c r="N1552" s="5">
        <v>27</v>
      </c>
      <c r="O1552" s="5">
        <v>6</v>
      </c>
      <c r="P1552" s="5">
        <v>7</v>
      </c>
      <c r="Q1552" s="5">
        <v>1</v>
      </c>
      <c r="R1552" s="8">
        <v>1</v>
      </c>
      <c r="S1552" s="8">
        <v>1</v>
      </c>
      <c r="T1552" s="8">
        <v>1</v>
      </c>
      <c r="U1552" s="8">
        <v>4</v>
      </c>
      <c r="V1552" s="8">
        <v>1</v>
      </c>
      <c r="W1552" t="s">
        <v>473</v>
      </c>
      <c r="X1552" t="s">
        <v>473</v>
      </c>
      <c r="Y1552" t="s">
        <v>473</v>
      </c>
      <c r="Z1552" t="s">
        <v>473</v>
      </c>
      <c r="AA1552" t="s">
        <v>473</v>
      </c>
      <c r="AB1552" t="s">
        <v>473</v>
      </c>
      <c r="AC1552" s="10">
        <v>3</v>
      </c>
      <c r="AD1552" s="10">
        <v>11</v>
      </c>
      <c r="AE1552" t="s">
        <v>473</v>
      </c>
    </row>
    <row r="1553" spans="1:31" x14ac:dyDescent="0.25">
      <c r="A1553">
        <v>7725</v>
      </c>
      <c r="B1553">
        <v>1965</v>
      </c>
      <c r="C1553" t="s">
        <v>46</v>
      </c>
      <c r="D1553" t="s">
        <v>34</v>
      </c>
      <c r="E1553" t="str">
        <f>IF(OR(Table1[[#This Row],[marital_status]]="Married", Table1[[#This Row],[marital_status]]="Together"), "Partnered", "Single")</f>
        <v>Partnered</v>
      </c>
      <c r="F1553" s="7">
        <v>76800</v>
      </c>
      <c r="G1553" s="8">
        <v>0</v>
      </c>
      <c r="H1553" s="8">
        <v>0</v>
      </c>
      <c r="I1553" s="8">
        <f>Table1[[#This Row],[kids]]+Table1[[#This Row],[teens]]</f>
        <v>0</v>
      </c>
      <c r="J1553" s="9">
        <v>41706</v>
      </c>
      <c r="K1553" s="8">
        <v>33</v>
      </c>
      <c r="L1553" s="6">
        <v>173</v>
      </c>
      <c r="M1553" s="5">
        <v>26</v>
      </c>
      <c r="N1553" s="5">
        <v>255</v>
      </c>
      <c r="O1553" s="5">
        <v>35</v>
      </c>
      <c r="P1553" s="5">
        <v>71</v>
      </c>
      <c r="Q1553" s="5">
        <v>81</v>
      </c>
      <c r="R1553" s="8">
        <v>1</v>
      </c>
      <c r="S1553" s="8">
        <v>4</v>
      </c>
      <c r="T1553" s="8">
        <v>4</v>
      </c>
      <c r="U1553" s="8">
        <v>7</v>
      </c>
      <c r="V1553" s="8">
        <v>1</v>
      </c>
      <c r="W1553" t="s">
        <v>473</v>
      </c>
      <c r="X1553" t="s">
        <v>473</v>
      </c>
      <c r="Y1553" t="s">
        <v>473</v>
      </c>
      <c r="Z1553" t="s">
        <v>473</v>
      </c>
      <c r="AA1553" t="s">
        <v>473</v>
      </c>
      <c r="AB1553" t="s">
        <v>473</v>
      </c>
      <c r="AC1553" s="10">
        <v>3</v>
      </c>
      <c r="AD1553" s="10">
        <v>11</v>
      </c>
      <c r="AE1553" t="s">
        <v>473</v>
      </c>
    </row>
    <row r="1554" spans="1:31" x14ac:dyDescent="0.25">
      <c r="A1554">
        <v>8091</v>
      </c>
      <c r="B1554">
        <v>1956</v>
      </c>
      <c r="C1554" t="s">
        <v>466</v>
      </c>
      <c r="D1554" t="s">
        <v>34</v>
      </c>
      <c r="E1554" t="str">
        <f>IF(OR(Table1[[#This Row],[marital_status]]="Married", Table1[[#This Row],[marital_status]]="Together"), "Partnered", "Single")</f>
        <v>Partnered</v>
      </c>
      <c r="F1554" s="7">
        <v>63943</v>
      </c>
      <c r="G1554" s="8">
        <v>0</v>
      </c>
      <c r="H1554" s="8">
        <v>1</v>
      </c>
      <c r="I1554" s="8">
        <f>Table1[[#This Row],[kids]]+Table1[[#This Row],[teens]]</f>
        <v>1</v>
      </c>
      <c r="J1554" s="9">
        <v>41154</v>
      </c>
      <c r="K1554" s="8">
        <v>50</v>
      </c>
      <c r="L1554" s="6">
        <v>423</v>
      </c>
      <c r="M1554" s="5">
        <v>184</v>
      </c>
      <c r="N1554" s="5">
        <v>368</v>
      </c>
      <c r="O1554" s="5">
        <v>13</v>
      </c>
      <c r="P1554" s="5">
        <v>97</v>
      </c>
      <c r="Q1554" s="5">
        <v>21</v>
      </c>
      <c r="R1554" s="8">
        <v>1</v>
      </c>
      <c r="S1554" s="8">
        <v>6</v>
      </c>
      <c r="T1554" s="8">
        <v>4</v>
      </c>
      <c r="U1554" s="8">
        <v>6</v>
      </c>
      <c r="V1554" s="8">
        <v>5</v>
      </c>
      <c r="W1554" t="s">
        <v>473</v>
      </c>
      <c r="X1554" t="s">
        <v>473</v>
      </c>
      <c r="Y1554" t="s">
        <v>473</v>
      </c>
      <c r="Z1554" t="s">
        <v>473</v>
      </c>
      <c r="AA1554" t="s">
        <v>473</v>
      </c>
      <c r="AB1554" t="s">
        <v>473</v>
      </c>
      <c r="AC1554" s="10">
        <v>3</v>
      </c>
      <c r="AD1554" s="10">
        <v>11</v>
      </c>
      <c r="AE1554" t="s">
        <v>473</v>
      </c>
    </row>
    <row r="1555" spans="1:31" x14ac:dyDescent="0.25">
      <c r="A1555">
        <v>7321</v>
      </c>
      <c r="B1555">
        <v>1962</v>
      </c>
      <c r="C1555" t="s">
        <v>466</v>
      </c>
      <c r="D1555" t="s">
        <v>31</v>
      </c>
      <c r="E1555" t="str">
        <f>IF(OR(Table1[[#This Row],[marital_status]]="Married", Table1[[#This Row],[marital_status]]="Together"), "Partnered", "Single")</f>
        <v>Partnered</v>
      </c>
      <c r="F1555" s="7">
        <v>76081</v>
      </c>
      <c r="G1555" s="8">
        <v>0</v>
      </c>
      <c r="H1555" s="8">
        <v>0</v>
      </c>
      <c r="I1555" s="8">
        <f>Table1[[#This Row],[kids]]+Table1[[#This Row],[teens]]</f>
        <v>0</v>
      </c>
      <c r="J1555" s="9">
        <v>41782</v>
      </c>
      <c r="K1555" s="8">
        <v>85</v>
      </c>
      <c r="L1555" s="6">
        <v>292</v>
      </c>
      <c r="M1555" s="5">
        <v>30</v>
      </c>
      <c r="N1555" s="5">
        <v>415</v>
      </c>
      <c r="O1555" s="5">
        <v>63</v>
      </c>
      <c r="P1555" s="5">
        <v>33</v>
      </c>
      <c r="Q1555" s="5">
        <v>200</v>
      </c>
      <c r="R1555" s="8">
        <v>1</v>
      </c>
      <c r="S1555" s="8">
        <v>4</v>
      </c>
      <c r="T1555" s="8">
        <v>5</v>
      </c>
      <c r="U1555" s="8">
        <v>4</v>
      </c>
      <c r="V1555" s="8">
        <v>2</v>
      </c>
      <c r="W1555" t="s">
        <v>473</v>
      </c>
      <c r="X1555" t="s">
        <v>473</v>
      </c>
      <c r="Y1555" t="s">
        <v>473</v>
      </c>
      <c r="Z1555" t="s">
        <v>474</v>
      </c>
      <c r="AA1555" t="s">
        <v>473</v>
      </c>
      <c r="AB1555" t="s">
        <v>473</v>
      </c>
      <c r="AC1555" s="10">
        <v>3</v>
      </c>
      <c r="AD1555" s="10">
        <v>11</v>
      </c>
      <c r="AE1555" t="s">
        <v>473</v>
      </c>
    </row>
    <row r="1556" spans="1:31" x14ac:dyDescent="0.25">
      <c r="A1556">
        <v>5462</v>
      </c>
      <c r="B1556">
        <v>1974</v>
      </c>
      <c r="C1556" t="s">
        <v>466</v>
      </c>
      <c r="D1556" t="s">
        <v>34</v>
      </c>
      <c r="E1556" t="str">
        <f>IF(OR(Table1[[#This Row],[marital_status]]="Married", Table1[[#This Row],[marital_status]]="Together"), "Partnered", "Single")</f>
        <v>Partnered</v>
      </c>
      <c r="F1556" s="7">
        <v>67445</v>
      </c>
      <c r="G1556" s="8">
        <v>0</v>
      </c>
      <c r="H1556" s="8">
        <v>1</v>
      </c>
      <c r="I1556" s="8">
        <f>Table1[[#This Row],[kids]]+Table1[[#This Row],[teens]]</f>
        <v>1</v>
      </c>
      <c r="J1556" s="9">
        <v>41133</v>
      </c>
      <c r="K1556" s="8">
        <v>63</v>
      </c>
      <c r="L1556" s="6">
        <v>757</v>
      </c>
      <c r="M1556" s="5">
        <v>80</v>
      </c>
      <c r="N1556" s="5">
        <v>217</v>
      </c>
      <c r="O1556" s="5">
        <v>29</v>
      </c>
      <c r="P1556" s="5">
        <v>80</v>
      </c>
      <c r="Q1556" s="5">
        <v>11</v>
      </c>
      <c r="R1556" s="8">
        <v>5</v>
      </c>
      <c r="S1556" s="8">
        <v>9</v>
      </c>
      <c r="T1556" s="8">
        <v>6</v>
      </c>
      <c r="U1556" s="8">
        <v>12</v>
      </c>
      <c r="V1556" s="8">
        <v>6</v>
      </c>
      <c r="W1556" t="s">
        <v>473</v>
      </c>
      <c r="X1556" t="s">
        <v>473</v>
      </c>
      <c r="Y1556" t="s">
        <v>473</v>
      </c>
      <c r="Z1556" t="s">
        <v>473</v>
      </c>
      <c r="AA1556" t="s">
        <v>473</v>
      </c>
      <c r="AB1556" t="s">
        <v>473</v>
      </c>
      <c r="AC1556" s="10">
        <v>3</v>
      </c>
      <c r="AD1556" s="10">
        <v>11</v>
      </c>
      <c r="AE1556" t="s">
        <v>473</v>
      </c>
    </row>
    <row r="1557" spans="1:31" x14ac:dyDescent="0.25">
      <c r="A1557">
        <v>7791</v>
      </c>
      <c r="B1557">
        <v>1967</v>
      </c>
      <c r="C1557" t="s">
        <v>36</v>
      </c>
      <c r="D1557" t="s">
        <v>34</v>
      </c>
      <c r="E1557" t="str">
        <f>IF(OR(Table1[[#This Row],[marital_status]]="Married", Table1[[#This Row],[marital_status]]="Together"), "Partnered", "Single")</f>
        <v>Partnered</v>
      </c>
      <c r="F1557" s="7">
        <v>37054</v>
      </c>
      <c r="G1557" s="8">
        <v>1</v>
      </c>
      <c r="H1557" s="8">
        <v>1</v>
      </c>
      <c r="I1557" s="8">
        <f>Table1[[#This Row],[kids]]+Table1[[#This Row],[teens]]</f>
        <v>2</v>
      </c>
      <c r="J1557" s="9">
        <v>41532</v>
      </c>
      <c r="K1557" s="8">
        <v>89</v>
      </c>
      <c r="L1557" s="6">
        <v>12</v>
      </c>
      <c r="M1557" s="5">
        <v>1</v>
      </c>
      <c r="N1557" s="5">
        <v>6</v>
      </c>
      <c r="O1557" s="5">
        <v>0</v>
      </c>
      <c r="P1557" s="5">
        <v>1</v>
      </c>
      <c r="Q1557" s="5">
        <v>5</v>
      </c>
      <c r="R1557" s="8">
        <v>2</v>
      </c>
      <c r="S1557" s="8">
        <v>1</v>
      </c>
      <c r="T1557" s="8">
        <v>0</v>
      </c>
      <c r="U1557" s="8">
        <v>3</v>
      </c>
      <c r="V1557" s="8">
        <v>7</v>
      </c>
      <c r="W1557" t="s">
        <v>473</v>
      </c>
      <c r="X1557" t="s">
        <v>473</v>
      </c>
      <c r="Y1557" t="s">
        <v>473</v>
      </c>
      <c r="Z1557" t="s">
        <v>473</v>
      </c>
      <c r="AA1557" t="s">
        <v>473</v>
      </c>
      <c r="AB1557" t="s">
        <v>473</v>
      </c>
      <c r="AC1557" s="10">
        <v>3</v>
      </c>
      <c r="AD1557" s="10">
        <v>11</v>
      </c>
      <c r="AE1557" t="s">
        <v>473</v>
      </c>
    </row>
    <row r="1558" spans="1:31" x14ac:dyDescent="0.25">
      <c r="A1558">
        <v>955</v>
      </c>
      <c r="B1558">
        <v>1962</v>
      </c>
      <c r="C1558" t="s">
        <v>36</v>
      </c>
      <c r="D1558" t="s">
        <v>31</v>
      </c>
      <c r="E1558" t="str">
        <f>IF(OR(Table1[[#This Row],[marital_status]]="Married", Table1[[#This Row],[marital_status]]="Together"), "Partnered", "Single")</f>
        <v>Partnered</v>
      </c>
      <c r="F1558" s="7">
        <v>47175</v>
      </c>
      <c r="G1558" s="8">
        <v>1</v>
      </c>
      <c r="H1558" s="8">
        <v>1</v>
      </c>
      <c r="I1558" s="8">
        <f>Table1[[#This Row],[kids]]+Table1[[#This Row],[teens]]</f>
        <v>2</v>
      </c>
      <c r="J1558" s="9">
        <v>41210</v>
      </c>
      <c r="K1558" s="8">
        <v>81</v>
      </c>
      <c r="L1558" s="6">
        <v>167</v>
      </c>
      <c r="M1558" s="5">
        <v>2</v>
      </c>
      <c r="N1558" s="5">
        <v>44</v>
      </c>
      <c r="O1558" s="5">
        <v>6</v>
      </c>
      <c r="P1558" s="5">
        <v>2</v>
      </c>
      <c r="Q1558" s="5">
        <v>19</v>
      </c>
      <c r="R1558" s="8">
        <v>7</v>
      </c>
      <c r="S1558" s="8">
        <v>4</v>
      </c>
      <c r="T1558" s="8">
        <v>2</v>
      </c>
      <c r="U1558" s="8">
        <v>4</v>
      </c>
      <c r="V1558" s="8">
        <v>8</v>
      </c>
      <c r="W1558" t="s">
        <v>474</v>
      </c>
      <c r="X1558" t="s">
        <v>473</v>
      </c>
      <c r="Y1558" t="s">
        <v>473</v>
      </c>
      <c r="Z1558" t="s">
        <v>473</v>
      </c>
      <c r="AA1558" t="s">
        <v>473</v>
      </c>
      <c r="AB1558" t="s">
        <v>473</v>
      </c>
      <c r="AC1558" s="10">
        <v>3</v>
      </c>
      <c r="AD1558" s="10">
        <v>11</v>
      </c>
      <c r="AE1558" t="s">
        <v>474</v>
      </c>
    </row>
    <row r="1559" spans="1:31" x14ac:dyDescent="0.25">
      <c r="A1559">
        <v>4037</v>
      </c>
      <c r="B1559">
        <v>1976</v>
      </c>
      <c r="C1559" t="s">
        <v>466</v>
      </c>
      <c r="D1559" t="s">
        <v>37</v>
      </c>
      <c r="E1559" t="str">
        <f>IF(OR(Table1[[#This Row],[marital_status]]="Married", Table1[[#This Row],[marital_status]]="Together"), "Partnered", "Single")</f>
        <v>Single</v>
      </c>
      <c r="F1559" s="7">
        <v>31859</v>
      </c>
      <c r="G1559" s="8">
        <v>1</v>
      </c>
      <c r="H1559" s="8">
        <v>0</v>
      </c>
      <c r="I1559" s="8">
        <f>Table1[[#This Row],[kids]]+Table1[[#This Row],[teens]]</f>
        <v>1</v>
      </c>
      <c r="J1559" s="9">
        <v>41439</v>
      </c>
      <c r="K1559" s="8">
        <v>77</v>
      </c>
      <c r="L1559" s="6">
        <v>3</v>
      </c>
      <c r="M1559" s="5">
        <v>1</v>
      </c>
      <c r="N1559" s="5">
        <v>3</v>
      </c>
      <c r="O1559" s="5">
        <v>8</v>
      </c>
      <c r="P1559" s="5">
        <v>0</v>
      </c>
      <c r="Q1559" s="5">
        <v>5</v>
      </c>
      <c r="R1559" s="8">
        <v>1</v>
      </c>
      <c r="S1559" s="8">
        <v>1</v>
      </c>
      <c r="T1559" s="8">
        <v>0</v>
      </c>
      <c r="U1559" s="8">
        <v>2</v>
      </c>
      <c r="V1559" s="8">
        <v>7</v>
      </c>
      <c r="W1559" t="s">
        <v>473</v>
      </c>
      <c r="X1559" t="s">
        <v>473</v>
      </c>
      <c r="Y1559" t="s">
        <v>473</v>
      </c>
      <c r="Z1559" t="s">
        <v>473</v>
      </c>
      <c r="AA1559" t="s">
        <v>473</v>
      </c>
      <c r="AB1559" t="s">
        <v>473</v>
      </c>
      <c r="AC1559" s="10">
        <v>3</v>
      </c>
      <c r="AD1559" s="10">
        <v>11</v>
      </c>
      <c r="AE1559" t="s">
        <v>473</v>
      </c>
    </row>
    <row r="1560" spans="1:31" x14ac:dyDescent="0.25">
      <c r="A1560">
        <v>6642</v>
      </c>
      <c r="B1560">
        <v>1961</v>
      </c>
      <c r="C1560" t="s">
        <v>466</v>
      </c>
      <c r="D1560" t="s">
        <v>37</v>
      </c>
      <c r="E1560" t="str">
        <f>IF(OR(Table1[[#This Row],[marital_status]]="Married", Table1[[#This Row],[marital_status]]="Together"), "Partnered", "Single")</f>
        <v>Single</v>
      </c>
      <c r="F1560" s="7">
        <v>27215</v>
      </c>
      <c r="G1560" s="8">
        <v>2</v>
      </c>
      <c r="H1560" s="8">
        <v>1</v>
      </c>
      <c r="I1560" s="8">
        <f>Table1[[#This Row],[kids]]+Table1[[#This Row],[teens]]</f>
        <v>3</v>
      </c>
      <c r="J1560" s="9">
        <v>41297</v>
      </c>
      <c r="K1560" s="8">
        <v>50</v>
      </c>
      <c r="L1560" s="6">
        <v>30</v>
      </c>
      <c r="M1560" s="5">
        <v>5</v>
      </c>
      <c r="N1560" s="5">
        <v>22</v>
      </c>
      <c r="O1560" s="5">
        <v>8</v>
      </c>
      <c r="P1560" s="5">
        <v>9</v>
      </c>
      <c r="Q1560" s="5">
        <v>28</v>
      </c>
      <c r="R1560" s="8">
        <v>4</v>
      </c>
      <c r="S1560" s="8">
        <v>2</v>
      </c>
      <c r="T1560" s="8">
        <v>1</v>
      </c>
      <c r="U1560" s="8">
        <v>4</v>
      </c>
      <c r="V1560" s="8">
        <v>6</v>
      </c>
      <c r="W1560" t="s">
        <v>473</v>
      </c>
      <c r="X1560" t="s">
        <v>473</v>
      </c>
      <c r="Y1560" t="s">
        <v>473</v>
      </c>
      <c r="Z1560" t="s">
        <v>473</v>
      </c>
      <c r="AA1560" t="s">
        <v>473</v>
      </c>
      <c r="AB1560" t="s">
        <v>473</v>
      </c>
      <c r="AC1560" s="10">
        <v>3</v>
      </c>
      <c r="AD1560" s="10">
        <v>11</v>
      </c>
      <c r="AE1560" t="s">
        <v>473</v>
      </c>
    </row>
    <row r="1561" spans="1:31" x14ac:dyDescent="0.25">
      <c r="A1561">
        <v>2793</v>
      </c>
      <c r="B1561">
        <v>1976</v>
      </c>
      <c r="C1561" t="s">
        <v>33</v>
      </c>
      <c r="D1561" t="s">
        <v>37</v>
      </c>
      <c r="E1561" t="str">
        <f>IF(OR(Table1[[#This Row],[marital_status]]="Married", Table1[[#This Row],[marital_status]]="Together"), "Partnered", "Single")</f>
        <v>Single</v>
      </c>
      <c r="F1561" s="7">
        <v>70179</v>
      </c>
      <c r="G1561" s="8">
        <v>0</v>
      </c>
      <c r="H1561" s="8">
        <v>1</v>
      </c>
      <c r="I1561" s="8">
        <f>Table1[[#This Row],[kids]]+Table1[[#This Row],[teens]]</f>
        <v>1</v>
      </c>
      <c r="J1561" s="9">
        <v>41476</v>
      </c>
      <c r="K1561" s="8">
        <v>10</v>
      </c>
      <c r="L1561" s="6">
        <v>532</v>
      </c>
      <c r="M1561" s="5">
        <v>88</v>
      </c>
      <c r="N1561" s="5">
        <v>168</v>
      </c>
      <c r="O1561" s="5">
        <v>69</v>
      </c>
      <c r="P1561" s="5">
        <v>44</v>
      </c>
      <c r="Q1561" s="5">
        <v>133</v>
      </c>
      <c r="R1561" s="8">
        <v>3</v>
      </c>
      <c r="S1561" s="8">
        <v>7</v>
      </c>
      <c r="T1561" s="8">
        <v>3</v>
      </c>
      <c r="U1561" s="8">
        <v>13</v>
      </c>
      <c r="V1561" s="8">
        <v>5</v>
      </c>
      <c r="W1561" t="s">
        <v>473</v>
      </c>
      <c r="X1561" t="s">
        <v>473</v>
      </c>
      <c r="Y1561" t="s">
        <v>473</v>
      </c>
      <c r="Z1561" t="s">
        <v>473</v>
      </c>
      <c r="AA1561" t="s">
        <v>473</v>
      </c>
      <c r="AB1561" t="s">
        <v>473</v>
      </c>
      <c r="AC1561" s="10">
        <v>3</v>
      </c>
      <c r="AD1561" s="10">
        <v>11</v>
      </c>
      <c r="AE1561" t="s">
        <v>473</v>
      </c>
    </row>
    <row r="1562" spans="1:31" x14ac:dyDescent="0.25">
      <c r="A1562">
        <v>5424</v>
      </c>
      <c r="B1562">
        <v>1983</v>
      </c>
      <c r="C1562" t="s">
        <v>466</v>
      </c>
      <c r="D1562" t="s">
        <v>34</v>
      </c>
      <c r="E1562" t="str">
        <f>IF(OR(Table1[[#This Row],[marital_status]]="Married", Table1[[#This Row],[marital_status]]="Together"), "Partnered", "Single")</f>
        <v>Partnered</v>
      </c>
      <c r="F1562" s="7">
        <v>39922</v>
      </c>
      <c r="G1562" s="8">
        <v>1</v>
      </c>
      <c r="H1562" s="8">
        <v>0</v>
      </c>
      <c r="I1562" s="8">
        <f>Table1[[#This Row],[kids]]+Table1[[#This Row],[teens]]</f>
        <v>1</v>
      </c>
      <c r="J1562" s="9">
        <v>41319</v>
      </c>
      <c r="K1562" s="8">
        <v>30</v>
      </c>
      <c r="L1562" s="6">
        <v>29</v>
      </c>
      <c r="M1562" s="5">
        <v>12</v>
      </c>
      <c r="N1562" s="5">
        <v>59</v>
      </c>
      <c r="O1562" s="5">
        <v>19</v>
      </c>
      <c r="P1562" s="5">
        <v>1</v>
      </c>
      <c r="Q1562" s="5">
        <v>36</v>
      </c>
      <c r="R1562" s="8">
        <v>2</v>
      </c>
      <c r="S1562" s="8">
        <v>3</v>
      </c>
      <c r="T1562" s="8">
        <v>0</v>
      </c>
      <c r="U1562" s="8">
        <v>4</v>
      </c>
      <c r="V1562" s="8">
        <v>8</v>
      </c>
      <c r="W1562" t="s">
        <v>473</v>
      </c>
      <c r="X1562" t="s">
        <v>473</v>
      </c>
      <c r="Y1562" t="s">
        <v>473</v>
      </c>
      <c r="Z1562" t="s">
        <v>473</v>
      </c>
      <c r="AA1562" t="s">
        <v>473</v>
      </c>
      <c r="AB1562" t="s">
        <v>473</v>
      </c>
      <c r="AC1562" s="10">
        <v>3</v>
      </c>
      <c r="AD1562" s="10">
        <v>11</v>
      </c>
      <c r="AE1562" t="s">
        <v>473</v>
      </c>
    </row>
    <row r="1563" spans="1:31" x14ac:dyDescent="0.25">
      <c r="A1563">
        <v>879</v>
      </c>
      <c r="B1563">
        <v>1976</v>
      </c>
      <c r="C1563" t="s">
        <v>36</v>
      </c>
      <c r="D1563" t="s">
        <v>34</v>
      </c>
      <c r="E1563" t="str">
        <f>IF(OR(Table1[[#This Row],[marital_status]]="Married", Table1[[#This Row],[marital_status]]="Together"), "Partnered", "Single")</f>
        <v>Partnered</v>
      </c>
      <c r="F1563" s="7">
        <v>49681</v>
      </c>
      <c r="G1563" s="8">
        <v>0</v>
      </c>
      <c r="H1563" s="8">
        <v>2</v>
      </c>
      <c r="I1563" s="8">
        <f>Table1[[#This Row],[kids]]+Table1[[#This Row],[teens]]</f>
        <v>2</v>
      </c>
      <c r="J1563" s="9">
        <v>41582</v>
      </c>
      <c r="K1563" s="8">
        <v>66</v>
      </c>
      <c r="L1563" s="6">
        <v>411</v>
      </c>
      <c r="M1563" s="5">
        <v>0</v>
      </c>
      <c r="N1563" s="5">
        <v>26</v>
      </c>
      <c r="O1563" s="5">
        <v>0</v>
      </c>
      <c r="P1563" s="5">
        <v>0</v>
      </c>
      <c r="Q1563" s="5">
        <v>21</v>
      </c>
      <c r="R1563" s="8">
        <v>6</v>
      </c>
      <c r="S1563" s="8">
        <v>7</v>
      </c>
      <c r="T1563" s="8">
        <v>1</v>
      </c>
      <c r="U1563" s="8">
        <v>7</v>
      </c>
      <c r="V1563" s="8">
        <v>7</v>
      </c>
      <c r="W1563" t="s">
        <v>473</v>
      </c>
      <c r="X1563" t="s">
        <v>473</v>
      </c>
      <c r="Y1563" t="s">
        <v>473</v>
      </c>
      <c r="Z1563" t="s">
        <v>473</v>
      </c>
      <c r="AA1563" t="s">
        <v>473</v>
      </c>
      <c r="AB1563" t="s">
        <v>473</v>
      </c>
      <c r="AC1563" s="10">
        <v>3</v>
      </c>
      <c r="AD1563" s="10">
        <v>11</v>
      </c>
      <c r="AE1563" t="s">
        <v>473</v>
      </c>
    </row>
    <row r="1564" spans="1:31" x14ac:dyDescent="0.25">
      <c r="A1564">
        <v>9530</v>
      </c>
      <c r="B1564">
        <v>1988</v>
      </c>
      <c r="C1564" t="s">
        <v>466</v>
      </c>
      <c r="D1564" t="s">
        <v>34</v>
      </c>
      <c r="E1564" t="str">
        <f>IF(OR(Table1[[#This Row],[marital_status]]="Married", Table1[[#This Row],[marital_status]]="Together"), "Partnered", "Single")</f>
        <v>Partnered</v>
      </c>
      <c r="F1564" s="7">
        <v>24645</v>
      </c>
      <c r="G1564" s="8">
        <v>1</v>
      </c>
      <c r="H1564" s="8">
        <v>0</v>
      </c>
      <c r="I1564" s="8">
        <f>Table1[[#This Row],[kids]]+Table1[[#This Row],[teens]]</f>
        <v>1</v>
      </c>
      <c r="J1564" s="9">
        <v>41214</v>
      </c>
      <c r="K1564" s="8">
        <v>16</v>
      </c>
      <c r="L1564" s="6">
        <v>5</v>
      </c>
      <c r="M1564" s="5">
        <v>3</v>
      </c>
      <c r="N1564" s="5">
        <v>4</v>
      </c>
      <c r="O1564" s="5">
        <v>4</v>
      </c>
      <c r="P1564" s="5">
        <v>1</v>
      </c>
      <c r="Q1564" s="5">
        <v>0</v>
      </c>
      <c r="R1564" s="8">
        <v>1</v>
      </c>
      <c r="S1564" s="8">
        <v>1</v>
      </c>
      <c r="T1564" s="8">
        <v>0</v>
      </c>
      <c r="U1564" s="8">
        <v>2</v>
      </c>
      <c r="V1564" s="8">
        <v>8</v>
      </c>
      <c r="W1564" t="s">
        <v>473</v>
      </c>
      <c r="X1564" t="s">
        <v>473</v>
      </c>
      <c r="Y1564" t="s">
        <v>473</v>
      </c>
      <c r="Z1564" t="s">
        <v>473</v>
      </c>
      <c r="AA1564" t="s">
        <v>473</v>
      </c>
      <c r="AB1564" t="s">
        <v>473</v>
      </c>
      <c r="AC1564" s="10">
        <v>3</v>
      </c>
      <c r="AD1564" s="10">
        <v>11</v>
      </c>
      <c r="AE1564" t="s">
        <v>473</v>
      </c>
    </row>
    <row r="1565" spans="1:31" x14ac:dyDescent="0.25">
      <c r="A1565">
        <v>4828</v>
      </c>
      <c r="B1565">
        <v>1954</v>
      </c>
      <c r="C1565" t="s">
        <v>466</v>
      </c>
      <c r="D1565" t="s">
        <v>37</v>
      </c>
      <c r="E1565" t="str">
        <f>IF(OR(Table1[[#This Row],[marital_status]]="Married", Table1[[#This Row],[marital_status]]="Together"), "Partnered", "Single")</f>
        <v>Single</v>
      </c>
      <c r="F1565" s="7">
        <v>79865</v>
      </c>
      <c r="G1565" s="8">
        <v>0</v>
      </c>
      <c r="H1565" s="8">
        <v>1</v>
      </c>
      <c r="I1565" s="8">
        <f>Table1[[#This Row],[kids]]+Table1[[#This Row],[teens]]</f>
        <v>1</v>
      </c>
      <c r="J1565" s="9">
        <v>41808</v>
      </c>
      <c r="K1565" s="8">
        <v>12</v>
      </c>
      <c r="L1565" s="6">
        <v>71</v>
      </c>
      <c r="M1565" s="5">
        <v>99</v>
      </c>
      <c r="N1565" s="5">
        <v>278</v>
      </c>
      <c r="O1565" s="5">
        <v>185</v>
      </c>
      <c r="P1565" s="5">
        <v>121</v>
      </c>
      <c r="Q1565" s="5">
        <v>38</v>
      </c>
      <c r="R1565" s="8">
        <v>1</v>
      </c>
      <c r="S1565" s="8">
        <v>5</v>
      </c>
      <c r="T1565" s="8">
        <v>10</v>
      </c>
      <c r="U1565" s="8">
        <v>5</v>
      </c>
      <c r="V1565" s="8">
        <v>1</v>
      </c>
      <c r="W1565" t="s">
        <v>473</v>
      </c>
      <c r="X1565" t="s">
        <v>473</v>
      </c>
      <c r="Y1565" t="s">
        <v>473</v>
      </c>
      <c r="Z1565" t="s">
        <v>473</v>
      </c>
      <c r="AA1565" t="s">
        <v>473</v>
      </c>
      <c r="AB1565" t="s">
        <v>473</v>
      </c>
      <c r="AC1565" s="10">
        <v>3</v>
      </c>
      <c r="AD1565" s="10">
        <v>11</v>
      </c>
      <c r="AE1565" t="s">
        <v>473</v>
      </c>
    </row>
    <row r="1566" spans="1:31" x14ac:dyDescent="0.25">
      <c r="A1566">
        <v>10699</v>
      </c>
      <c r="B1566">
        <v>1985</v>
      </c>
      <c r="C1566" t="s">
        <v>466</v>
      </c>
      <c r="D1566" t="s">
        <v>34</v>
      </c>
      <c r="E1566" t="str">
        <f>IF(OR(Table1[[#This Row],[marital_status]]="Married", Table1[[#This Row],[marital_status]]="Together"), "Partnered", "Single")</f>
        <v>Partnered</v>
      </c>
      <c r="F1566" s="7">
        <v>44322</v>
      </c>
      <c r="G1566" s="8">
        <v>1</v>
      </c>
      <c r="H1566" s="8">
        <v>0</v>
      </c>
      <c r="I1566" s="8">
        <f>Table1[[#This Row],[kids]]+Table1[[#This Row],[teens]]</f>
        <v>1</v>
      </c>
      <c r="J1566" s="9">
        <v>41806</v>
      </c>
      <c r="K1566" s="8">
        <v>30</v>
      </c>
      <c r="L1566" s="6">
        <v>46</v>
      </c>
      <c r="M1566" s="5">
        <v>0</v>
      </c>
      <c r="N1566" s="5">
        <v>40</v>
      </c>
      <c r="O1566" s="5">
        <v>3</v>
      </c>
      <c r="P1566" s="5">
        <v>0</v>
      </c>
      <c r="Q1566" s="5">
        <v>3</v>
      </c>
      <c r="R1566" s="8">
        <v>2</v>
      </c>
      <c r="S1566" s="8">
        <v>3</v>
      </c>
      <c r="T1566" s="8">
        <v>0</v>
      </c>
      <c r="U1566" s="8">
        <v>3</v>
      </c>
      <c r="V1566" s="8">
        <v>8</v>
      </c>
      <c r="W1566" t="s">
        <v>473</v>
      </c>
      <c r="X1566" t="s">
        <v>473</v>
      </c>
      <c r="Y1566" t="s">
        <v>473</v>
      </c>
      <c r="Z1566" t="s">
        <v>473</v>
      </c>
      <c r="AA1566" t="s">
        <v>473</v>
      </c>
      <c r="AB1566" t="s">
        <v>473</v>
      </c>
      <c r="AC1566" s="10">
        <v>3</v>
      </c>
      <c r="AD1566" s="10">
        <v>11</v>
      </c>
      <c r="AE1566" t="s">
        <v>473</v>
      </c>
    </row>
    <row r="1567" spans="1:31" x14ac:dyDescent="0.25">
      <c r="A1567">
        <v>1497</v>
      </c>
      <c r="B1567">
        <v>1952</v>
      </c>
      <c r="C1567" t="s">
        <v>466</v>
      </c>
      <c r="D1567" t="s">
        <v>30</v>
      </c>
      <c r="E1567" t="str">
        <f>IF(OR(Table1[[#This Row],[marital_status]]="Married", Table1[[#This Row],[marital_status]]="Together"), "Partnered", "Single")</f>
        <v>Single</v>
      </c>
      <c r="F1567" s="7">
        <v>47958</v>
      </c>
      <c r="G1567" s="8">
        <v>0</v>
      </c>
      <c r="H1567" s="8">
        <v>1</v>
      </c>
      <c r="I1567" s="8">
        <f>Table1[[#This Row],[kids]]+Table1[[#This Row],[teens]]</f>
        <v>1</v>
      </c>
      <c r="J1567" s="9">
        <v>41293</v>
      </c>
      <c r="K1567" s="8">
        <v>8</v>
      </c>
      <c r="L1567" s="6">
        <v>268</v>
      </c>
      <c r="M1567" s="5">
        <v>11</v>
      </c>
      <c r="N1567" s="5">
        <v>88</v>
      </c>
      <c r="O1567" s="5">
        <v>15</v>
      </c>
      <c r="P1567" s="5">
        <v>3</v>
      </c>
      <c r="Q1567" s="5">
        <v>22</v>
      </c>
      <c r="R1567" s="8">
        <v>2</v>
      </c>
      <c r="S1567" s="8">
        <v>6</v>
      </c>
      <c r="T1567" s="8">
        <v>3</v>
      </c>
      <c r="U1567" s="8">
        <v>5</v>
      </c>
      <c r="V1567" s="8">
        <v>5</v>
      </c>
      <c r="W1567" t="s">
        <v>473</v>
      </c>
      <c r="X1567" t="s">
        <v>473</v>
      </c>
      <c r="Y1567" t="s">
        <v>473</v>
      </c>
      <c r="Z1567" t="s">
        <v>473</v>
      </c>
      <c r="AA1567" t="s">
        <v>473</v>
      </c>
      <c r="AB1567" t="s">
        <v>473</v>
      </c>
      <c r="AC1567" s="10">
        <v>3</v>
      </c>
      <c r="AD1567" s="10">
        <v>11</v>
      </c>
      <c r="AE1567" t="s">
        <v>473</v>
      </c>
    </row>
    <row r="1568" spans="1:31" x14ac:dyDescent="0.25">
      <c r="A1568">
        <v>7476</v>
      </c>
      <c r="B1568">
        <v>1964</v>
      </c>
      <c r="C1568" t="s">
        <v>36</v>
      </c>
      <c r="D1568" t="s">
        <v>30</v>
      </c>
      <c r="E1568" t="str">
        <f>IF(OR(Table1[[#This Row],[marital_status]]="Married", Table1[[#This Row],[marital_status]]="Together"), "Partnered", "Single")</f>
        <v>Single</v>
      </c>
      <c r="F1568" s="7">
        <v>63972</v>
      </c>
      <c r="G1568" s="8">
        <v>0</v>
      </c>
      <c r="H1568" s="8">
        <v>1</v>
      </c>
      <c r="I1568" s="8">
        <f>Table1[[#This Row],[kids]]+Table1[[#This Row],[teens]]</f>
        <v>1</v>
      </c>
      <c r="J1568" s="9">
        <v>41245</v>
      </c>
      <c r="K1568" s="8">
        <v>93</v>
      </c>
      <c r="L1568" s="6">
        <v>928</v>
      </c>
      <c r="M1568" s="5">
        <v>63</v>
      </c>
      <c r="N1568" s="5">
        <v>254</v>
      </c>
      <c r="O1568" s="5">
        <v>0</v>
      </c>
      <c r="P1568" s="5">
        <v>12</v>
      </c>
      <c r="Q1568" s="5">
        <v>12</v>
      </c>
      <c r="R1568" s="8">
        <v>4</v>
      </c>
      <c r="S1568" s="8">
        <v>5</v>
      </c>
      <c r="T1568" s="8">
        <v>4</v>
      </c>
      <c r="U1568" s="8">
        <v>10</v>
      </c>
      <c r="V1568" s="8">
        <v>4</v>
      </c>
      <c r="W1568" t="s">
        <v>473</v>
      </c>
      <c r="X1568" t="s">
        <v>474</v>
      </c>
      <c r="Y1568" t="s">
        <v>473</v>
      </c>
      <c r="Z1568" t="s">
        <v>473</v>
      </c>
      <c r="AA1568" t="s">
        <v>473</v>
      </c>
      <c r="AB1568" t="s">
        <v>473</v>
      </c>
      <c r="AC1568" s="10">
        <v>3</v>
      </c>
      <c r="AD1568" s="10">
        <v>11</v>
      </c>
      <c r="AE1568" t="s">
        <v>473</v>
      </c>
    </row>
    <row r="1569" spans="1:31" x14ac:dyDescent="0.25">
      <c r="A1569">
        <v>4390</v>
      </c>
      <c r="B1569">
        <v>1954</v>
      </c>
      <c r="C1569" t="s">
        <v>466</v>
      </c>
      <c r="D1569" t="s">
        <v>31</v>
      </c>
      <c r="E1569" t="str">
        <f>IF(OR(Table1[[#This Row],[marital_status]]="Married", Table1[[#This Row],[marital_status]]="Together"), "Partnered", "Single")</f>
        <v>Partnered</v>
      </c>
      <c r="F1569" s="7">
        <v>75315</v>
      </c>
      <c r="G1569" s="8">
        <v>0</v>
      </c>
      <c r="H1569" s="8">
        <v>1</v>
      </c>
      <c r="I1569" s="8">
        <f>Table1[[#This Row],[kids]]+Table1[[#This Row],[teens]]</f>
        <v>1</v>
      </c>
      <c r="J1569" s="9">
        <v>41744</v>
      </c>
      <c r="K1569" s="8">
        <v>14</v>
      </c>
      <c r="L1569" s="6">
        <v>459</v>
      </c>
      <c r="M1569" s="5">
        <v>15</v>
      </c>
      <c r="N1569" s="5">
        <v>171</v>
      </c>
      <c r="O1569" s="5">
        <v>142</v>
      </c>
      <c r="P1569" s="5">
        <v>23</v>
      </c>
      <c r="Q1569" s="5">
        <v>31</v>
      </c>
      <c r="R1569" s="8">
        <v>2</v>
      </c>
      <c r="S1569" s="8">
        <v>5</v>
      </c>
      <c r="T1569" s="8">
        <v>4</v>
      </c>
      <c r="U1569" s="8">
        <v>12</v>
      </c>
      <c r="V1569" s="8">
        <v>2</v>
      </c>
      <c r="W1569" t="s">
        <v>473</v>
      </c>
      <c r="X1569" t="s">
        <v>473</v>
      </c>
      <c r="Y1569" t="s">
        <v>473</v>
      </c>
      <c r="Z1569" t="s">
        <v>473</v>
      </c>
      <c r="AA1569" t="s">
        <v>473</v>
      </c>
      <c r="AB1569" t="s">
        <v>473</v>
      </c>
      <c r="AC1569" s="10">
        <v>3</v>
      </c>
      <c r="AD1569" s="10">
        <v>11</v>
      </c>
      <c r="AE1569" t="s">
        <v>473</v>
      </c>
    </row>
    <row r="1570" spans="1:31" x14ac:dyDescent="0.25">
      <c r="A1570">
        <v>10478</v>
      </c>
      <c r="B1570">
        <v>1950</v>
      </c>
      <c r="C1570" t="s">
        <v>33</v>
      </c>
      <c r="D1570" t="s">
        <v>34</v>
      </c>
      <c r="E1570" t="str">
        <f>IF(OR(Table1[[#This Row],[marital_status]]="Married", Table1[[#This Row],[marital_status]]="Together"), "Partnered", "Single")</f>
        <v>Partnered</v>
      </c>
      <c r="F1570" s="7">
        <v>55517</v>
      </c>
      <c r="G1570" s="8">
        <v>1</v>
      </c>
      <c r="H1570" s="8">
        <v>1</v>
      </c>
      <c r="I1570" s="8">
        <f>Table1[[#This Row],[kids]]+Table1[[#This Row],[teens]]</f>
        <v>2</v>
      </c>
      <c r="J1570" s="9">
        <v>41179</v>
      </c>
      <c r="K1570" s="8">
        <v>53</v>
      </c>
      <c r="L1570" s="6">
        <v>483</v>
      </c>
      <c r="M1570" s="5">
        <v>0</v>
      </c>
      <c r="N1570" s="5">
        <v>108</v>
      </c>
      <c r="O1570" s="5">
        <v>0</v>
      </c>
      <c r="P1570" s="5">
        <v>6</v>
      </c>
      <c r="Q1570" s="5">
        <v>36</v>
      </c>
      <c r="R1570" s="8">
        <v>5</v>
      </c>
      <c r="S1570" s="8">
        <v>11</v>
      </c>
      <c r="T1570" s="8">
        <v>1</v>
      </c>
      <c r="U1570" s="8">
        <v>6</v>
      </c>
      <c r="V1570" s="8">
        <v>9</v>
      </c>
      <c r="W1570" t="s">
        <v>473</v>
      </c>
      <c r="X1570" t="s">
        <v>473</v>
      </c>
      <c r="Y1570" t="s">
        <v>473</v>
      </c>
      <c r="Z1570" t="s">
        <v>473</v>
      </c>
      <c r="AA1570" t="s">
        <v>473</v>
      </c>
      <c r="AB1570" t="s">
        <v>473</v>
      </c>
      <c r="AC1570" s="10">
        <v>3</v>
      </c>
      <c r="AD1570" s="10">
        <v>11</v>
      </c>
      <c r="AE1570" t="s">
        <v>474</v>
      </c>
    </row>
    <row r="1571" spans="1:31" x14ac:dyDescent="0.25">
      <c r="A1571">
        <v>1081</v>
      </c>
      <c r="B1571">
        <v>1957</v>
      </c>
      <c r="C1571" t="s">
        <v>33</v>
      </c>
      <c r="D1571" t="s">
        <v>34</v>
      </c>
      <c r="E1571" t="str">
        <f>IF(OR(Table1[[#This Row],[marital_status]]="Married", Table1[[#This Row],[marital_status]]="Together"), "Partnered", "Single")</f>
        <v>Partnered</v>
      </c>
      <c r="F1571" s="7">
        <v>75283</v>
      </c>
      <c r="G1571" s="8">
        <v>1</v>
      </c>
      <c r="H1571" s="8">
        <v>2</v>
      </c>
      <c r="I1571" s="8">
        <f>Table1[[#This Row],[kids]]+Table1[[#This Row],[teens]]</f>
        <v>3</v>
      </c>
      <c r="J1571" s="9">
        <v>41360</v>
      </c>
      <c r="K1571" s="8">
        <v>26</v>
      </c>
      <c r="L1571" s="6">
        <v>733</v>
      </c>
      <c r="M1571" s="5">
        <v>9</v>
      </c>
      <c r="N1571" s="5">
        <v>180</v>
      </c>
      <c r="O1571" s="5">
        <v>12</v>
      </c>
      <c r="P1571" s="5">
        <v>19</v>
      </c>
      <c r="Q1571" s="5">
        <v>66</v>
      </c>
      <c r="R1571" s="8">
        <v>11</v>
      </c>
      <c r="S1571" s="8">
        <v>6</v>
      </c>
      <c r="T1571" s="8">
        <v>3</v>
      </c>
      <c r="U1571" s="8">
        <v>5</v>
      </c>
      <c r="V1571" s="8">
        <v>4</v>
      </c>
      <c r="W1571" t="s">
        <v>473</v>
      </c>
      <c r="X1571" t="s">
        <v>473</v>
      </c>
      <c r="Y1571" t="s">
        <v>473</v>
      </c>
      <c r="Z1571" t="s">
        <v>473</v>
      </c>
      <c r="AA1571" t="s">
        <v>473</v>
      </c>
      <c r="AB1571" t="s">
        <v>473</v>
      </c>
      <c r="AC1571" s="10">
        <v>3</v>
      </c>
      <c r="AD1571" s="10">
        <v>11</v>
      </c>
      <c r="AE1571" t="s">
        <v>473</v>
      </c>
    </row>
    <row r="1572" spans="1:31" x14ac:dyDescent="0.25">
      <c r="A1572">
        <v>4261</v>
      </c>
      <c r="B1572">
        <v>1946</v>
      </c>
      <c r="C1572" t="s">
        <v>33</v>
      </c>
      <c r="D1572" t="s">
        <v>30</v>
      </c>
      <c r="E1572" t="str">
        <f>IF(OR(Table1[[#This Row],[marital_status]]="Married", Table1[[#This Row],[marital_status]]="Together"), "Partnered", "Single")</f>
        <v>Single</v>
      </c>
      <c r="F1572" s="7">
        <v>82800</v>
      </c>
      <c r="G1572" s="8">
        <v>0</v>
      </c>
      <c r="H1572" s="8">
        <v>0</v>
      </c>
      <c r="I1572" s="8">
        <f>Table1[[#This Row],[kids]]+Table1[[#This Row],[teens]]</f>
        <v>0</v>
      </c>
      <c r="J1572" s="9">
        <v>41237</v>
      </c>
      <c r="K1572" s="8">
        <v>23</v>
      </c>
      <c r="L1572" s="6">
        <v>1006</v>
      </c>
      <c r="M1572" s="5">
        <v>22</v>
      </c>
      <c r="N1572" s="5">
        <v>115</v>
      </c>
      <c r="O1572" s="5">
        <v>59</v>
      </c>
      <c r="P1572" s="5">
        <v>68</v>
      </c>
      <c r="Q1572" s="5">
        <v>45</v>
      </c>
      <c r="R1572" s="8">
        <v>1</v>
      </c>
      <c r="S1572" s="8">
        <v>7</v>
      </c>
      <c r="T1572" s="8">
        <v>6</v>
      </c>
      <c r="U1572" s="8">
        <v>12</v>
      </c>
      <c r="V1572" s="8">
        <v>3</v>
      </c>
      <c r="W1572" t="s">
        <v>473</v>
      </c>
      <c r="X1572" t="s">
        <v>473</v>
      </c>
      <c r="Y1572" t="s">
        <v>474</v>
      </c>
      <c r="Z1572" t="s">
        <v>474</v>
      </c>
      <c r="AA1572" t="s">
        <v>473</v>
      </c>
      <c r="AB1572" t="s">
        <v>473</v>
      </c>
      <c r="AC1572" s="10">
        <v>3</v>
      </c>
      <c r="AD1572" s="10">
        <v>11</v>
      </c>
      <c r="AE1572" t="s">
        <v>474</v>
      </c>
    </row>
    <row r="1573" spans="1:31" x14ac:dyDescent="0.25">
      <c r="A1573">
        <v>9916</v>
      </c>
      <c r="B1573">
        <v>1954</v>
      </c>
      <c r="C1573" t="s">
        <v>466</v>
      </c>
      <c r="D1573" t="s">
        <v>34</v>
      </c>
      <c r="E1573" t="str">
        <f>IF(OR(Table1[[#This Row],[marital_status]]="Married", Table1[[#This Row],[marital_status]]="Together"), "Partnered", "Single")</f>
        <v>Partnered</v>
      </c>
      <c r="F1573" s="7">
        <v>38998</v>
      </c>
      <c r="G1573" s="8">
        <v>1</v>
      </c>
      <c r="H1573" s="8">
        <v>1</v>
      </c>
      <c r="I1573" s="8">
        <f>Table1[[#This Row],[kids]]+Table1[[#This Row],[teens]]</f>
        <v>2</v>
      </c>
      <c r="J1573" s="9">
        <v>41216</v>
      </c>
      <c r="K1573" s="8">
        <v>92</v>
      </c>
      <c r="L1573" s="6">
        <v>34</v>
      </c>
      <c r="M1573" s="5">
        <v>1</v>
      </c>
      <c r="N1573" s="5">
        <v>14</v>
      </c>
      <c r="O1573" s="5">
        <v>0</v>
      </c>
      <c r="P1573" s="5">
        <v>0</v>
      </c>
      <c r="Q1573" s="5">
        <v>5</v>
      </c>
      <c r="R1573" s="8">
        <v>3</v>
      </c>
      <c r="S1573" s="8">
        <v>2</v>
      </c>
      <c r="T1573" s="8">
        <v>0</v>
      </c>
      <c r="U1573" s="8">
        <v>3</v>
      </c>
      <c r="V1573" s="8">
        <v>8</v>
      </c>
      <c r="W1573" t="s">
        <v>473</v>
      </c>
      <c r="X1573" t="s">
        <v>473</v>
      </c>
      <c r="Y1573" t="s">
        <v>473</v>
      </c>
      <c r="Z1573" t="s">
        <v>473</v>
      </c>
      <c r="AA1573" t="s">
        <v>473</v>
      </c>
      <c r="AB1573" t="s">
        <v>474</v>
      </c>
      <c r="AC1573" s="10">
        <v>3</v>
      </c>
      <c r="AD1573" s="10">
        <v>11</v>
      </c>
      <c r="AE1573" t="s">
        <v>473</v>
      </c>
    </row>
    <row r="1574" spans="1:31" x14ac:dyDescent="0.25">
      <c r="A1574">
        <v>5350</v>
      </c>
      <c r="B1574">
        <v>1991</v>
      </c>
      <c r="C1574" t="s">
        <v>36</v>
      </c>
      <c r="D1574" t="s">
        <v>30</v>
      </c>
      <c r="E1574" t="str">
        <f>IF(OR(Table1[[#This Row],[marital_status]]="Married", Table1[[#This Row],[marital_status]]="Together"), "Partnered", "Single")</f>
        <v>Single</v>
      </c>
      <c r="F1574" s="7">
        <v>90638</v>
      </c>
      <c r="G1574" s="8">
        <v>0</v>
      </c>
      <c r="H1574" s="8">
        <v>0</v>
      </c>
      <c r="I1574" s="8">
        <f>Table1[[#This Row],[kids]]+Table1[[#This Row],[teens]]</f>
        <v>0</v>
      </c>
      <c r="J1574" s="9">
        <v>41683</v>
      </c>
      <c r="K1574" s="8">
        <v>29</v>
      </c>
      <c r="L1574" s="6">
        <v>1156</v>
      </c>
      <c r="M1574" s="5">
        <v>120</v>
      </c>
      <c r="N1574" s="5">
        <v>915</v>
      </c>
      <c r="O1574" s="5">
        <v>94</v>
      </c>
      <c r="P1574" s="5">
        <v>144</v>
      </c>
      <c r="Q1574" s="5">
        <v>96</v>
      </c>
      <c r="R1574" s="8">
        <v>1</v>
      </c>
      <c r="S1574" s="8">
        <v>3</v>
      </c>
      <c r="T1574" s="8">
        <v>4</v>
      </c>
      <c r="U1574" s="8">
        <v>10</v>
      </c>
      <c r="V1574" s="8">
        <v>1</v>
      </c>
      <c r="W1574" t="s">
        <v>473</v>
      </c>
      <c r="X1574" t="s">
        <v>473</v>
      </c>
      <c r="Y1574" t="s">
        <v>474</v>
      </c>
      <c r="Z1574" t="s">
        <v>473</v>
      </c>
      <c r="AA1574" t="s">
        <v>473</v>
      </c>
      <c r="AB1574" t="s">
        <v>473</v>
      </c>
      <c r="AC1574" s="10">
        <v>3</v>
      </c>
      <c r="AD1574" s="10">
        <v>11</v>
      </c>
      <c r="AE1574" t="s">
        <v>474</v>
      </c>
    </row>
    <row r="1575" spans="1:31" x14ac:dyDescent="0.25">
      <c r="A1575">
        <v>8135</v>
      </c>
      <c r="B1575">
        <v>1986</v>
      </c>
      <c r="C1575" t="s">
        <v>36</v>
      </c>
      <c r="D1575" t="s">
        <v>34</v>
      </c>
      <c r="E1575" t="str">
        <f>IF(OR(Table1[[#This Row],[marital_status]]="Married", Table1[[#This Row],[marital_status]]="Together"), "Partnered", "Single")</f>
        <v>Partnered</v>
      </c>
      <c r="F1575" s="7">
        <v>27161</v>
      </c>
      <c r="G1575" s="8">
        <v>1</v>
      </c>
      <c r="H1575" s="8">
        <v>0</v>
      </c>
      <c r="I1575" s="8">
        <f>Table1[[#This Row],[kids]]+Table1[[#This Row],[teens]]</f>
        <v>1</v>
      </c>
      <c r="J1575" s="9">
        <v>41575</v>
      </c>
      <c r="K1575" s="8">
        <v>41</v>
      </c>
      <c r="L1575" s="6">
        <v>7</v>
      </c>
      <c r="M1575" s="5">
        <v>4</v>
      </c>
      <c r="N1575" s="5">
        <v>23</v>
      </c>
      <c r="O1575" s="5">
        <v>7</v>
      </c>
      <c r="P1575" s="5">
        <v>0</v>
      </c>
      <c r="Q1575" s="5">
        <v>11</v>
      </c>
      <c r="R1575" s="8">
        <v>1</v>
      </c>
      <c r="S1575" s="8">
        <v>1</v>
      </c>
      <c r="T1575" s="8">
        <v>0</v>
      </c>
      <c r="U1575" s="8">
        <v>3</v>
      </c>
      <c r="V1575" s="8">
        <v>7</v>
      </c>
      <c r="W1575" t="s">
        <v>473</v>
      </c>
      <c r="X1575" t="s">
        <v>473</v>
      </c>
      <c r="Y1575" t="s">
        <v>473</v>
      </c>
      <c r="Z1575" t="s">
        <v>473</v>
      </c>
      <c r="AA1575" t="s">
        <v>473</v>
      </c>
      <c r="AB1575" t="s">
        <v>473</v>
      </c>
      <c r="AC1575" s="10">
        <v>3</v>
      </c>
      <c r="AD1575" s="10">
        <v>11</v>
      </c>
      <c r="AE1575" t="s">
        <v>473</v>
      </c>
    </row>
    <row r="1576" spans="1:31" x14ac:dyDescent="0.25">
      <c r="A1576">
        <v>8685</v>
      </c>
      <c r="B1576">
        <v>1977</v>
      </c>
      <c r="C1576" t="s">
        <v>466</v>
      </c>
      <c r="D1576" t="s">
        <v>34</v>
      </c>
      <c r="E1576" t="str">
        <f>IF(OR(Table1[[#This Row],[marital_status]]="Married", Table1[[#This Row],[marital_status]]="Together"), "Partnered", "Single")</f>
        <v>Partnered</v>
      </c>
      <c r="F1576" s="7">
        <v>42014</v>
      </c>
      <c r="G1576" s="8">
        <v>1</v>
      </c>
      <c r="H1576" s="8">
        <v>0</v>
      </c>
      <c r="I1576" s="8">
        <f>Table1[[#This Row],[kids]]+Table1[[#This Row],[teens]]</f>
        <v>1</v>
      </c>
      <c r="J1576" s="9">
        <v>41138</v>
      </c>
      <c r="K1576" s="8">
        <v>56</v>
      </c>
      <c r="L1576" s="6">
        <v>244</v>
      </c>
      <c r="M1576" s="5">
        <v>15</v>
      </c>
      <c r="N1576" s="5">
        <v>108</v>
      </c>
      <c r="O1576" s="5">
        <v>4</v>
      </c>
      <c r="P1576" s="5">
        <v>15</v>
      </c>
      <c r="Q1576" s="5">
        <v>50</v>
      </c>
      <c r="R1576" s="8">
        <v>6</v>
      </c>
      <c r="S1576" s="8">
        <v>7</v>
      </c>
      <c r="T1576" s="8">
        <v>1</v>
      </c>
      <c r="U1576" s="8">
        <v>6</v>
      </c>
      <c r="V1576" s="8">
        <v>8</v>
      </c>
      <c r="W1576" t="s">
        <v>473</v>
      </c>
      <c r="X1576" t="s">
        <v>473</v>
      </c>
      <c r="Y1576" t="s">
        <v>473</v>
      </c>
      <c r="Z1576" t="s">
        <v>473</v>
      </c>
      <c r="AA1576" t="s">
        <v>473</v>
      </c>
      <c r="AB1576" t="s">
        <v>473</v>
      </c>
      <c r="AC1576" s="10">
        <v>3</v>
      </c>
      <c r="AD1576" s="10">
        <v>11</v>
      </c>
      <c r="AE1576" t="s">
        <v>474</v>
      </c>
    </row>
    <row r="1577" spans="1:31" x14ac:dyDescent="0.25">
      <c r="A1577">
        <v>4967</v>
      </c>
      <c r="B1577">
        <v>1960</v>
      </c>
      <c r="C1577" t="s">
        <v>33</v>
      </c>
      <c r="D1577" t="s">
        <v>31</v>
      </c>
      <c r="E1577" t="str">
        <f>IF(OR(Table1[[#This Row],[marital_status]]="Married", Table1[[#This Row],[marital_status]]="Together"), "Partnered", "Single")</f>
        <v>Partnered</v>
      </c>
      <c r="F1577" s="7">
        <v>38201</v>
      </c>
      <c r="G1577" s="8">
        <v>0</v>
      </c>
      <c r="H1577" s="8">
        <v>1</v>
      </c>
      <c r="I1577" s="8">
        <f>Table1[[#This Row],[kids]]+Table1[[#This Row],[teens]]</f>
        <v>1</v>
      </c>
      <c r="J1577" s="9">
        <v>41362</v>
      </c>
      <c r="K1577" s="8">
        <v>19</v>
      </c>
      <c r="L1577" s="6">
        <v>233</v>
      </c>
      <c r="M1577" s="5">
        <v>0</v>
      </c>
      <c r="N1577" s="5">
        <v>23</v>
      </c>
      <c r="O1577" s="5">
        <v>0</v>
      </c>
      <c r="P1577" s="5">
        <v>0</v>
      </c>
      <c r="Q1577" s="5">
        <v>12</v>
      </c>
      <c r="R1577" s="8">
        <v>4</v>
      </c>
      <c r="S1577" s="8">
        <v>5</v>
      </c>
      <c r="T1577" s="8">
        <v>1</v>
      </c>
      <c r="U1577" s="8">
        <v>5</v>
      </c>
      <c r="V1577" s="8">
        <v>8</v>
      </c>
      <c r="W1577" t="s">
        <v>473</v>
      </c>
      <c r="X1577" t="s">
        <v>473</v>
      </c>
      <c r="Y1577" t="s">
        <v>473</v>
      </c>
      <c r="Z1577" t="s">
        <v>473</v>
      </c>
      <c r="AA1577" t="s">
        <v>473</v>
      </c>
      <c r="AB1577" t="s">
        <v>473</v>
      </c>
      <c r="AC1577" s="10">
        <v>3</v>
      </c>
      <c r="AD1577" s="10">
        <v>11</v>
      </c>
      <c r="AE1577" t="s">
        <v>473</v>
      </c>
    </row>
    <row r="1578" spans="1:31" x14ac:dyDescent="0.25">
      <c r="A1578">
        <v>2130</v>
      </c>
      <c r="B1578">
        <v>1982</v>
      </c>
      <c r="C1578" t="s">
        <v>466</v>
      </c>
      <c r="D1578" t="s">
        <v>31</v>
      </c>
      <c r="E1578" t="str">
        <f>IF(OR(Table1[[#This Row],[marital_status]]="Married", Table1[[#This Row],[marital_status]]="Together"), "Partnered", "Single")</f>
        <v>Partnered</v>
      </c>
      <c r="F1578" s="7">
        <v>45203</v>
      </c>
      <c r="G1578" s="8">
        <v>2</v>
      </c>
      <c r="H1578" s="8">
        <v>0</v>
      </c>
      <c r="I1578" s="8">
        <f>Table1[[#This Row],[kids]]+Table1[[#This Row],[teens]]</f>
        <v>2</v>
      </c>
      <c r="J1578" s="9">
        <v>41721</v>
      </c>
      <c r="K1578" s="8">
        <v>4</v>
      </c>
      <c r="L1578" s="6">
        <v>35</v>
      </c>
      <c r="M1578" s="5">
        <v>3</v>
      </c>
      <c r="N1578" s="5">
        <v>67</v>
      </c>
      <c r="O1578" s="5">
        <v>10</v>
      </c>
      <c r="P1578" s="5">
        <v>8</v>
      </c>
      <c r="Q1578" s="5">
        <v>24</v>
      </c>
      <c r="R1578" s="8">
        <v>1</v>
      </c>
      <c r="S1578" s="8">
        <v>3</v>
      </c>
      <c r="T1578" s="8">
        <v>1</v>
      </c>
      <c r="U1578" s="8">
        <v>3</v>
      </c>
      <c r="V1578" s="8">
        <v>6</v>
      </c>
      <c r="W1578" t="s">
        <v>473</v>
      </c>
      <c r="X1578" t="s">
        <v>473</v>
      </c>
      <c r="Y1578" t="s">
        <v>473</v>
      </c>
      <c r="Z1578" t="s">
        <v>473</v>
      </c>
      <c r="AA1578" t="s">
        <v>473</v>
      </c>
      <c r="AB1578" t="s">
        <v>473</v>
      </c>
      <c r="AC1578" s="10">
        <v>3</v>
      </c>
      <c r="AD1578" s="10">
        <v>11</v>
      </c>
      <c r="AE1578" t="s">
        <v>474</v>
      </c>
    </row>
    <row r="1579" spans="1:31" x14ac:dyDescent="0.25">
      <c r="A1579">
        <v>9298</v>
      </c>
      <c r="B1579">
        <v>1947</v>
      </c>
      <c r="C1579" t="s">
        <v>33</v>
      </c>
      <c r="D1579" t="s">
        <v>31</v>
      </c>
      <c r="E1579" t="str">
        <f>IF(OR(Table1[[#This Row],[marital_status]]="Married", Table1[[#This Row],[marital_status]]="Together"), "Partnered", "Single")</f>
        <v>Partnered</v>
      </c>
      <c r="F1579" s="7">
        <v>81574</v>
      </c>
      <c r="G1579" s="8">
        <v>0</v>
      </c>
      <c r="H1579" s="8">
        <v>0</v>
      </c>
      <c r="I1579" s="8">
        <f>Table1[[#This Row],[kids]]+Table1[[#This Row],[teens]]</f>
        <v>0</v>
      </c>
      <c r="J1579" s="9">
        <v>41757</v>
      </c>
      <c r="K1579" s="8">
        <v>89</v>
      </c>
      <c r="L1579" s="6">
        <v>1252</v>
      </c>
      <c r="M1579" s="5">
        <v>0</v>
      </c>
      <c r="N1579" s="5">
        <v>465</v>
      </c>
      <c r="O1579" s="5">
        <v>46</v>
      </c>
      <c r="P1579" s="5">
        <v>35</v>
      </c>
      <c r="Q1579" s="5">
        <v>0</v>
      </c>
      <c r="R1579" s="8">
        <v>1</v>
      </c>
      <c r="S1579" s="8">
        <v>4</v>
      </c>
      <c r="T1579" s="8">
        <v>5</v>
      </c>
      <c r="U1579" s="8">
        <v>8</v>
      </c>
      <c r="V1579" s="8">
        <v>1</v>
      </c>
      <c r="W1579" t="s">
        <v>473</v>
      </c>
      <c r="X1579" t="s">
        <v>474</v>
      </c>
      <c r="Y1579" t="s">
        <v>474</v>
      </c>
      <c r="Z1579" t="s">
        <v>473</v>
      </c>
      <c r="AA1579" t="s">
        <v>473</v>
      </c>
      <c r="AB1579" t="s">
        <v>473</v>
      </c>
      <c r="AC1579" s="10">
        <v>3</v>
      </c>
      <c r="AD1579" s="10">
        <v>11</v>
      </c>
      <c r="AE1579" t="s">
        <v>473</v>
      </c>
    </row>
    <row r="1580" spans="1:31" x14ac:dyDescent="0.25">
      <c r="A1580">
        <v>8175</v>
      </c>
      <c r="B1580">
        <v>1992</v>
      </c>
      <c r="C1580" t="s">
        <v>466</v>
      </c>
      <c r="D1580" t="s">
        <v>34</v>
      </c>
      <c r="E1580" t="str">
        <f>IF(OR(Table1[[#This Row],[marital_status]]="Married", Table1[[#This Row],[marital_status]]="Together"), "Partnered", "Single")</f>
        <v>Partnered</v>
      </c>
      <c r="F1580" s="7">
        <v>34935</v>
      </c>
      <c r="G1580" s="8">
        <v>0</v>
      </c>
      <c r="H1580" s="8">
        <v>0</v>
      </c>
      <c r="I1580" s="8">
        <f>Table1[[#This Row],[kids]]+Table1[[#This Row],[teens]]</f>
        <v>0</v>
      </c>
      <c r="J1580" s="9">
        <v>41446</v>
      </c>
      <c r="K1580" s="8">
        <v>71</v>
      </c>
      <c r="L1580" s="6">
        <v>34</v>
      </c>
      <c r="M1580" s="5">
        <v>4</v>
      </c>
      <c r="N1580" s="5">
        <v>66</v>
      </c>
      <c r="O1580" s="5">
        <v>3</v>
      </c>
      <c r="P1580" s="5">
        <v>10</v>
      </c>
      <c r="Q1580" s="5">
        <v>20</v>
      </c>
      <c r="R1580" s="8">
        <v>1</v>
      </c>
      <c r="S1580" s="8">
        <v>2</v>
      </c>
      <c r="T1580" s="8">
        <v>1</v>
      </c>
      <c r="U1580" s="8">
        <v>4</v>
      </c>
      <c r="V1580" s="8">
        <v>7</v>
      </c>
      <c r="W1580" t="s">
        <v>473</v>
      </c>
      <c r="X1580" t="s">
        <v>473</v>
      </c>
      <c r="Y1580" t="s">
        <v>473</v>
      </c>
      <c r="Z1580" t="s">
        <v>473</v>
      </c>
      <c r="AA1580" t="s">
        <v>473</v>
      </c>
      <c r="AB1580" t="s">
        <v>473</v>
      </c>
      <c r="AC1580" s="10">
        <v>3</v>
      </c>
      <c r="AD1580" s="10">
        <v>11</v>
      </c>
      <c r="AE1580" t="s">
        <v>473</v>
      </c>
    </row>
    <row r="1581" spans="1:31" x14ac:dyDescent="0.25">
      <c r="A1581">
        <v>6257</v>
      </c>
      <c r="B1581">
        <v>1976</v>
      </c>
      <c r="C1581" t="s">
        <v>36</v>
      </c>
      <c r="D1581" t="s">
        <v>30</v>
      </c>
      <c r="E1581" t="str">
        <f>IF(OR(Table1[[#This Row],[marital_status]]="Married", Table1[[#This Row],[marital_status]]="Together"), "Partnered", "Single")</f>
        <v>Single</v>
      </c>
      <c r="F1581" s="7">
        <v>60482</v>
      </c>
      <c r="G1581" s="8">
        <v>0</v>
      </c>
      <c r="H1581" s="8">
        <v>1</v>
      </c>
      <c r="I1581" s="8">
        <f>Table1[[#This Row],[kids]]+Table1[[#This Row],[teens]]</f>
        <v>1</v>
      </c>
      <c r="J1581" s="9">
        <v>41297</v>
      </c>
      <c r="K1581" s="8">
        <v>81</v>
      </c>
      <c r="L1581" s="6">
        <v>255</v>
      </c>
      <c r="M1581" s="5">
        <v>43</v>
      </c>
      <c r="N1581" s="5">
        <v>134</v>
      </c>
      <c r="O1581" s="5">
        <v>37</v>
      </c>
      <c r="P1581" s="5">
        <v>14</v>
      </c>
      <c r="Q1581" s="5">
        <v>24</v>
      </c>
      <c r="R1581" s="8">
        <v>1</v>
      </c>
      <c r="S1581" s="8">
        <v>7</v>
      </c>
      <c r="T1581" s="8">
        <v>2</v>
      </c>
      <c r="U1581" s="8">
        <v>7</v>
      </c>
      <c r="V1581" s="8">
        <v>7</v>
      </c>
      <c r="W1581" t="s">
        <v>473</v>
      </c>
      <c r="X1581" t="s">
        <v>473</v>
      </c>
      <c r="Y1581" t="s">
        <v>473</v>
      </c>
      <c r="Z1581" t="s">
        <v>473</v>
      </c>
      <c r="AA1581" t="s">
        <v>473</v>
      </c>
      <c r="AB1581" t="s">
        <v>473</v>
      </c>
      <c r="AC1581" s="10">
        <v>3</v>
      </c>
      <c r="AD1581" s="10">
        <v>11</v>
      </c>
      <c r="AE1581" t="s">
        <v>473</v>
      </c>
    </row>
    <row r="1582" spans="1:31" x14ac:dyDescent="0.25">
      <c r="A1582">
        <v>3790</v>
      </c>
      <c r="B1582">
        <v>1956</v>
      </c>
      <c r="C1582" t="s">
        <v>466</v>
      </c>
      <c r="D1582" t="s">
        <v>31</v>
      </c>
      <c r="E1582" t="str">
        <f>IF(OR(Table1[[#This Row],[marital_status]]="Married", Table1[[#This Row],[marital_status]]="Together"), "Partnered", "Single")</f>
        <v>Partnered</v>
      </c>
      <c r="F1582" s="7">
        <v>34633</v>
      </c>
      <c r="G1582" s="8">
        <v>2</v>
      </c>
      <c r="H1582" s="8">
        <v>1</v>
      </c>
      <c r="I1582" s="8">
        <f>Table1[[#This Row],[kids]]+Table1[[#This Row],[teens]]</f>
        <v>3</v>
      </c>
      <c r="J1582" s="9">
        <v>41662</v>
      </c>
      <c r="K1582" s="8">
        <v>31</v>
      </c>
      <c r="L1582" s="6">
        <v>8</v>
      </c>
      <c r="M1582" s="5">
        <v>1</v>
      </c>
      <c r="N1582" s="5">
        <v>5</v>
      </c>
      <c r="O1582" s="5">
        <v>0</v>
      </c>
      <c r="P1582" s="5">
        <v>0</v>
      </c>
      <c r="Q1582" s="5">
        <v>1</v>
      </c>
      <c r="R1582" s="8">
        <v>1</v>
      </c>
      <c r="S1582" s="8">
        <v>1</v>
      </c>
      <c r="T1582" s="8">
        <v>0</v>
      </c>
      <c r="U1582" s="8">
        <v>2</v>
      </c>
      <c r="V1582" s="8">
        <v>6</v>
      </c>
      <c r="W1582" t="s">
        <v>473</v>
      </c>
      <c r="X1582" t="s">
        <v>473</v>
      </c>
      <c r="Y1582" t="s">
        <v>473</v>
      </c>
      <c r="Z1582" t="s">
        <v>473</v>
      </c>
      <c r="AA1582" t="s">
        <v>473</v>
      </c>
      <c r="AB1582" t="s">
        <v>473</v>
      </c>
      <c r="AC1582" s="10">
        <v>3</v>
      </c>
      <c r="AD1582" s="10">
        <v>11</v>
      </c>
      <c r="AE1582" t="s">
        <v>473</v>
      </c>
    </row>
    <row r="1583" spans="1:31" x14ac:dyDescent="0.25">
      <c r="A1583">
        <v>9952</v>
      </c>
      <c r="B1583">
        <v>1947</v>
      </c>
      <c r="C1583" t="s">
        <v>36</v>
      </c>
      <c r="D1583" t="s">
        <v>31</v>
      </c>
      <c r="E1583" t="str">
        <f>IF(OR(Table1[[#This Row],[marital_status]]="Married", Table1[[#This Row],[marital_status]]="Together"), "Partnered", "Single")</f>
        <v>Partnered</v>
      </c>
      <c r="F1583" s="7">
        <v>78093</v>
      </c>
      <c r="G1583" s="8">
        <v>0</v>
      </c>
      <c r="H1583" s="8">
        <v>0</v>
      </c>
      <c r="I1583" s="8">
        <f>Table1[[#This Row],[kids]]+Table1[[#This Row],[teens]]</f>
        <v>0</v>
      </c>
      <c r="J1583" s="9">
        <v>41619</v>
      </c>
      <c r="K1583" s="8">
        <v>53</v>
      </c>
      <c r="L1583" s="6">
        <v>368</v>
      </c>
      <c r="M1583" s="5">
        <v>32</v>
      </c>
      <c r="N1583" s="5">
        <v>639</v>
      </c>
      <c r="O1583" s="5">
        <v>13</v>
      </c>
      <c r="P1583" s="5">
        <v>43</v>
      </c>
      <c r="Q1583" s="5">
        <v>10</v>
      </c>
      <c r="R1583" s="8">
        <v>1</v>
      </c>
      <c r="S1583" s="8">
        <v>4</v>
      </c>
      <c r="T1583" s="8">
        <v>7</v>
      </c>
      <c r="U1583" s="8">
        <v>5</v>
      </c>
      <c r="V1583" s="8">
        <v>1</v>
      </c>
      <c r="W1583" t="s">
        <v>473</v>
      </c>
      <c r="X1583" t="s">
        <v>473</v>
      </c>
      <c r="Y1583" t="s">
        <v>473</v>
      </c>
      <c r="Z1583" t="s">
        <v>473</v>
      </c>
      <c r="AA1583" t="s">
        <v>473</v>
      </c>
      <c r="AB1583" t="s">
        <v>473</v>
      </c>
      <c r="AC1583" s="10">
        <v>3</v>
      </c>
      <c r="AD1583" s="10">
        <v>11</v>
      </c>
      <c r="AE1583" t="s">
        <v>473</v>
      </c>
    </row>
    <row r="1584" spans="1:31" x14ac:dyDescent="0.25">
      <c r="A1584">
        <v>3503</v>
      </c>
      <c r="B1584">
        <v>1950</v>
      </c>
      <c r="C1584" t="s">
        <v>466</v>
      </c>
      <c r="D1584" t="s">
        <v>37</v>
      </c>
      <c r="E1584" t="str">
        <f>IF(OR(Table1[[#This Row],[marital_status]]="Married", Table1[[#This Row],[marital_status]]="Together"), "Partnered", "Single")</f>
        <v>Single</v>
      </c>
      <c r="F1584" s="7">
        <v>82460</v>
      </c>
      <c r="G1584" s="8">
        <v>0</v>
      </c>
      <c r="H1584" s="8">
        <v>0</v>
      </c>
      <c r="I1584" s="8">
        <f>Table1[[#This Row],[kids]]+Table1[[#This Row],[teens]]</f>
        <v>0</v>
      </c>
      <c r="J1584" s="9">
        <v>41610</v>
      </c>
      <c r="K1584" s="8">
        <v>78</v>
      </c>
      <c r="L1584" s="6">
        <v>255</v>
      </c>
      <c r="M1584" s="5">
        <v>47</v>
      </c>
      <c r="N1584" s="5">
        <v>573</v>
      </c>
      <c r="O1584" s="5">
        <v>52</v>
      </c>
      <c r="P1584" s="5">
        <v>32</v>
      </c>
      <c r="Q1584" s="5">
        <v>15</v>
      </c>
      <c r="R1584" s="8">
        <v>1</v>
      </c>
      <c r="S1584" s="8">
        <v>5</v>
      </c>
      <c r="T1584" s="8">
        <v>3</v>
      </c>
      <c r="U1584" s="8">
        <v>6</v>
      </c>
      <c r="V1584" s="8">
        <v>1</v>
      </c>
      <c r="W1584" t="s">
        <v>473</v>
      </c>
      <c r="X1584" t="s">
        <v>473</v>
      </c>
      <c r="Y1584" t="s">
        <v>473</v>
      </c>
      <c r="Z1584" t="s">
        <v>473</v>
      </c>
      <c r="AA1584" t="s">
        <v>473</v>
      </c>
      <c r="AB1584" t="s">
        <v>473</v>
      </c>
      <c r="AC1584" s="10">
        <v>3</v>
      </c>
      <c r="AD1584" s="10">
        <v>11</v>
      </c>
      <c r="AE1584" t="s">
        <v>473</v>
      </c>
    </row>
    <row r="1585" spans="1:31" x14ac:dyDescent="0.25">
      <c r="A1585">
        <v>5223</v>
      </c>
      <c r="B1585">
        <v>1966</v>
      </c>
      <c r="C1585" t="s">
        <v>36</v>
      </c>
      <c r="D1585" t="s">
        <v>31</v>
      </c>
      <c r="E1585" t="str">
        <f>IF(OR(Table1[[#This Row],[marital_status]]="Married", Table1[[#This Row],[marital_status]]="Together"), "Partnered", "Single")</f>
        <v>Partnered</v>
      </c>
      <c r="F1585" s="7">
        <v>45903</v>
      </c>
      <c r="G1585" s="8">
        <v>0</v>
      </c>
      <c r="H1585" s="8">
        <v>1</v>
      </c>
      <c r="I1585" s="8">
        <f>Table1[[#This Row],[kids]]+Table1[[#This Row],[teens]]</f>
        <v>1</v>
      </c>
      <c r="J1585" s="9">
        <v>41752</v>
      </c>
      <c r="K1585" s="8">
        <v>80</v>
      </c>
      <c r="L1585" s="6">
        <v>33</v>
      </c>
      <c r="M1585" s="5">
        <v>8</v>
      </c>
      <c r="N1585" s="5">
        <v>10</v>
      </c>
      <c r="O1585" s="5">
        <v>2</v>
      </c>
      <c r="P1585" s="5">
        <v>10</v>
      </c>
      <c r="Q1585" s="5">
        <v>3</v>
      </c>
      <c r="R1585" s="8">
        <v>2</v>
      </c>
      <c r="S1585" s="8">
        <v>2</v>
      </c>
      <c r="T1585" s="8">
        <v>1</v>
      </c>
      <c r="U1585" s="8">
        <v>3</v>
      </c>
      <c r="V1585" s="8">
        <v>4</v>
      </c>
      <c r="W1585" t="s">
        <v>473</v>
      </c>
      <c r="X1585" t="s">
        <v>473</v>
      </c>
      <c r="Y1585" t="s">
        <v>473</v>
      </c>
      <c r="Z1585" t="s">
        <v>473</v>
      </c>
      <c r="AA1585" t="s">
        <v>473</v>
      </c>
      <c r="AB1585" t="s">
        <v>473</v>
      </c>
      <c r="AC1585" s="10">
        <v>3</v>
      </c>
      <c r="AD1585" s="10">
        <v>11</v>
      </c>
      <c r="AE1585" t="s">
        <v>473</v>
      </c>
    </row>
    <row r="1586" spans="1:31" x14ac:dyDescent="0.25">
      <c r="A1586">
        <v>4608</v>
      </c>
      <c r="B1586">
        <v>1987</v>
      </c>
      <c r="C1586" t="s">
        <v>466</v>
      </c>
      <c r="D1586" t="s">
        <v>37</v>
      </c>
      <c r="E1586" t="str">
        <f>IF(OR(Table1[[#This Row],[marital_status]]="Married", Table1[[#This Row],[marital_status]]="Together"), "Partnered", "Single")</f>
        <v>Single</v>
      </c>
      <c r="F1586" s="7">
        <v>81361</v>
      </c>
      <c r="G1586" s="8">
        <v>0</v>
      </c>
      <c r="H1586" s="8">
        <v>0</v>
      </c>
      <c r="I1586" s="8">
        <f>Table1[[#This Row],[kids]]+Table1[[#This Row],[teens]]</f>
        <v>0</v>
      </c>
      <c r="J1586" s="9">
        <v>41695</v>
      </c>
      <c r="K1586" s="8">
        <v>18</v>
      </c>
      <c r="L1586" s="6">
        <v>163</v>
      </c>
      <c r="M1586" s="5">
        <v>23</v>
      </c>
      <c r="N1586" s="5">
        <v>424</v>
      </c>
      <c r="O1586" s="5">
        <v>27</v>
      </c>
      <c r="P1586" s="5">
        <v>65</v>
      </c>
      <c r="Q1586" s="5">
        <v>76</v>
      </c>
      <c r="R1586" s="8">
        <v>1</v>
      </c>
      <c r="S1586" s="8">
        <v>3</v>
      </c>
      <c r="T1586" s="8">
        <v>10</v>
      </c>
      <c r="U1586" s="8">
        <v>13</v>
      </c>
      <c r="V1586" s="8">
        <v>1</v>
      </c>
      <c r="W1586" t="s">
        <v>473</v>
      </c>
      <c r="X1586" t="s">
        <v>473</v>
      </c>
      <c r="Y1586" t="s">
        <v>473</v>
      </c>
      <c r="Z1586" t="s">
        <v>473</v>
      </c>
      <c r="AA1586" t="s">
        <v>473</v>
      </c>
      <c r="AB1586" t="s">
        <v>473</v>
      </c>
      <c r="AC1586" s="10">
        <v>3</v>
      </c>
      <c r="AD1586" s="10">
        <v>11</v>
      </c>
      <c r="AE1586" t="s">
        <v>474</v>
      </c>
    </row>
    <row r="1587" spans="1:31" x14ac:dyDescent="0.25">
      <c r="A1587">
        <v>1626</v>
      </c>
      <c r="B1587">
        <v>1973</v>
      </c>
      <c r="C1587" t="s">
        <v>33</v>
      </c>
      <c r="D1587" t="s">
        <v>37</v>
      </c>
      <c r="E1587" t="str">
        <f>IF(OR(Table1[[#This Row],[marital_status]]="Married", Table1[[#This Row],[marital_status]]="Together"), "Partnered", "Single")</f>
        <v>Single</v>
      </c>
      <c r="F1587" s="7">
        <v>35860</v>
      </c>
      <c r="G1587" s="8">
        <v>1</v>
      </c>
      <c r="H1587" s="8">
        <v>1</v>
      </c>
      <c r="I1587" s="8">
        <f>Table1[[#This Row],[kids]]+Table1[[#This Row],[teens]]</f>
        <v>2</v>
      </c>
      <c r="J1587" s="9">
        <v>41778</v>
      </c>
      <c r="K1587" s="8">
        <v>37</v>
      </c>
      <c r="L1587" s="6">
        <v>15</v>
      </c>
      <c r="M1587" s="5">
        <v>0</v>
      </c>
      <c r="N1587" s="5">
        <v>8</v>
      </c>
      <c r="O1587" s="5">
        <v>4</v>
      </c>
      <c r="P1587" s="5">
        <v>2</v>
      </c>
      <c r="Q1587" s="5">
        <v>20</v>
      </c>
      <c r="R1587" s="8">
        <v>2</v>
      </c>
      <c r="S1587" s="8">
        <v>1</v>
      </c>
      <c r="T1587" s="8">
        <v>1</v>
      </c>
      <c r="U1587" s="8">
        <v>2</v>
      </c>
      <c r="V1587" s="8">
        <v>5</v>
      </c>
      <c r="W1587" t="s">
        <v>474</v>
      </c>
      <c r="X1587" t="s">
        <v>473</v>
      </c>
      <c r="Y1587" t="s">
        <v>473</v>
      </c>
      <c r="Z1587" t="s">
        <v>473</v>
      </c>
      <c r="AA1587" t="s">
        <v>473</v>
      </c>
      <c r="AB1587" t="s">
        <v>473</v>
      </c>
      <c r="AC1587" s="10">
        <v>3</v>
      </c>
      <c r="AD1587" s="10">
        <v>11</v>
      </c>
      <c r="AE1587" t="s">
        <v>474</v>
      </c>
    </row>
    <row r="1588" spans="1:31" x14ac:dyDescent="0.25">
      <c r="A1588">
        <v>4764</v>
      </c>
      <c r="B1588">
        <v>1952</v>
      </c>
      <c r="C1588" t="s">
        <v>36</v>
      </c>
      <c r="D1588" t="s">
        <v>31</v>
      </c>
      <c r="E1588" t="str">
        <f>IF(OR(Table1[[#This Row],[marital_status]]="Married", Table1[[#This Row],[marital_status]]="Together"), "Partnered", "Single")</f>
        <v>Partnered</v>
      </c>
      <c r="F1588" s="7">
        <v>40442</v>
      </c>
      <c r="G1588" s="8">
        <v>1</v>
      </c>
      <c r="H1588" s="8">
        <v>1</v>
      </c>
      <c r="I1588" s="8">
        <f>Table1[[#This Row],[kids]]+Table1[[#This Row],[teens]]</f>
        <v>2</v>
      </c>
      <c r="J1588" s="9">
        <v>41140</v>
      </c>
      <c r="K1588" s="8">
        <v>52</v>
      </c>
      <c r="L1588" s="6">
        <v>45</v>
      </c>
      <c r="M1588" s="5">
        <v>12</v>
      </c>
      <c r="N1588" s="5">
        <v>52</v>
      </c>
      <c r="O1588" s="5">
        <v>25</v>
      </c>
      <c r="P1588" s="5">
        <v>22</v>
      </c>
      <c r="Q1588" s="5">
        <v>13</v>
      </c>
      <c r="R1588" s="8">
        <v>4</v>
      </c>
      <c r="S1588" s="8">
        <v>3</v>
      </c>
      <c r="T1588" s="8">
        <v>1</v>
      </c>
      <c r="U1588" s="8">
        <v>4</v>
      </c>
      <c r="V1588" s="8">
        <v>7</v>
      </c>
      <c r="W1588" t="s">
        <v>473</v>
      </c>
      <c r="X1588" t="s">
        <v>473</v>
      </c>
      <c r="Y1588" t="s">
        <v>473</v>
      </c>
      <c r="Z1588" t="s">
        <v>473</v>
      </c>
      <c r="AA1588" t="s">
        <v>473</v>
      </c>
      <c r="AB1588" t="s">
        <v>473</v>
      </c>
      <c r="AC1588" s="10">
        <v>3</v>
      </c>
      <c r="AD1588" s="10">
        <v>11</v>
      </c>
      <c r="AE1588" t="s">
        <v>474</v>
      </c>
    </row>
    <row r="1589" spans="1:31" x14ac:dyDescent="0.25">
      <c r="A1589">
        <v>2471</v>
      </c>
      <c r="B1589">
        <v>1965</v>
      </c>
      <c r="C1589" t="s">
        <v>466</v>
      </c>
      <c r="D1589" t="s">
        <v>34</v>
      </c>
      <c r="E1589" t="str">
        <f>IF(OR(Table1[[#This Row],[marital_status]]="Married", Table1[[#This Row],[marital_status]]="Together"), "Partnered", "Single")</f>
        <v>Partnered</v>
      </c>
      <c r="F1589" s="7">
        <v>61482</v>
      </c>
      <c r="G1589" s="8">
        <v>0</v>
      </c>
      <c r="H1589" s="8">
        <v>0</v>
      </c>
      <c r="I1589" s="8">
        <f>Table1[[#This Row],[kids]]+Table1[[#This Row],[teens]]</f>
        <v>0</v>
      </c>
      <c r="J1589" s="9">
        <v>41817</v>
      </c>
      <c r="K1589" s="8">
        <v>39</v>
      </c>
      <c r="L1589" s="6">
        <v>48</v>
      </c>
      <c r="M1589" s="5">
        <v>58</v>
      </c>
      <c r="N1589" s="5">
        <v>68</v>
      </c>
      <c r="O1589" s="5">
        <v>16</v>
      </c>
      <c r="P1589" s="5">
        <v>66</v>
      </c>
      <c r="Q1589" s="5">
        <v>43</v>
      </c>
      <c r="R1589" s="8">
        <v>1</v>
      </c>
      <c r="S1589" s="8">
        <v>3</v>
      </c>
      <c r="T1589" s="8">
        <v>2</v>
      </c>
      <c r="U1589" s="8">
        <v>6</v>
      </c>
      <c r="V1589" s="8">
        <v>2</v>
      </c>
      <c r="W1589" t="s">
        <v>473</v>
      </c>
      <c r="X1589" t="s">
        <v>473</v>
      </c>
      <c r="Y1589" t="s">
        <v>473</v>
      </c>
      <c r="Z1589" t="s">
        <v>473</v>
      </c>
      <c r="AA1589" t="s">
        <v>473</v>
      </c>
      <c r="AB1589" t="s">
        <v>473</v>
      </c>
      <c r="AC1589" s="10">
        <v>3</v>
      </c>
      <c r="AD1589" s="10">
        <v>11</v>
      </c>
      <c r="AE1589" t="s">
        <v>473</v>
      </c>
    </row>
    <row r="1590" spans="1:31" x14ac:dyDescent="0.25">
      <c r="A1590">
        <v>5892</v>
      </c>
      <c r="B1590">
        <v>1980</v>
      </c>
      <c r="C1590" t="s">
        <v>466</v>
      </c>
      <c r="D1590" t="s">
        <v>34</v>
      </c>
      <c r="E1590" t="str">
        <f>IF(OR(Table1[[#This Row],[marital_status]]="Married", Table1[[#This Row],[marital_status]]="Together"), "Partnered", "Single")</f>
        <v>Partnered</v>
      </c>
      <c r="F1590" s="7">
        <v>34968</v>
      </c>
      <c r="G1590" s="8">
        <v>1</v>
      </c>
      <c r="H1590" s="8">
        <v>0</v>
      </c>
      <c r="I1590" s="8">
        <f>Table1[[#This Row],[kids]]+Table1[[#This Row],[teens]]</f>
        <v>1</v>
      </c>
      <c r="J1590" s="9">
        <v>41374</v>
      </c>
      <c r="K1590" s="8">
        <v>11</v>
      </c>
      <c r="L1590" s="6">
        <v>158</v>
      </c>
      <c r="M1590" s="5">
        <v>6</v>
      </c>
      <c r="N1590" s="5">
        <v>45</v>
      </c>
      <c r="O1590" s="5">
        <v>8</v>
      </c>
      <c r="P1590" s="5">
        <v>2</v>
      </c>
      <c r="Q1590" s="5">
        <v>2</v>
      </c>
      <c r="R1590" s="8">
        <v>7</v>
      </c>
      <c r="S1590" s="8">
        <v>3</v>
      </c>
      <c r="T1590" s="8">
        <v>2</v>
      </c>
      <c r="U1590" s="8">
        <v>5</v>
      </c>
      <c r="V1590" s="8">
        <v>7</v>
      </c>
      <c r="W1590" t="s">
        <v>473</v>
      </c>
      <c r="X1590" t="s">
        <v>473</v>
      </c>
      <c r="Y1590" t="s">
        <v>473</v>
      </c>
      <c r="Z1590" t="s">
        <v>473</v>
      </c>
      <c r="AA1590" t="s">
        <v>473</v>
      </c>
      <c r="AB1590" t="s">
        <v>473</v>
      </c>
      <c r="AC1590" s="10">
        <v>3</v>
      </c>
      <c r="AD1590" s="10">
        <v>11</v>
      </c>
      <c r="AE1590" t="s">
        <v>473</v>
      </c>
    </row>
    <row r="1591" spans="1:31" x14ac:dyDescent="0.25">
      <c r="A1591">
        <v>2612</v>
      </c>
      <c r="B1591">
        <v>1987</v>
      </c>
      <c r="C1591" t="s">
        <v>466</v>
      </c>
      <c r="D1591" t="s">
        <v>34</v>
      </c>
      <c r="E1591" t="str">
        <f>IF(OR(Table1[[#This Row],[marital_status]]="Married", Table1[[#This Row],[marital_status]]="Together"), "Partnered", "Single")</f>
        <v>Partnered</v>
      </c>
      <c r="F1591" s="7">
        <v>75794</v>
      </c>
      <c r="G1591" s="8">
        <v>0</v>
      </c>
      <c r="H1591" s="8">
        <v>0</v>
      </c>
      <c r="I1591" s="8">
        <f>Table1[[#This Row],[kids]]+Table1[[#This Row],[teens]]</f>
        <v>0</v>
      </c>
      <c r="J1591" s="9">
        <v>41632</v>
      </c>
      <c r="K1591" s="8">
        <v>33</v>
      </c>
      <c r="L1591" s="6">
        <v>754</v>
      </c>
      <c r="M1591" s="5">
        <v>160</v>
      </c>
      <c r="N1591" s="5">
        <v>625</v>
      </c>
      <c r="O1591" s="5">
        <v>63</v>
      </c>
      <c r="P1591" s="5">
        <v>32</v>
      </c>
      <c r="Q1591" s="5">
        <v>48</v>
      </c>
      <c r="R1591" s="8">
        <v>1</v>
      </c>
      <c r="S1591" s="8">
        <v>7</v>
      </c>
      <c r="T1591" s="8">
        <v>5</v>
      </c>
      <c r="U1591" s="8">
        <v>12</v>
      </c>
      <c r="V1591" s="8">
        <v>3</v>
      </c>
      <c r="W1591" t="s">
        <v>473</v>
      </c>
      <c r="X1591" t="s">
        <v>473</v>
      </c>
      <c r="Y1591" t="s">
        <v>473</v>
      </c>
      <c r="Z1591" t="s">
        <v>474</v>
      </c>
      <c r="AA1591" t="s">
        <v>473</v>
      </c>
      <c r="AB1591" t="s">
        <v>473</v>
      </c>
      <c r="AC1591" s="10">
        <v>3</v>
      </c>
      <c r="AD1591" s="10">
        <v>11</v>
      </c>
      <c r="AE1591" t="s">
        <v>473</v>
      </c>
    </row>
    <row r="1592" spans="1:31" x14ac:dyDescent="0.25">
      <c r="A1592">
        <v>4971</v>
      </c>
      <c r="B1592">
        <v>1962</v>
      </c>
      <c r="C1592" t="s">
        <v>33</v>
      </c>
      <c r="D1592" t="s">
        <v>31</v>
      </c>
      <c r="E1592" t="str">
        <f>IF(OR(Table1[[#This Row],[marital_status]]="Married", Table1[[#This Row],[marital_status]]="Together"), "Partnered", "Single")</f>
        <v>Partnered</v>
      </c>
      <c r="F1592" s="7">
        <v>31497</v>
      </c>
      <c r="G1592" s="8">
        <v>0</v>
      </c>
      <c r="H1592" s="8">
        <v>1</v>
      </c>
      <c r="I1592" s="8">
        <f>Table1[[#This Row],[kids]]+Table1[[#This Row],[teens]]</f>
        <v>1</v>
      </c>
      <c r="J1592" s="9">
        <v>41249</v>
      </c>
      <c r="K1592" s="8">
        <v>22</v>
      </c>
      <c r="L1592" s="6">
        <v>108</v>
      </c>
      <c r="M1592" s="5">
        <v>1</v>
      </c>
      <c r="N1592" s="5">
        <v>28</v>
      </c>
      <c r="O1592" s="5">
        <v>13</v>
      </c>
      <c r="P1592" s="5">
        <v>1</v>
      </c>
      <c r="Q1592" s="5">
        <v>4</v>
      </c>
      <c r="R1592" s="8">
        <v>2</v>
      </c>
      <c r="S1592" s="8">
        <v>3</v>
      </c>
      <c r="T1592" s="8">
        <v>1</v>
      </c>
      <c r="U1592" s="8">
        <v>4</v>
      </c>
      <c r="V1592" s="8">
        <v>8</v>
      </c>
      <c r="W1592" t="s">
        <v>473</v>
      </c>
      <c r="X1592" t="s">
        <v>473</v>
      </c>
      <c r="Y1592" t="s">
        <v>473</v>
      </c>
      <c r="Z1592" t="s">
        <v>473</v>
      </c>
      <c r="AA1592" t="s">
        <v>473</v>
      </c>
      <c r="AB1592" t="s">
        <v>473</v>
      </c>
      <c r="AC1592" s="10">
        <v>3</v>
      </c>
      <c r="AD1592" s="10">
        <v>11</v>
      </c>
      <c r="AE1592" t="s">
        <v>473</v>
      </c>
    </row>
    <row r="1593" spans="1:31" x14ac:dyDescent="0.25">
      <c r="A1593">
        <v>5185</v>
      </c>
      <c r="B1593">
        <v>1955</v>
      </c>
      <c r="C1593" t="s">
        <v>466</v>
      </c>
      <c r="D1593" t="s">
        <v>34</v>
      </c>
      <c r="E1593" t="str">
        <f>IF(OR(Table1[[#This Row],[marital_status]]="Married", Table1[[#This Row],[marital_status]]="Together"), "Partnered", "Single")</f>
        <v>Partnered</v>
      </c>
      <c r="F1593" s="7">
        <v>74268</v>
      </c>
      <c r="G1593" s="8">
        <v>0</v>
      </c>
      <c r="H1593" s="8">
        <v>0</v>
      </c>
      <c r="I1593" s="8">
        <f>Table1[[#This Row],[kids]]+Table1[[#This Row],[teens]]</f>
        <v>0</v>
      </c>
      <c r="J1593" s="9">
        <v>41319</v>
      </c>
      <c r="K1593" s="8">
        <v>83</v>
      </c>
      <c r="L1593" s="6">
        <v>199</v>
      </c>
      <c r="M1593" s="5">
        <v>66</v>
      </c>
      <c r="N1593" s="5">
        <v>315</v>
      </c>
      <c r="O1593" s="5">
        <v>97</v>
      </c>
      <c r="P1593" s="5">
        <v>174</v>
      </c>
      <c r="Q1593" s="5">
        <v>41</v>
      </c>
      <c r="R1593" s="8">
        <v>1</v>
      </c>
      <c r="S1593" s="8">
        <v>4</v>
      </c>
      <c r="T1593" s="8">
        <v>3</v>
      </c>
      <c r="U1593" s="8">
        <v>5</v>
      </c>
      <c r="V1593" s="8">
        <v>2</v>
      </c>
      <c r="W1593" t="s">
        <v>473</v>
      </c>
      <c r="X1593" t="s">
        <v>473</v>
      </c>
      <c r="Y1593" t="s">
        <v>473</v>
      </c>
      <c r="Z1593" t="s">
        <v>473</v>
      </c>
      <c r="AA1593" t="s">
        <v>473</v>
      </c>
      <c r="AB1593" t="s">
        <v>473</v>
      </c>
      <c r="AC1593" s="10">
        <v>3</v>
      </c>
      <c r="AD1593" s="10">
        <v>11</v>
      </c>
      <c r="AE1593" t="s">
        <v>473</v>
      </c>
    </row>
    <row r="1594" spans="1:31" x14ac:dyDescent="0.25">
      <c r="A1594">
        <v>10069</v>
      </c>
      <c r="B1594">
        <v>1988</v>
      </c>
      <c r="C1594" t="s">
        <v>41</v>
      </c>
      <c r="D1594" t="s">
        <v>31</v>
      </c>
      <c r="E1594" t="str">
        <f>IF(OR(Table1[[#This Row],[marital_status]]="Married", Table1[[#This Row],[marital_status]]="Together"), "Partnered", "Single")</f>
        <v>Partnered</v>
      </c>
      <c r="F1594" s="7">
        <v>13724</v>
      </c>
      <c r="G1594" s="8">
        <v>1</v>
      </c>
      <c r="H1594" s="8">
        <v>0</v>
      </c>
      <c r="I1594" s="8">
        <f>Table1[[#This Row],[kids]]+Table1[[#This Row],[teens]]</f>
        <v>1</v>
      </c>
      <c r="J1594" s="9">
        <v>41152</v>
      </c>
      <c r="K1594" s="8">
        <v>43</v>
      </c>
      <c r="L1594" s="6">
        <v>2</v>
      </c>
      <c r="M1594" s="5">
        <v>7</v>
      </c>
      <c r="N1594" s="5">
        <v>5</v>
      </c>
      <c r="O1594" s="5">
        <v>2</v>
      </c>
      <c r="P1594" s="5">
        <v>15</v>
      </c>
      <c r="Q1594" s="5">
        <v>27</v>
      </c>
      <c r="R1594" s="8">
        <v>1</v>
      </c>
      <c r="S1594" s="8">
        <v>2</v>
      </c>
      <c r="T1594" s="8">
        <v>0</v>
      </c>
      <c r="U1594" s="8">
        <v>2</v>
      </c>
      <c r="V1594" s="8">
        <v>9</v>
      </c>
      <c r="W1594" t="s">
        <v>474</v>
      </c>
      <c r="X1594" t="s">
        <v>473</v>
      </c>
      <c r="Y1594" t="s">
        <v>473</v>
      </c>
      <c r="Z1594" t="s">
        <v>473</v>
      </c>
      <c r="AA1594" t="s">
        <v>473</v>
      </c>
      <c r="AB1594" t="s">
        <v>473</v>
      </c>
      <c r="AC1594" s="10">
        <v>3</v>
      </c>
      <c r="AD1594" s="10">
        <v>11</v>
      </c>
      <c r="AE1594" t="s">
        <v>473</v>
      </c>
    </row>
    <row r="1595" spans="1:31" x14ac:dyDescent="0.25">
      <c r="A1595">
        <v>2262</v>
      </c>
      <c r="B1595">
        <v>1965</v>
      </c>
      <c r="C1595" t="s">
        <v>36</v>
      </c>
      <c r="D1595" t="s">
        <v>31</v>
      </c>
      <c r="E1595" t="str">
        <f>IF(OR(Table1[[#This Row],[marital_status]]="Married", Table1[[#This Row],[marital_status]]="Together"), "Partnered", "Single")</f>
        <v>Partnered</v>
      </c>
      <c r="F1595" s="7">
        <v>45143</v>
      </c>
      <c r="G1595" s="8">
        <v>0</v>
      </c>
      <c r="H1595" s="8">
        <v>1</v>
      </c>
      <c r="I1595" s="8">
        <f>Table1[[#This Row],[kids]]+Table1[[#This Row],[teens]]</f>
        <v>1</v>
      </c>
      <c r="J1595" s="9">
        <v>41512</v>
      </c>
      <c r="K1595" s="8">
        <v>74</v>
      </c>
      <c r="L1595" s="6">
        <v>202</v>
      </c>
      <c r="M1595" s="5">
        <v>5</v>
      </c>
      <c r="N1595" s="5">
        <v>74</v>
      </c>
      <c r="O1595" s="5">
        <v>11</v>
      </c>
      <c r="P1595" s="5">
        <v>5</v>
      </c>
      <c r="Q1595" s="5">
        <v>14</v>
      </c>
      <c r="R1595" s="8">
        <v>3</v>
      </c>
      <c r="S1595" s="8">
        <v>6</v>
      </c>
      <c r="T1595" s="8">
        <v>1</v>
      </c>
      <c r="U1595" s="8">
        <v>5</v>
      </c>
      <c r="V1595" s="8">
        <v>7</v>
      </c>
      <c r="W1595" t="s">
        <v>473</v>
      </c>
      <c r="X1595" t="s">
        <v>473</v>
      </c>
      <c r="Y1595" t="s">
        <v>473</v>
      </c>
      <c r="Z1595" t="s">
        <v>473</v>
      </c>
      <c r="AA1595" t="s">
        <v>473</v>
      </c>
      <c r="AB1595" t="s">
        <v>473</v>
      </c>
      <c r="AC1595" s="10">
        <v>3</v>
      </c>
      <c r="AD1595" s="10">
        <v>11</v>
      </c>
      <c r="AE1595" t="s">
        <v>473</v>
      </c>
    </row>
    <row r="1596" spans="1:31" x14ac:dyDescent="0.25">
      <c r="A1596">
        <v>1131</v>
      </c>
      <c r="B1596">
        <v>1967</v>
      </c>
      <c r="C1596" t="s">
        <v>33</v>
      </c>
      <c r="D1596" t="s">
        <v>30</v>
      </c>
      <c r="E1596" t="str">
        <f>IF(OR(Table1[[#This Row],[marital_status]]="Married", Table1[[#This Row],[marital_status]]="Together"), "Partnered", "Single")</f>
        <v>Single</v>
      </c>
      <c r="F1596" s="7">
        <v>52569</v>
      </c>
      <c r="G1596" s="8">
        <v>0</v>
      </c>
      <c r="H1596" s="8">
        <v>1</v>
      </c>
      <c r="I1596" s="8">
        <f>Table1[[#This Row],[kids]]+Table1[[#This Row],[teens]]</f>
        <v>1</v>
      </c>
      <c r="J1596" s="9">
        <v>41734</v>
      </c>
      <c r="K1596" s="8">
        <v>54</v>
      </c>
      <c r="L1596" s="6">
        <v>85</v>
      </c>
      <c r="M1596" s="5">
        <v>0</v>
      </c>
      <c r="N1596" s="5">
        <v>3</v>
      </c>
      <c r="O1596" s="5">
        <v>0</v>
      </c>
      <c r="P1596" s="5">
        <v>0</v>
      </c>
      <c r="Q1596" s="5">
        <v>7</v>
      </c>
      <c r="R1596" s="8">
        <v>1</v>
      </c>
      <c r="S1596" s="8">
        <v>2</v>
      </c>
      <c r="T1596" s="8">
        <v>0</v>
      </c>
      <c r="U1596" s="8">
        <v>4</v>
      </c>
      <c r="V1596" s="8">
        <v>3</v>
      </c>
      <c r="W1596" t="s">
        <v>473</v>
      </c>
      <c r="X1596" t="s">
        <v>473</v>
      </c>
      <c r="Y1596" t="s">
        <v>473</v>
      </c>
      <c r="Z1596" t="s">
        <v>473</v>
      </c>
      <c r="AA1596" t="s">
        <v>473</v>
      </c>
      <c r="AB1596" t="s">
        <v>473</v>
      </c>
      <c r="AC1596" s="10">
        <v>3</v>
      </c>
      <c r="AD1596" s="10">
        <v>11</v>
      </c>
      <c r="AE1596" t="s">
        <v>473</v>
      </c>
    </row>
    <row r="1597" spans="1:31" x14ac:dyDescent="0.25">
      <c r="A1597">
        <v>1041</v>
      </c>
      <c r="B1597">
        <v>1973</v>
      </c>
      <c r="C1597" t="s">
        <v>33</v>
      </c>
      <c r="D1597" t="s">
        <v>30</v>
      </c>
      <c r="E1597" t="str">
        <f>IF(OR(Table1[[#This Row],[marital_status]]="Married", Table1[[#This Row],[marital_status]]="Together"), "Partnered", "Single")</f>
        <v>Single</v>
      </c>
      <c r="F1597" s="7">
        <v>48432</v>
      </c>
      <c r="G1597" s="8">
        <v>0</v>
      </c>
      <c r="H1597" s="8">
        <v>1</v>
      </c>
      <c r="I1597" s="8">
        <f>Table1[[#This Row],[kids]]+Table1[[#This Row],[teens]]</f>
        <v>1</v>
      </c>
      <c r="J1597" s="9">
        <v>41200</v>
      </c>
      <c r="K1597" s="8">
        <v>3</v>
      </c>
      <c r="L1597" s="6">
        <v>322</v>
      </c>
      <c r="M1597" s="5">
        <v>3</v>
      </c>
      <c r="N1597" s="5">
        <v>50</v>
      </c>
      <c r="O1597" s="5">
        <v>4</v>
      </c>
      <c r="P1597" s="5">
        <v>3</v>
      </c>
      <c r="Q1597" s="5">
        <v>42</v>
      </c>
      <c r="R1597" s="8">
        <v>5</v>
      </c>
      <c r="S1597" s="8">
        <v>7</v>
      </c>
      <c r="T1597" s="8">
        <v>1</v>
      </c>
      <c r="U1597" s="8">
        <v>6</v>
      </c>
      <c r="V1597" s="8">
        <v>8</v>
      </c>
      <c r="W1597" t="s">
        <v>473</v>
      </c>
      <c r="X1597" t="s">
        <v>473</v>
      </c>
      <c r="Y1597" t="s">
        <v>473</v>
      </c>
      <c r="Z1597" t="s">
        <v>473</v>
      </c>
      <c r="AA1597" t="s">
        <v>473</v>
      </c>
      <c r="AB1597" t="s">
        <v>473</v>
      </c>
      <c r="AC1597" s="10">
        <v>3</v>
      </c>
      <c r="AD1597" s="10">
        <v>11</v>
      </c>
      <c r="AE1597" t="s">
        <v>474</v>
      </c>
    </row>
    <row r="1598" spans="1:31" x14ac:dyDescent="0.25">
      <c r="A1598">
        <v>24</v>
      </c>
      <c r="B1598">
        <v>1960</v>
      </c>
      <c r="C1598" t="s">
        <v>36</v>
      </c>
      <c r="D1598" t="s">
        <v>31</v>
      </c>
      <c r="E1598" t="str">
        <f>IF(OR(Table1[[#This Row],[marital_status]]="Married", Table1[[#This Row],[marital_status]]="Together"), "Partnered", "Single")</f>
        <v>Partnered</v>
      </c>
      <c r="F1598" s="7">
        <v>17144</v>
      </c>
      <c r="G1598" s="8">
        <v>1</v>
      </c>
      <c r="H1598" s="8">
        <v>1</v>
      </c>
      <c r="I1598" s="8">
        <f>Table1[[#This Row],[kids]]+Table1[[#This Row],[teens]]</f>
        <v>2</v>
      </c>
      <c r="J1598" s="9">
        <v>41685</v>
      </c>
      <c r="K1598" s="8">
        <v>96</v>
      </c>
      <c r="L1598" s="6">
        <v>18</v>
      </c>
      <c r="M1598" s="5">
        <v>2</v>
      </c>
      <c r="N1598" s="5">
        <v>19</v>
      </c>
      <c r="O1598" s="5">
        <v>0</v>
      </c>
      <c r="P1598" s="5">
        <v>2</v>
      </c>
      <c r="Q1598" s="5">
        <v>6</v>
      </c>
      <c r="R1598" s="8">
        <v>5</v>
      </c>
      <c r="S1598" s="8">
        <v>3</v>
      </c>
      <c r="T1598" s="8">
        <v>0</v>
      </c>
      <c r="U1598" s="8">
        <v>4</v>
      </c>
      <c r="V1598" s="8">
        <v>7</v>
      </c>
      <c r="W1598" t="s">
        <v>473</v>
      </c>
      <c r="X1598" t="s">
        <v>473</v>
      </c>
      <c r="Y1598" t="s">
        <v>473</v>
      </c>
      <c r="Z1598" t="s">
        <v>473</v>
      </c>
      <c r="AA1598" t="s">
        <v>473</v>
      </c>
      <c r="AB1598" t="s">
        <v>473</v>
      </c>
      <c r="AC1598" s="10">
        <v>3</v>
      </c>
      <c r="AD1598" s="10">
        <v>11</v>
      </c>
      <c r="AE1598" t="s">
        <v>473</v>
      </c>
    </row>
    <row r="1599" spans="1:31" x14ac:dyDescent="0.25">
      <c r="A1599">
        <v>3409</v>
      </c>
      <c r="B1599">
        <v>1984</v>
      </c>
      <c r="C1599" t="s">
        <v>466</v>
      </c>
      <c r="D1599" t="s">
        <v>30</v>
      </c>
      <c r="E1599" t="str">
        <f>IF(OR(Table1[[#This Row],[marital_status]]="Married", Table1[[#This Row],[marital_status]]="Together"), "Partnered", "Single")</f>
        <v>Single</v>
      </c>
      <c r="F1599" s="7">
        <v>36108</v>
      </c>
      <c r="G1599" s="8">
        <v>1</v>
      </c>
      <c r="H1599" s="8">
        <v>0</v>
      </c>
      <c r="I1599" s="8">
        <f>Table1[[#This Row],[kids]]+Table1[[#This Row],[teens]]</f>
        <v>1</v>
      </c>
      <c r="J1599" s="9">
        <v>41562</v>
      </c>
      <c r="K1599" s="8">
        <v>68</v>
      </c>
      <c r="L1599" s="6">
        <v>141</v>
      </c>
      <c r="M1599" s="5">
        <v>8</v>
      </c>
      <c r="N1599" s="5">
        <v>129</v>
      </c>
      <c r="O1599" s="5">
        <v>3</v>
      </c>
      <c r="P1599" s="5">
        <v>11</v>
      </c>
      <c r="Q1599" s="5">
        <v>47</v>
      </c>
      <c r="R1599" s="8">
        <v>3</v>
      </c>
      <c r="S1599" s="8">
        <v>7</v>
      </c>
      <c r="T1599" s="8">
        <v>1</v>
      </c>
      <c r="U1599" s="8">
        <v>4</v>
      </c>
      <c r="V1599" s="8">
        <v>9</v>
      </c>
      <c r="W1599" t="s">
        <v>474</v>
      </c>
      <c r="X1599" t="s">
        <v>473</v>
      </c>
      <c r="Y1599" t="s">
        <v>473</v>
      </c>
      <c r="Z1599" t="s">
        <v>473</v>
      </c>
      <c r="AA1599" t="s">
        <v>473</v>
      </c>
      <c r="AB1599" t="s">
        <v>473</v>
      </c>
      <c r="AC1599" s="10">
        <v>3</v>
      </c>
      <c r="AD1599" s="10">
        <v>11</v>
      </c>
      <c r="AE1599" t="s">
        <v>473</v>
      </c>
    </row>
    <row r="1600" spans="1:31" x14ac:dyDescent="0.25">
      <c r="A1600">
        <v>7022</v>
      </c>
      <c r="B1600">
        <v>1971</v>
      </c>
      <c r="C1600" t="s">
        <v>466</v>
      </c>
      <c r="D1600" t="s">
        <v>34</v>
      </c>
      <c r="E1600" t="str">
        <f>IF(OR(Table1[[#This Row],[marital_status]]="Married", Table1[[#This Row],[marital_status]]="Together"), "Partnered", "Single")</f>
        <v>Partnered</v>
      </c>
      <c r="F1600" s="7">
        <v>76445</v>
      </c>
      <c r="G1600" s="8">
        <v>1</v>
      </c>
      <c r="H1600" s="8">
        <v>0</v>
      </c>
      <c r="I1600" s="8">
        <f>Table1[[#This Row],[kids]]+Table1[[#This Row],[teens]]</f>
        <v>1</v>
      </c>
      <c r="J1600" s="9">
        <v>41180</v>
      </c>
      <c r="K1600" s="8">
        <v>2</v>
      </c>
      <c r="L1600" s="6">
        <v>739</v>
      </c>
      <c r="M1600" s="5">
        <v>107</v>
      </c>
      <c r="N1600" s="5">
        <v>309</v>
      </c>
      <c r="O1600" s="5">
        <v>140</v>
      </c>
      <c r="P1600" s="5">
        <v>80</v>
      </c>
      <c r="Q1600" s="5">
        <v>35</v>
      </c>
      <c r="R1600" s="8">
        <v>1</v>
      </c>
      <c r="S1600" s="8">
        <v>2</v>
      </c>
      <c r="T1600" s="8">
        <v>5</v>
      </c>
      <c r="U1600" s="8">
        <v>13</v>
      </c>
      <c r="V1600" s="8">
        <v>6</v>
      </c>
      <c r="W1600" t="s">
        <v>473</v>
      </c>
      <c r="X1600" t="s">
        <v>473</v>
      </c>
      <c r="Y1600" t="s">
        <v>473</v>
      </c>
      <c r="Z1600" t="s">
        <v>473</v>
      </c>
      <c r="AA1600" t="s">
        <v>473</v>
      </c>
      <c r="AB1600" t="s">
        <v>473</v>
      </c>
      <c r="AC1600" s="10">
        <v>3</v>
      </c>
      <c r="AD1600" s="10">
        <v>11</v>
      </c>
      <c r="AE1600" t="s">
        <v>473</v>
      </c>
    </row>
    <row r="1601" spans="1:31" x14ac:dyDescent="0.25">
      <c r="A1601">
        <v>7943</v>
      </c>
      <c r="B1601">
        <v>1975</v>
      </c>
      <c r="C1601" t="s">
        <v>33</v>
      </c>
      <c r="D1601" t="s">
        <v>34</v>
      </c>
      <c r="E1601" t="str">
        <f>IF(OR(Table1[[#This Row],[marital_status]]="Married", Table1[[#This Row],[marital_status]]="Together"), "Partnered", "Single")</f>
        <v>Partnered</v>
      </c>
      <c r="F1601" s="7">
        <v>36663</v>
      </c>
      <c r="G1601" s="8">
        <v>1</v>
      </c>
      <c r="H1601" s="8">
        <v>0</v>
      </c>
      <c r="I1601" s="8">
        <f>Table1[[#This Row],[kids]]+Table1[[#This Row],[teens]]</f>
        <v>1</v>
      </c>
      <c r="J1601" s="9">
        <v>41754</v>
      </c>
      <c r="K1601" s="8">
        <v>40</v>
      </c>
      <c r="L1601" s="6">
        <v>18</v>
      </c>
      <c r="M1601" s="5">
        <v>0</v>
      </c>
      <c r="N1601" s="5">
        <v>6</v>
      </c>
      <c r="O1601" s="5">
        <v>3</v>
      </c>
      <c r="P1601" s="5">
        <v>3</v>
      </c>
      <c r="Q1601" s="5">
        <v>5</v>
      </c>
      <c r="R1601" s="8">
        <v>1</v>
      </c>
      <c r="S1601" s="8">
        <v>1</v>
      </c>
      <c r="T1601" s="8">
        <v>1</v>
      </c>
      <c r="U1601" s="8">
        <v>3</v>
      </c>
      <c r="V1601" s="8">
        <v>2</v>
      </c>
      <c r="W1601" t="s">
        <v>473</v>
      </c>
      <c r="X1601" t="s">
        <v>473</v>
      </c>
      <c r="Y1601" t="s">
        <v>473</v>
      </c>
      <c r="Z1601" t="s">
        <v>473</v>
      </c>
      <c r="AA1601" t="s">
        <v>473</v>
      </c>
      <c r="AB1601" t="s">
        <v>473</v>
      </c>
      <c r="AC1601" s="10">
        <v>3</v>
      </c>
      <c r="AD1601" s="10">
        <v>11</v>
      </c>
      <c r="AE1601" t="s">
        <v>473</v>
      </c>
    </row>
    <row r="1602" spans="1:31" x14ac:dyDescent="0.25">
      <c r="A1602">
        <v>5272</v>
      </c>
      <c r="B1602">
        <v>1965</v>
      </c>
      <c r="C1602" t="s">
        <v>36</v>
      </c>
      <c r="D1602" t="s">
        <v>34</v>
      </c>
      <c r="E1602" t="str">
        <f>IF(OR(Table1[[#This Row],[marital_status]]="Married", Table1[[#This Row],[marital_status]]="Together"), "Partnered", "Single")</f>
        <v>Partnered</v>
      </c>
      <c r="F1602" s="7">
        <v>53843</v>
      </c>
      <c r="G1602" s="8">
        <v>0</v>
      </c>
      <c r="H1602" s="8">
        <v>1</v>
      </c>
      <c r="I1602" s="8">
        <f>Table1[[#This Row],[kids]]+Table1[[#This Row],[teens]]</f>
        <v>1</v>
      </c>
      <c r="J1602" s="9">
        <v>41452</v>
      </c>
      <c r="K1602" s="8">
        <v>64</v>
      </c>
      <c r="L1602" s="6">
        <v>378</v>
      </c>
      <c r="M1602" s="5">
        <v>0</v>
      </c>
      <c r="N1602" s="5">
        <v>88</v>
      </c>
      <c r="O1602" s="5">
        <v>19</v>
      </c>
      <c r="P1602" s="5">
        <v>4</v>
      </c>
      <c r="Q1602" s="5">
        <v>73</v>
      </c>
      <c r="R1602" s="8">
        <v>4</v>
      </c>
      <c r="S1602" s="8">
        <v>8</v>
      </c>
      <c r="T1602" s="8">
        <v>5</v>
      </c>
      <c r="U1602" s="8">
        <v>3</v>
      </c>
      <c r="V1602" s="8">
        <v>7</v>
      </c>
      <c r="W1602" t="s">
        <v>473</v>
      </c>
      <c r="X1602" t="s">
        <v>473</v>
      </c>
      <c r="Y1602" t="s">
        <v>473</v>
      </c>
      <c r="Z1602" t="s">
        <v>473</v>
      </c>
      <c r="AA1602" t="s">
        <v>473</v>
      </c>
      <c r="AB1602" t="s">
        <v>473</v>
      </c>
      <c r="AC1602" s="10">
        <v>3</v>
      </c>
      <c r="AD1602" s="10">
        <v>11</v>
      </c>
      <c r="AE1602" t="s">
        <v>473</v>
      </c>
    </row>
    <row r="1603" spans="1:31" x14ac:dyDescent="0.25">
      <c r="A1603">
        <v>5453</v>
      </c>
      <c r="B1603">
        <v>1956</v>
      </c>
      <c r="C1603" t="s">
        <v>36</v>
      </c>
      <c r="D1603" t="s">
        <v>34</v>
      </c>
      <c r="E1603" t="str">
        <f>IF(OR(Table1[[#This Row],[marital_status]]="Married", Table1[[#This Row],[marital_status]]="Together"), "Partnered", "Single")</f>
        <v>Partnered</v>
      </c>
      <c r="F1603" s="7">
        <v>90226</v>
      </c>
      <c r="G1603" s="8">
        <v>0</v>
      </c>
      <c r="H1603" s="8">
        <v>0</v>
      </c>
      <c r="I1603" s="8">
        <f>Table1[[#This Row],[kids]]+Table1[[#This Row],[teens]]</f>
        <v>0</v>
      </c>
      <c r="J1603" s="9">
        <v>41178</v>
      </c>
      <c r="K1603" s="8">
        <v>26</v>
      </c>
      <c r="L1603" s="6">
        <v>1083</v>
      </c>
      <c r="M1603" s="5">
        <v>108</v>
      </c>
      <c r="N1603" s="5">
        <v>649</v>
      </c>
      <c r="O1603" s="5">
        <v>253</v>
      </c>
      <c r="P1603" s="5">
        <v>151</v>
      </c>
      <c r="Q1603" s="5">
        <v>108</v>
      </c>
      <c r="R1603" s="8">
        <v>1</v>
      </c>
      <c r="S1603" s="8">
        <v>4</v>
      </c>
      <c r="T1603" s="8">
        <v>7</v>
      </c>
      <c r="U1603" s="8">
        <v>12</v>
      </c>
      <c r="V1603" s="8">
        <v>2</v>
      </c>
      <c r="W1603" t="s">
        <v>473</v>
      </c>
      <c r="X1603" t="s">
        <v>473</v>
      </c>
      <c r="Y1603" t="s">
        <v>473</v>
      </c>
      <c r="Z1603" t="s">
        <v>474</v>
      </c>
      <c r="AA1603" t="s">
        <v>473</v>
      </c>
      <c r="AB1603" t="s">
        <v>473</v>
      </c>
      <c r="AC1603" s="10">
        <v>3</v>
      </c>
      <c r="AD1603" s="10">
        <v>11</v>
      </c>
      <c r="AE1603" t="s">
        <v>473</v>
      </c>
    </row>
    <row r="1604" spans="1:31" x14ac:dyDescent="0.25">
      <c r="A1604">
        <v>2565</v>
      </c>
      <c r="B1604">
        <v>1955</v>
      </c>
      <c r="C1604" t="s">
        <v>36</v>
      </c>
      <c r="D1604" t="s">
        <v>37</v>
      </c>
      <c r="E1604" t="str">
        <f>IF(OR(Table1[[#This Row],[marital_status]]="Married", Table1[[#This Row],[marital_status]]="Together"), "Partnered", "Single")</f>
        <v>Single</v>
      </c>
      <c r="F1604" s="7">
        <v>70638</v>
      </c>
      <c r="G1604" s="8">
        <v>0</v>
      </c>
      <c r="H1604" s="8">
        <v>0</v>
      </c>
      <c r="I1604" s="8">
        <f>Table1[[#This Row],[kids]]+Table1[[#This Row],[teens]]</f>
        <v>0</v>
      </c>
      <c r="J1604" s="9">
        <v>41426</v>
      </c>
      <c r="K1604" s="8">
        <v>69</v>
      </c>
      <c r="L1604" s="6">
        <v>1016</v>
      </c>
      <c r="M1604" s="5">
        <v>12</v>
      </c>
      <c r="N1604" s="5">
        <v>215</v>
      </c>
      <c r="O1604" s="5">
        <v>16</v>
      </c>
      <c r="P1604" s="5">
        <v>12</v>
      </c>
      <c r="Q1604" s="5">
        <v>63</v>
      </c>
      <c r="R1604" s="8">
        <v>1</v>
      </c>
      <c r="S1604" s="8">
        <v>4</v>
      </c>
      <c r="T1604" s="8">
        <v>5</v>
      </c>
      <c r="U1604" s="8">
        <v>10</v>
      </c>
      <c r="V1604" s="8">
        <v>3</v>
      </c>
      <c r="W1604" t="s">
        <v>473</v>
      </c>
      <c r="X1604" t="s">
        <v>474</v>
      </c>
      <c r="Y1604" t="s">
        <v>473</v>
      </c>
      <c r="Z1604" t="s">
        <v>473</v>
      </c>
      <c r="AA1604" t="s">
        <v>473</v>
      </c>
      <c r="AB1604" t="s">
        <v>473</v>
      </c>
      <c r="AC1604" s="10">
        <v>3</v>
      </c>
      <c r="AD1604" s="10">
        <v>11</v>
      </c>
      <c r="AE1604" t="s">
        <v>473</v>
      </c>
    </row>
    <row r="1605" spans="1:31" x14ac:dyDescent="0.25">
      <c r="A1605">
        <v>800</v>
      </c>
      <c r="B1605">
        <v>1960</v>
      </c>
      <c r="C1605" t="s">
        <v>466</v>
      </c>
      <c r="D1605" t="s">
        <v>31</v>
      </c>
      <c r="E1605" t="str">
        <f>IF(OR(Table1[[#This Row],[marital_status]]="Married", Table1[[#This Row],[marital_status]]="Together"), "Partnered", "Single")</f>
        <v>Partnered</v>
      </c>
      <c r="F1605" s="7">
        <v>44512</v>
      </c>
      <c r="G1605" s="8">
        <v>1</v>
      </c>
      <c r="H1605" s="8">
        <v>1</v>
      </c>
      <c r="I1605" s="8">
        <f>Table1[[#This Row],[kids]]+Table1[[#This Row],[teens]]</f>
        <v>2</v>
      </c>
      <c r="J1605" s="9">
        <v>41516</v>
      </c>
      <c r="K1605" s="8">
        <v>57</v>
      </c>
      <c r="L1605" s="6">
        <v>23</v>
      </c>
      <c r="M1605" s="5">
        <v>1</v>
      </c>
      <c r="N1605" s="5">
        <v>6</v>
      </c>
      <c r="O1605" s="5">
        <v>0</v>
      </c>
      <c r="P1605" s="5">
        <v>0</v>
      </c>
      <c r="Q1605" s="5">
        <v>2</v>
      </c>
      <c r="R1605" s="8">
        <v>2</v>
      </c>
      <c r="S1605" s="8">
        <v>1</v>
      </c>
      <c r="T1605" s="8">
        <v>0</v>
      </c>
      <c r="U1605" s="8">
        <v>3</v>
      </c>
      <c r="V1605" s="8">
        <v>4</v>
      </c>
      <c r="W1605" t="s">
        <v>473</v>
      </c>
      <c r="X1605" t="s">
        <v>473</v>
      </c>
      <c r="Y1605" t="s">
        <v>473</v>
      </c>
      <c r="Z1605" t="s">
        <v>473</v>
      </c>
      <c r="AA1605" t="s">
        <v>473</v>
      </c>
      <c r="AB1605" t="s">
        <v>473</v>
      </c>
      <c r="AC1605" s="10">
        <v>3</v>
      </c>
      <c r="AD1605" s="10">
        <v>11</v>
      </c>
      <c r="AE1605" t="s">
        <v>473</v>
      </c>
    </row>
    <row r="1606" spans="1:31" x14ac:dyDescent="0.25">
      <c r="A1606">
        <v>11092</v>
      </c>
      <c r="B1606">
        <v>1961</v>
      </c>
      <c r="C1606" t="s">
        <v>466</v>
      </c>
      <c r="D1606" t="s">
        <v>34</v>
      </c>
      <c r="E1606" t="str">
        <f>IF(OR(Table1[[#This Row],[marital_status]]="Married", Table1[[#This Row],[marital_status]]="Together"), "Partnered", "Single")</f>
        <v>Partnered</v>
      </c>
      <c r="F1606" s="7">
        <v>27116</v>
      </c>
      <c r="G1606" s="8">
        <v>1</v>
      </c>
      <c r="H1606" s="8">
        <v>1</v>
      </c>
      <c r="I1606" s="8">
        <f>Table1[[#This Row],[kids]]+Table1[[#This Row],[teens]]</f>
        <v>2</v>
      </c>
      <c r="J1606" s="9">
        <v>41700</v>
      </c>
      <c r="K1606" s="8">
        <v>78</v>
      </c>
      <c r="L1606" s="6">
        <v>12</v>
      </c>
      <c r="M1606" s="5">
        <v>1</v>
      </c>
      <c r="N1606" s="5">
        <v>21</v>
      </c>
      <c r="O1606" s="5">
        <v>2</v>
      </c>
      <c r="P1606" s="5">
        <v>2</v>
      </c>
      <c r="Q1606" s="5">
        <v>3</v>
      </c>
      <c r="R1606" s="8">
        <v>2</v>
      </c>
      <c r="S1606" s="8">
        <v>2</v>
      </c>
      <c r="T1606" s="8">
        <v>0</v>
      </c>
      <c r="U1606" s="8">
        <v>3</v>
      </c>
      <c r="V1606" s="8">
        <v>7</v>
      </c>
      <c r="W1606" t="s">
        <v>473</v>
      </c>
      <c r="X1606" t="s">
        <v>473</v>
      </c>
      <c r="Y1606" t="s">
        <v>473</v>
      </c>
      <c r="Z1606" t="s">
        <v>473</v>
      </c>
      <c r="AA1606" t="s">
        <v>473</v>
      </c>
      <c r="AB1606" t="s">
        <v>473</v>
      </c>
      <c r="AC1606" s="10">
        <v>3</v>
      </c>
      <c r="AD1606" s="10">
        <v>11</v>
      </c>
      <c r="AE1606" t="s">
        <v>473</v>
      </c>
    </row>
    <row r="1607" spans="1:31" x14ac:dyDescent="0.25">
      <c r="A1607">
        <v>5062</v>
      </c>
      <c r="B1607">
        <v>1963</v>
      </c>
      <c r="C1607" t="s">
        <v>33</v>
      </c>
      <c r="D1607" t="s">
        <v>34</v>
      </c>
      <c r="E1607" t="str">
        <f>IF(OR(Table1[[#This Row],[marital_status]]="Married", Table1[[#This Row],[marital_status]]="Together"), "Partnered", "Single")</f>
        <v>Partnered</v>
      </c>
      <c r="F1607" s="7">
        <v>54072</v>
      </c>
      <c r="G1607" s="8">
        <v>1</v>
      </c>
      <c r="H1607" s="8">
        <v>1</v>
      </c>
      <c r="I1607" s="8">
        <f>Table1[[#This Row],[kids]]+Table1[[#This Row],[teens]]</f>
        <v>2</v>
      </c>
      <c r="J1607" s="9">
        <v>41482</v>
      </c>
      <c r="K1607" s="8">
        <v>71</v>
      </c>
      <c r="L1607" s="6">
        <v>35</v>
      </c>
      <c r="M1607" s="5">
        <v>0</v>
      </c>
      <c r="N1607" s="5">
        <v>4</v>
      </c>
      <c r="O1607" s="5">
        <v>0</v>
      </c>
      <c r="P1607" s="5">
        <v>0</v>
      </c>
      <c r="Q1607" s="5">
        <v>0</v>
      </c>
      <c r="R1607" s="8">
        <v>1</v>
      </c>
      <c r="S1607" s="8">
        <v>2</v>
      </c>
      <c r="T1607" s="8">
        <v>0</v>
      </c>
      <c r="U1607" s="8">
        <v>2</v>
      </c>
      <c r="V1607" s="8">
        <v>8</v>
      </c>
      <c r="W1607" t="s">
        <v>473</v>
      </c>
      <c r="X1607" t="s">
        <v>473</v>
      </c>
      <c r="Y1607" t="s">
        <v>473</v>
      </c>
      <c r="Z1607" t="s">
        <v>473</v>
      </c>
      <c r="AA1607" t="s">
        <v>473</v>
      </c>
      <c r="AB1607" t="s">
        <v>473</v>
      </c>
      <c r="AC1607" s="10">
        <v>3</v>
      </c>
      <c r="AD1607" s="10">
        <v>11</v>
      </c>
      <c r="AE1607" t="s">
        <v>473</v>
      </c>
    </row>
    <row r="1608" spans="1:31" x14ac:dyDescent="0.25">
      <c r="A1608">
        <v>8969</v>
      </c>
      <c r="B1608">
        <v>1977</v>
      </c>
      <c r="C1608" t="s">
        <v>466</v>
      </c>
      <c r="D1608" t="s">
        <v>34</v>
      </c>
      <c r="E1608" t="str">
        <f>IF(OR(Table1[[#This Row],[marital_status]]="Married", Table1[[#This Row],[marital_status]]="Together"), "Partnered", "Single")</f>
        <v>Partnered</v>
      </c>
      <c r="F1608" s="7">
        <v>71855</v>
      </c>
      <c r="G1608" s="8">
        <v>0</v>
      </c>
      <c r="H1608" s="8">
        <v>1</v>
      </c>
      <c r="I1608" s="8">
        <f>Table1[[#This Row],[kids]]+Table1[[#This Row],[teens]]</f>
        <v>1</v>
      </c>
      <c r="J1608" s="9">
        <v>41290</v>
      </c>
      <c r="K1608" s="8">
        <v>59</v>
      </c>
      <c r="L1608" s="6">
        <v>548</v>
      </c>
      <c r="M1608" s="5">
        <v>31</v>
      </c>
      <c r="N1608" s="5">
        <v>422</v>
      </c>
      <c r="O1608" s="5">
        <v>0</v>
      </c>
      <c r="P1608" s="5">
        <v>112</v>
      </c>
      <c r="Q1608" s="5">
        <v>28</v>
      </c>
      <c r="R1608" s="8">
        <v>4</v>
      </c>
      <c r="S1608" s="8">
        <v>5</v>
      </c>
      <c r="T1608" s="8">
        <v>5</v>
      </c>
      <c r="U1608" s="8">
        <v>11</v>
      </c>
      <c r="V1608" s="8">
        <v>3</v>
      </c>
      <c r="W1608" t="s">
        <v>473</v>
      </c>
      <c r="X1608" t="s">
        <v>473</v>
      </c>
      <c r="Y1608" t="s">
        <v>473</v>
      </c>
      <c r="Z1608" t="s">
        <v>473</v>
      </c>
      <c r="AA1608" t="s">
        <v>473</v>
      </c>
      <c r="AB1608" t="s">
        <v>473</v>
      </c>
      <c r="AC1608" s="10">
        <v>3</v>
      </c>
      <c r="AD1608" s="10">
        <v>11</v>
      </c>
      <c r="AE1608" t="s">
        <v>473</v>
      </c>
    </row>
    <row r="1609" spans="1:31" x14ac:dyDescent="0.25">
      <c r="A1609">
        <v>4656</v>
      </c>
      <c r="B1609">
        <v>1990</v>
      </c>
      <c r="C1609" t="s">
        <v>46</v>
      </c>
      <c r="D1609" t="s">
        <v>30</v>
      </c>
      <c r="E1609" t="str">
        <f>IF(OR(Table1[[#This Row],[marital_status]]="Married", Table1[[#This Row],[marital_status]]="Together"), "Partnered", "Single")</f>
        <v>Single</v>
      </c>
      <c r="F1609" s="7">
        <v>51250</v>
      </c>
      <c r="G1609" s="8">
        <v>1</v>
      </c>
      <c r="H1609" s="8">
        <v>0</v>
      </c>
      <c r="I1609" s="8">
        <f>Table1[[#This Row],[kids]]+Table1[[#This Row],[teens]]</f>
        <v>1</v>
      </c>
      <c r="J1609" s="9">
        <v>41363</v>
      </c>
      <c r="K1609" s="8">
        <v>28</v>
      </c>
      <c r="L1609" s="6">
        <v>342</v>
      </c>
      <c r="M1609" s="5">
        <v>32</v>
      </c>
      <c r="N1609" s="5">
        <v>230</v>
      </c>
      <c r="O1609" s="5">
        <v>34</v>
      </c>
      <c r="P1609" s="5">
        <v>32</v>
      </c>
      <c r="Q1609" s="5">
        <v>40</v>
      </c>
      <c r="R1609" s="8">
        <v>5</v>
      </c>
      <c r="S1609" s="8">
        <v>10</v>
      </c>
      <c r="T1609" s="8">
        <v>5</v>
      </c>
      <c r="U1609" s="8">
        <v>4</v>
      </c>
      <c r="V1609" s="8">
        <v>9</v>
      </c>
      <c r="W1609" t="s">
        <v>474</v>
      </c>
      <c r="X1609" t="s">
        <v>473</v>
      </c>
      <c r="Y1609" t="s">
        <v>473</v>
      </c>
      <c r="Z1609" t="s">
        <v>473</v>
      </c>
      <c r="AA1609" t="s">
        <v>473</v>
      </c>
      <c r="AB1609" t="s">
        <v>473</v>
      </c>
      <c r="AC1609" s="10">
        <v>3</v>
      </c>
      <c r="AD1609" s="10">
        <v>11</v>
      </c>
      <c r="AE1609" t="s">
        <v>473</v>
      </c>
    </row>
    <row r="1610" spans="1:31" x14ac:dyDescent="0.25">
      <c r="A1610">
        <v>4480</v>
      </c>
      <c r="B1610">
        <v>1973</v>
      </c>
      <c r="C1610" t="s">
        <v>36</v>
      </c>
      <c r="D1610" t="s">
        <v>34</v>
      </c>
      <c r="E1610" t="str">
        <f>IF(OR(Table1[[#This Row],[marital_status]]="Married", Table1[[#This Row],[marital_status]]="Together"), "Partnered", "Single")</f>
        <v>Partnered</v>
      </c>
      <c r="F1610" s="7">
        <v>60432</v>
      </c>
      <c r="G1610" s="8">
        <v>0</v>
      </c>
      <c r="H1610" s="8">
        <v>1</v>
      </c>
      <c r="I1610" s="8">
        <f>Table1[[#This Row],[kids]]+Table1[[#This Row],[teens]]</f>
        <v>1</v>
      </c>
      <c r="J1610" s="9">
        <v>41707</v>
      </c>
      <c r="K1610" s="8">
        <v>61</v>
      </c>
      <c r="L1610" s="6">
        <v>365</v>
      </c>
      <c r="M1610" s="5">
        <v>3</v>
      </c>
      <c r="N1610" s="5">
        <v>15</v>
      </c>
      <c r="O1610" s="5">
        <v>4</v>
      </c>
      <c r="P1610" s="5">
        <v>3</v>
      </c>
      <c r="Q1610" s="5">
        <v>11</v>
      </c>
      <c r="R1610" s="8">
        <v>5</v>
      </c>
      <c r="S1610" s="8">
        <v>7</v>
      </c>
      <c r="T1610" s="8">
        <v>2</v>
      </c>
      <c r="U1610" s="8">
        <v>5</v>
      </c>
      <c r="V1610" s="8">
        <v>6</v>
      </c>
      <c r="W1610" t="s">
        <v>473</v>
      </c>
      <c r="X1610" t="s">
        <v>473</v>
      </c>
      <c r="Y1610" t="s">
        <v>473</v>
      </c>
      <c r="Z1610" t="s">
        <v>473</v>
      </c>
      <c r="AA1610" t="s">
        <v>473</v>
      </c>
      <c r="AB1610" t="s">
        <v>473</v>
      </c>
      <c r="AC1610" s="10">
        <v>3</v>
      </c>
      <c r="AD1610" s="10">
        <v>11</v>
      </c>
      <c r="AE1610" t="s">
        <v>473</v>
      </c>
    </row>
    <row r="1611" spans="1:31" x14ac:dyDescent="0.25">
      <c r="A1611">
        <v>9971</v>
      </c>
      <c r="B1611">
        <v>1964</v>
      </c>
      <c r="C1611" t="s">
        <v>33</v>
      </c>
      <c r="D1611" t="s">
        <v>34</v>
      </c>
      <c r="E1611" t="str">
        <f>IF(OR(Table1[[#This Row],[marital_status]]="Married", Table1[[#This Row],[marital_status]]="Together"), "Partnered", "Single")</f>
        <v>Partnered</v>
      </c>
      <c r="F1611" s="7">
        <v>65526</v>
      </c>
      <c r="G1611" s="8">
        <v>0</v>
      </c>
      <c r="H1611" s="8">
        <v>1</v>
      </c>
      <c r="I1611" s="8">
        <f>Table1[[#This Row],[kids]]+Table1[[#This Row],[teens]]</f>
        <v>1</v>
      </c>
      <c r="J1611" s="9">
        <v>41740</v>
      </c>
      <c r="K1611" s="8">
        <v>22</v>
      </c>
      <c r="L1611" s="6">
        <v>397</v>
      </c>
      <c r="M1611" s="5">
        <v>19</v>
      </c>
      <c r="N1611" s="5">
        <v>69</v>
      </c>
      <c r="O1611" s="5">
        <v>12</v>
      </c>
      <c r="P1611" s="5">
        <v>0</v>
      </c>
      <c r="Q1611" s="5">
        <v>9</v>
      </c>
      <c r="R1611" s="8">
        <v>1</v>
      </c>
      <c r="S1611" s="8">
        <v>4</v>
      </c>
      <c r="T1611" s="8">
        <v>4</v>
      </c>
      <c r="U1611" s="8">
        <v>8</v>
      </c>
      <c r="V1611" s="8">
        <v>2</v>
      </c>
      <c r="W1611" t="s">
        <v>473</v>
      </c>
      <c r="X1611" t="s">
        <v>473</v>
      </c>
      <c r="Y1611" t="s">
        <v>473</v>
      </c>
      <c r="Z1611" t="s">
        <v>473</v>
      </c>
      <c r="AA1611" t="s">
        <v>473</v>
      </c>
      <c r="AB1611" t="s">
        <v>473</v>
      </c>
      <c r="AC1611" s="10">
        <v>3</v>
      </c>
      <c r="AD1611" s="10">
        <v>11</v>
      </c>
      <c r="AE1611" t="s">
        <v>473</v>
      </c>
    </row>
    <row r="1612" spans="1:31" x14ac:dyDescent="0.25">
      <c r="A1612">
        <v>6729</v>
      </c>
      <c r="B1612">
        <v>1988</v>
      </c>
      <c r="C1612" t="s">
        <v>466</v>
      </c>
      <c r="D1612" t="s">
        <v>30</v>
      </c>
      <c r="E1612" t="str">
        <f>IF(OR(Table1[[#This Row],[marital_status]]="Married", Table1[[#This Row],[marital_status]]="Together"), "Partnered", "Single")</f>
        <v>Single</v>
      </c>
      <c r="F1612" s="7">
        <v>68655</v>
      </c>
      <c r="G1612" s="8">
        <v>0</v>
      </c>
      <c r="H1612" s="8">
        <v>0</v>
      </c>
      <c r="I1612" s="8">
        <f>Table1[[#This Row],[kids]]+Table1[[#This Row],[teens]]</f>
        <v>0</v>
      </c>
      <c r="J1612" s="9">
        <v>41131</v>
      </c>
      <c r="K1612" s="8">
        <v>95</v>
      </c>
      <c r="L1612" s="6">
        <v>456</v>
      </c>
      <c r="M1612" s="5">
        <v>19</v>
      </c>
      <c r="N1612" s="5">
        <v>832</v>
      </c>
      <c r="O1612" s="5">
        <v>75</v>
      </c>
      <c r="P1612" s="5">
        <v>118</v>
      </c>
      <c r="Q1612" s="5">
        <v>38</v>
      </c>
      <c r="R1612" s="8">
        <v>1</v>
      </c>
      <c r="S1612" s="8">
        <v>4</v>
      </c>
      <c r="T1612" s="8">
        <v>5</v>
      </c>
      <c r="U1612" s="8">
        <v>11</v>
      </c>
      <c r="V1612" s="8">
        <v>3</v>
      </c>
      <c r="W1612" t="s">
        <v>473</v>
      </c>
      <c r="X1612" t="s">
        <v>473</v>
      </c>
      <c r="Y1612" t="s">
        <v>473</v>
      </c>
      <c r="Z1612" t="s">
        <v>473</v>
      </c>
      <c r="AA1612" t="s">
        <v>473</v>
      </c>
      <c r="AB1612" t="s">
        <v>473</v>
      </c>
      <c r="AC1612" s="10">
        <v>3</v>
      </c>
      <c r="AD1612" s="10">
        <v>11</v>
      </c>
      <c r="AE1612" t="s">
        <v>473</v>
      </c>
    </row>
    <row r="1613" spans="1:31" x14ac:dyDescent="0.25">
      <c r="A1613">
        <v>1773</v>
      </c>
      <c r="B1613">
        <v>1978</v>
      </c>
      <c r="C1613" t="s">
        <v>46</v>
      </c>
      <c r="D1613" t="s">
        <v>34</v>
      </c>
      <c r="E1613" t="str">
        <f>IF(OR(Table1[[#This Row],[marital_status]]="Married", Table1[[#This Row],[marital_status]]="Together"), "Partnered", "Single")</f>
        <v>Partnered</v>
      </c>
      <c r="F1613" s="7">
        <v>12393</v>
      </c>
      <c r="G1613" s="8">
        <v>0</v>
      </c>
      <c r="H1613" s="8">
        <v>0</v>
      </c>
      <c r="I1613" s="8">
        <f>Table1[[#This Row],[kids]]+Table1[[#This Row],[teens]]</f>
        <v>0</v>
      </c>
      <c r="J1613" s="9">
        <v>41247</v>
      </c>
      <c r="K1613" s="8">
        <v>38</v>
      </c>
      <c r="L1613" s="6">
        <v>5</v>
      </c>
      <c r="M1613" s="5">
        <v>6</v>
      </c>
      <c r="N1613" s="5">
        <v>15</v>
      </c>
      <c r="O1613" s="5">
        <v>11</v>
      </c>
      <c r="P1613" s="5">
        <v>7</v>
      </c>
      <c r="Q1613" s="5">
        <v>13</v>
      </c>
      <c r="R1613" s="8">
        <v>1</v>
      </c>
      <c r="S1613" s="8">
        <v>2</v>
      </c>
      <c r="T1613" s="8">
        <v>0</v>
      </c>
      <c r="U1613" s="8">
        <v>3</v>
      </c>
      <c r="V1613" s="8">
        <v>9</v>
      </c>
      <c r="W1613" t="s">
        <v>473</v>
      </c>
      <c r="X1613" t="s">
        <v>473</v>
      </c>
      <c r="Y1613" t="s">
        <v>473</v>
      </c>
      <c r="Z1613" t="s">
        <v>473</v>
      </c>
      <c r="AA1613" t="s">
        <v>473</v>
      </c>
      <c r="AB1613" t="s">
        <v>473</v>
      </c>
      <c r="AC1613" s="10">
        <v>3</v>
      </c>
      <c r="AD1613" s="10">
        <v>11</v>
      </c>
      <c r="AE1613" t="s">
        <v>473</v>
      </c>
    </row>
    <row r="1614" spans="1:31" x14ac:dyDescent="0.25">
      <c r="A1614">
        <v>9242</v>
      </c>
      <c r="B1614">
        <v>1990</v>
      </c>
      <c r="C1614" t="s">
        <v>466</v>
      </c>
      <c r="D1614" t="s">
        <v>30</v>
      </c>
      <c r="E1614" t="str">
        <f>IF(OR(Table1[[#This Row],[marital_status]]="Married", Table1[[#This Row],[marital_status]]="Together"), "Partnered", "Single")</f>
        <v>Single</v>
      </c>
      <c r="F1614" s="7">
        <v>64509</v>
      </c>
      <c r="G1614" s="8">
        <v>0</v>
      </c>
      <c r="H1614" s="8">
        <v>0</v>
      </c>
      <c r="I1614" s="8">
        <f>Table1[[#This Row],[kids]]+Table1[[#This Row],[teens]]</f>
        <v>0</v>
      </c>
      <c r="J1614" s="9">
        <v>41503</v>
      </c>
      <c r="K1614" s="8">
        <v>19</v>
      </c>
      <c r="L1614" s="6">
        <v>836</v>
      </c>
      <c r="M1614" s="5">
        <v>185</v>
      </c>
      <c r="N1614" s="5">
        <v>575</v>
      </c>
      <c r="O1614" s="5">
        <v>24</v>
      </c>
      <c r="P1614" s="5">
        <v>25</v>
      </c>
      <c r="Q1614" s="5">
        <v>77</v>
      </c>
      <c r="R1614" s="8">
        <v>1</v>
      </c>
      <c r="S1614" s="8">
        <v>6</v>
      </c>
      <c r="T1614" s="8">
        <v>3</v>
      </c>
      <c r="U1614" s="8">
        <v>9</v>
      </c>
      <c r="V1614" s="8">
        <v>4</v>
      </c>
      <c r="W1614" t="s">
        <v>474</v>
      </c>
      <c r="X1614" t="s">
        <v>473</v>
      </c>
      <c r="Y1614" t="s">
        <v>473</v>
      </c>
      <c r="Z1614" t="s">
        <v>473</v>
      </c>
      <c r="AA1614" t="s">
        <v>473</v>
      </c>
      <c r="AB1614" t="s">
        <v>473</v>
      </c>
      <c r="AC1614" s="10">
        <v>3</v>
      </c>
      <c r="AD1614" s="10">
        <v>11</v>
      </c>
      <c r="AE1614" t="s">
        <v>474</v>
      </c>
    </row>
    <row r="1615" spans="1:31" x14ac:dyDescent="0.25">
      <c r="A1615">
        <v>1764</v>
      </c>
      <c r="B1615">
        <v>1975</v>
      </c>
      <c r="C1615" t="s">
        <v>466</v>
      </c>
      <c r="D1615" t="s">
        <v>30</v>
      </c>
      <c r="E1615" t="str">
        <f>IF(OR(Table1[[#This Row],[marital_status]]="Married", Table1[[#This Row],[marital_status]]="Together"), "Partnered", "Single")</f>
        <v>Single</v>
      </c>
      <c r="F1615" s="7">
        <v>33955</v>
      </c>
      <c r="G1615" s="8">
        <v>1</v>
      </c>
      <c r="H1615" s="8">
        <v>0</v>
      </c>
      <c r="I1615" s="8">
        <f>Table1[[#This Row],[kids]]+Table1[[#This Row],[teens]]</f>
        <v>1</v>
      </c>
      <c r="J1615" s="9">
        <v>41495</v>
      </c>
      <c r="K1615" s="8">
        <v>92</v>
      </c>
      <c r="L1615" s="6">
        <v>100</v>
      </c>
      <c r="M1615" s="5">
        <v>2</v>
      </c>
      <c r="N1615" s="5">
        <v>128</v>
      </c>
      <c r="O1615" s="5">
        <v>23</v>
      </c>
      <c r="P1615" s="5">
        <v>7</v>
      </c>
      <c r="Q1615" s="5">
        <v>10</v>
      </c>
      <c r="R1615" s="8">
        <v>4</v>
      </c>
      <c r="S1615" s="8">
        <v>5</v>
      </c>
      <c r="T1615" s="8">
        <v>1</v>
      </c>
      <c r="U1615" s="8">
        <v>5</v>
      </c>
      <c r="V1615" s="8">
        <v>8</v>
      </c>
      <c r="W1615" t="s">
        <v>473</v>
      </c>
      <c r="X1615" t="s">
        <v>473</v>
      </c>
      <c r="Y1615" t="s">
        <v>473</v>
      </c>
      <c r="Z1615" t="s">
        <v>473</v>
      </c>
      <c r="AA1615" t="s">
        <v>473</v>
      </c>
      <c r="AB1615" t="s">
        <v>473</v>
      </c>
      <c r="AC1615" s="10">
        <v>3</v>
      </c>
      <c r="AD1615" s="10">
        <v>11</v>
      </c>
      <c r="AE1615" t="s">
        <v>473</v>
      </c>
    </row>
    <row r="1616" spans="1:31" x14ac:dyDescent="0.25">
      <c r="A1616">
        <v>6215</v>
      </c>
      <c r="B1616">
        <v>1977</v>
      </c>
      <c r="C1616" t="s">
        <v>466</v>
      </c>
      <c r="D1616" t="s">
        <v>34</v>
      </c>
      <c r="E1616" t="str">
        <f>IF(OR(Table1[[#This Row],[marital_status]]="Married", Table1[[#This Row],[marital_status]]="Together"), "Partnered", "Single")</f>
        <v>Partnered</v>
      </c>
      <c r="F1616" s="7">
        <v>31353</v>
      </c>
      <c r="G1616" s="8">
        <v>1</v>
      </c>
      <c r="H1616" s="8">
        <v>1</v>
      </c>
      <c r="I1616" s="8">
        <f>Table1[[#This Row],[kids]]+Table1[[#This Row],[teens]]</f>
        <v>2</v>
      </c>
      <c r="J1616" s="9">
        <v>41637</v>
      </c>
      <c r="K1616" s="8">
        <v>24</v>
      </c>
      <c r="L1616" s="6">
        <v>10</v>
      </c>
      <c r="M1616" s="5">
        <v>0</v>
      </c>
      <c r="N1616" s="5">
        <v>10</v>
      </c>
      <c r="O1616" s="5">
        <v>3</v>
      </c>
      <c r="P1616" s="5">
        <v>1</v>
      </c>
      <c r="Q1616" s="5">
        <v>7</v>
      </c>
      <c r="R1616" s="8">
        <v>2</v>
      </c>
      <c r="S1616" s="8">
        <v>1</v>
      </c>
      <c r="T1616" s="8">
        <v>1</v>
      </c>
      <c r="U1616" s="8">
        <v>2</v>
      </c>
      <c r="V1616" s="8">
        <v>8</v>
      </c>
      <c r="W1616" t="s">
        <v>473</v>
      </c>
      <c r="X1616" t="s">
        <v>473</v>
      </c>
      <c r="Y1616" t="s">
        <v>473</v>
      </c>
      <c r="Z1616" t="s">
        <v>473</v>
      </c>
      <c r="AA1616" t="s">
        <v>473</v>
      </c>
      <c r="AB1616" t="s">
        <v>473</v>
      </c>
      <c r="AC1616" s="10">
        <v>3</v>
      </c>
      <c r="AD1616" s="10">
        <v>11</v>
      </c>
      <c r="AE1616" t="s">
        <v>474</v>
      </c>
    </row>
    <row r="1617" spans="1:31" x14ac:dyDescent="0.25">
      <c r="A1617">
        <v>10099</v>
      </c>
      <c r="B1617">
        <v>1984</v>
      </c>
      <c r="C1617" t="s">
        <v>466</v>
      </c>
      <c r="D1617" t="s">
        <v>34</v>
      </c>
      <c r="E1617" t="str">
        <f>IF(OR(Table1[[#This Row],[marital_status]]="Married", Table1[[#This Row],[marital_status]]="Together"), "Partnered", "Single")</f>
        <v>Partnered</v>
      </c>
      <c r="F1617" s="7">
        <v>55434</v>
      </c>
      <c r="G1617" s="8">
        <v>1</v>
      </c>
      <c r="H1617" s="8">
        <v>0</v>
      </c>
      <c r="I1617" s="8">
        <f>Table1[[#This Row],[kids]]+Table1[[#This Row],[teens]]</f>
        <v>1</v>
      </c>
      <c r="J1617" s="9">
        <v>41552</v>
      </c>
      <c r="K1617" s="8">
        <v>21</v>
      </c>
      <c r="L1617" s="6">
        <v>238</v>
      </c>
      <c r="M1617" s="5">
        <v>115</v>
      </c>
      <c r="N1617" s="5">
        <v>215</v>
      </c>
      <c r="O1617" s="5">
        <v>169</v>
      </c>
      <c r="P1617" s="5">
        <v>69</v>
      </c>
      <c r="Q1617" s="5">
        <v>76</v>
      </c>
      <c r="R1617" s="8">
        <v>3</v>
      </c>
      <c r="S1617" s="8">
        <v>5</v>
      </c>
      <c r="T1617" s="8">
        <v>3</v>
      </c>
      <c r="U1617" s="8">
        <v>13</v>
      </c>
      <c r="V1617" s="8">
        <v>4</v>
      </c>
      <c r="W1617" t="s">
        <v>473</v>
      </c>
      <c r="X1617" t="s">
        <v>473</v>
      </c>
      <c r="Y1617" t="s">
        <v>473</v>
      </c>
      <c r="Z1617" t="s">
        <v>473</v>
      </c>
      <c r="AA1617" t="s">
        <v>473</v>
      </c>
      <c r="AB1617" t="s">
        <v>473</v>
      </c>
      <c r="AC1617" s="10">
        <v>3</v>
      </c>
      <c r="AD1617" s="10">
        <v>11</v>
      </c>
      <c r="AE1617" t="s">
        <v>473</v>
      </c>
    </row>
    <row r="1618" spans="1:31" x14ac:dyDescent="0.25">
      <c r="A1618">
        <v>5423</v>
      </c>
      <c r="B1618">
        <v>1983</v>
      </c>
      <c r="C1618" t="s">
        <v>466</v>
      </c>
      <c r="D1618" t="s">
        <v>31</v>
      </c>
      <c r="E1618" t="str">
        <f>IF(OR(Table1[[#This Row],[marital_status]]="Married", Table1[[#This Row],[marital_status]]="Together"), "Partnered", "Single")</f>
        <v>Partnered</v>
      </c>
      <c r="F1618" s="7">
        <v>28359</v>
      </c>
      <c r="G1618" s="8">
        <v>1</v>
      </c>
      <c r="H1618" s="8">
        <v>0</v>
      </c>
      <c r="I1618" s="8">
        <f>Table1[[#This Row],[kids]]+Table1[[#This Row],[teens]]</f>
        <v>1</v>
      </c>
      <c r="J1618" s="9">
        <v>41574</v>
      </c>
      <c r="K1618" s="8">
        <v>35</v>
      </c>
      <c r="L1618" s="6">
        <v>6</v>
      </c>
      <c r="M1618" s="5">
        <v>0</v>
      </c>
      <c r="N1618" s="5">
        <v>5</v>
      </c>
      <c r="O1618" s="5">
        <v>2</v>
      </c>
      <c r="P1618" s="5">
        <v>1</v>
      </c>
      <c r="Q1618" s="5">
        <v>2</v>
      </c>
      <c r="R1618" s="8">
        <v>1</v>
      </c>
      <c r="S1618" s="8">
        <v>1</v>
      </c>
      <c r="T1618" s="8">
        <v>0</v>
      </c>
      <c r="U1618" s="8">
        <v>2</v>
      </c>
      <c r="V1618" s="8">
        <v>7</v>
      </c>
      <c r="W1618" t="s">
        <v>473</v>
      </c>
      <c r="X1618" t="s">
        <v>473</v>
      </c>
      <c r="Y1618" t="s">
        <v>473</v>
      </c>
      <c r="Z1618" t="s">
        <v>473</v>
      </c>
      <c r="AA1618" t="s">
        <v>473</v>
      </c>
      <c r="AB1618" t="s">
        <v>473</v>
      </c>
      <c r="AC1618" s="10">
        <v>3</v>
      </c>
      <c r="AD1618" s="10">
        <v>11</v>
      </c>
      <c r="AE1618" t="s">
        <v>473</v>
      </c>
    </row>
    <row r="1619" spans="1:31" x14ac:dyDescent="0.25">
      <c r="A1619">
        <v>940</v>
      </c>
      <c r="B1619">
        <v>1987</v>
      </c>
      <c r="C1619" t="s">
        <v>466</v>
      </c>
      <c r="D1619" t="s">
        <v>30</v>
      </c>
      <c r="E1619" t="str">
        <f>IF(OR(Table1[[#This Row],[marital_status]]="Married", Table1[[#This Row],[marital_status]]="Together"), "Partnered", "Single")</f>
        <v>Single</v>
      </c>
      <c r="F1619" s="7">
        <v>57100</v>
      </c>
      <c r="G1619" s="8">
        <v>1</v>
      </c>
      <c r="H1619" s="8">
        <v>0</v>
      </c>
      <c r="I1619" s="8">
        <f>Table1[[#This Row],[kids]]+Table1[[#This Row],[teens]]</f>
        <v>1</v>
      </c>
      <c r="J1619" s="9">
        <v>41777</v>
      </c>
      <c r="K1619" s="8">
        <v>9</v>
      </c>
      <c r="L1619" s="6">
        <v>158</v>
      </c>
      <c r="M1619" s="5">
        <v>11</v>
      </c>
      <c r="N1619" s="5">
        <v>99</v>
      </c>
      <c r="O1619" s="5">
        <v>15</v>
      </c>
      <c r="P1619" s="5">
        <v>11</v>
      </c>
      <c r="Q1619" s="5">
        <v>17</v>
      </c>
      <c r="R1619" s="8">
        <v>2</v>
      </c>
      <c r="S1619" s="8">
        <v>3</v>
      </c>
      <c r="T1619" s="8">
        <v>2</v>
      </c>
      <c r="U1619" s="8">
        <v>7</v>
      </c>
      <c r="V1619" s="8">
        <v>3</v>
      </c>
      <c r="W1619" t="s">
        <v>473</v>
      </c>
      <c r="X1619" t="s">
        <v>473</v>
      </c>
      <c r="Y1619" t="s">
        <v>473</v>
      </c>
      <c r="Z1619" t="s">
        <v>473</v>
      </c>
      <c r="AA1619" t="s">
        <v>473</v>
      </c>
      <c r="AB1619" t="s">
        <v>473</v>
      </c>
      <c r="AC1619" s="10">
        <v>3</v>
      </c>
      <c r="AD1619" s="10">
        <v>11</v>
      </c>
      <c r="AE1619" t="s">
        <v>473</v>
      </c>
    </row>
    <row r="1620" spans="1:31" x14ac:dyDescent="0.25">
      <c r="A1620">
        <v>3011</v>
      </c>
      <c r="B1620">
        <v>1965</v>
      </c>
      <c r="C1620" t="s">
        <v>466</v>
      </c>
      <c r="D1620" t="s">
        <v>34</v>
      </c>
      <c r="E1620" t="str">
        <f>IF(OR(Table1[[#This Row],[marital_status]]="Married", Table1[[#This Row],[marital_status]]="Together"), "Partnered", "Single")</f>
        <v>Partnered</v>
      </c>
      <c r="F1620" s="7">
        <v>69139</v>
      </c>
      <c r="G1620" s="8">
        <v>0</v>
      </c>
      <c r="H1620" s="8">
        <v>1</v>
      </c>
      <c r="I1620" s="8">
        <f>Table1[[#This Row],[kids]]+Table1[[#This Row],[teens]]</f>
        <v>1</v>
      </c>
      <c r="J1620" s="9">
        <v>41666</v>
      </c>
      <c r="K1620" s="8">
        <v>23</v>
      </c>
      <c r="L1620" s="6">
        <v>86</v>
      </c>
      <c r="M1620" s="5">
        <v>12</v>
      </c>
      <c r="N1620" s="5">
        <v>75</v>
      </c>
      <c r="O1620" s="5">
        <v>33</v>
      </c>
      <c r="P1620" s="5">
        <v>15</v>
      </c>
      <c r="Q1620" s="5">
        <v>6</v>
      </c>
      <c r="R1620" s="8">
        <v>1</v>
      </c>
      <c r="S1620" s="8">
        <v>4</v>
      </c>
      <c r="T1620" s="8">
        <v>1</v>
      </c>
      <c r="U1620" s="8">
        <v>5</v>
      </c>
      <c r="V1620" s="8">
        <v>4</v>
      </c>
      <c r="W1620" t="s">
        <v>473</v>
      </c>
      <c r="X1620" t="s">
        <v>473</v>
      </c>
      <c r="Y1620" t="s">
        <v>473</v>
      </c>
      <c r="Z1620" t="s">
        <v>473</v>
      </c>
      <c r="AA1620" t="s">
        <v>473</v>
      </c>
      <c r="AB1620" t="s">
        <v>473</v>
      </c>
      <c r="AC1620" s="10">
        <v>3</v>
      </c>
      <c r="AD1620" s="10">
        <v>11</v>
      </c>
      <c r="AE1620" t="s">
        <v>473</v>
      </c>
    </row>
    <row r="1621" spans="1:31" x14ac:dyDescent="0.25">
      <c r="A1621">
        <v>3298</v>
      </c>
      <c r="B1621">
        <v>1956</v>
      </c>
      <c r="C1621" t="s">
        <v>36</v>
      </c>
      <c r="D1621" t="s">
        <v>34</v>
      </c>
      <c r="E1621" t="str">
        <f>IF(OR(Table1[[#This Row],[marital_status]]="Married", Table1[[#This Row],[marital_status]]="Together"), "Partnered", "Single")</f>
        <v>Partnered</v>
      </c>
      <c r="F1621" s="7">
        <v>52973</v>
      </c>
      <c r="G1621" s="8">
        <v>0</v>
      </c>
      <c r="H1621" s="8">
        <v>1</v>
      </c>
      <c r="I1621" s="8">
        <f>Table1[[#This Row],[kids]]+Table1[[#This Row],[teens]]</f>
        <v>1</v>
      </c>
      <c r="J1621" s="9">
        <v>41221</v>
      </c>
      <c r="K1621" s="8">
        <v>92</v>
      </c>
      <c r="L1621" s="6">
        <v>856</v>
      </c>
      <c r="M1621" s="5">
        <v>0</v>
      </c>
      <c r="N1621" s="5">
        <v>76</v>
      </c>
      <c r="O1621" s="5">
        <v>12</v>
      </c>
      <c r="P1621" s="5">
        <v>9</v>
      </c>
      <c r="Q1621" s="5">
        <v>199</v>
      </c>
      <c r="R1621" s="8">
        <v>7</v>
      </c>
      <c r="S1621" s="8">
        <v>9</v>
      </c>
      <c r="T1621" s="8">
        <v>6</v>
      </c>
      <c r="U1621" s="8">
        <v>9</v>
      </c>
      <c r="V1621" s="8">
        <v>8</v>
      </c>
      <c r="W1621" t="s">
        <v>473</v>
      </c>
      <c r="X1621" t="s">
        <v>473</v>
      </c>
      <c r="Y1621" t="s">
        <v>473</v>
      </c>
      <c r="Z1621" t="s">
        <v>473</v>
      </c>
      <c r="AA1621" t="s">
        <v>473</v>
      </c>
      <c r="AB1621" t="s">
        <v>473</v>
      </c>
      <c r="AC1621" s="10">
        <v>3</v>
      </c>
      <c r="AD1621" s="10">
        <v>11</v>
      </c>
      <c r="AE1621" t="s">
        <v>473</v>
      </c>
    </row>
    <row r="1622" spans="1:31" x14ac:dyDescent="0.25">
      <c r="A1622">
        <v>8286</v>
      </c>
      <c r="B1622">
        <v>1965</v>
      </c>
      <c r="C1622" t="s">
        <v>33</v>
      </c>
      <c r="D1622" t="s">
        <v>31</v>
      </c>
      <c r="E1622" t="str">
        <f>IF(OR(Table1[[#This Row],[marital_status]]="Married", Table1[[#This Row],[marital_status]]="Together"), "Partnered", "Single")</f>
        <v>Partnered</v>
      </c>
      <c r="F1622" s="7">
        <v>51717</v>
      </c>
      <c r="G1622" s="8">
        <v>0</v>
      </c>
      <c r="H1622" s="8">
        <v>1</v>
      </c>
      <c r="I1622" s="8">
        <f>Table1[[#This Row],[kids]]+Table1[[#This Row],[teens]]</f>
        <v>1</v>
      </c>
      <c r="J1622" s="9">
        <v>41506</v>
      </c>
      <c r="K1622" s="8">
        <v>55</v>
      </c>
      <c r="L1622" s="6">
        <v>98</v>
      </c>
      <c r="M1622" s="5">
        <v>1</v>
      </c>
      <c r="N1622" s="5">
        <v>17</v>
      </c>
      <c r="O1622" s="5">
        <v>0</v>
      </c>
      <c r="P1622" s="5">
        <v>1</v>
      </c>
      <c r="Q1622" s="5">
        <v>5</v>
      </c>
      <c r="R1622" s="8">
        <v>1</v>
      </c>
      <c r="S1622" s="8">
        <v>3</v>
      </c>
      <c r="T1622" s="8">
        <v>0</v>
      </c>
      <c r="U1622" s="8">
        <v>4</v>
      </c>
      <c r="V1622" s="8">
        <v>7</v>
      </c>
      <c r="W1622" t="s">
        <v>473</v>
      </c>
      <c r="X1622" t="s">
        <v>474</v>
      </c>
      <c r="Y1622" t="s">
        <v>473</v>
      </c>
      <c r="Z1622" t="s">
        <v>473</v>
      </c>
      <c r="AA1622" t="s">
        <v>473</v>
      </c>
      <c r="AB1622" t="s">
        <v>473</v>
      </c>
      <c r="AC1622" s="10">
        <v>3</v>
      </c>
      <c r="AD1622" s="10">
        <v>11</v>
      </c>
      <c r="AE1622" t="s">
        <v>473</v>
      </c>
    </row>
    <row r="1623" spans="1:31" x14ac:dyDescent="0.25">
      <c r="A1623">
        <v>9668</v>
      </c>
      <c r="B1623">
        <v>1971</v>
      </c>
      <c r="C1623" t="s">
        <v>466</v>
      </c>
      <c r="D1623" t="s">
        <v>34</v>
      </c>
      <c r="E1623" t="str">
        <f>IF(OR(Table1[[#This Row],[marital_status]]="Married", Table1[[#This Row],[marital_status]]="Together"), "Partnered", "Single")</f>
        <v>Partnered</v>
      </c>
      <c r="F1623" s="7">
        <v>18793</v>
      </c>
      <c r="G1623" s="8">
        <v>1</v>
      </c>
      <c r="H1623" s="8">
        <v>0</v>
      </c>
      <c r="I1623" s="8">
        <f>Table1[[#This Row],[kids]]+Table1[[#This Row],[teens]]</f>
        <v>1</v>
      </c>
      <c r="J1623" s="9">
        <v>41286</v>
      </c>
      <c r="K1623" s="8">
        <v>14</v>
      </c>
      <c r="L1623" s="6">
        <v>4</v>
      </c>
      <c r="M1623" s="5">
        <v>16</v>
      </c>
      <c r="N1623" s="5">
        <v>20</v>
      </c>
      <c r="O1623" s="5">
        <v>0</v>
      </c>
      <c r="P1623" s="5">
        <v>17</v>
      </c>
      <c r="Q1623" s="5">
        <v>20</v>
      </c>
      <c r="R1623" s="8">
        <v>3</v>
      </c>
      <c r="S1623" s="8">
        <v>2</v>
      </c>
      <c r="T1623" s="8">
        <v>0</v>
      </c>
      <c r="U1623" s="8">
        <v>4</v>
      </c>
      <c r="V1623" s="8">
        <v>8</v>
      </c>
      <c r="W1623" t="s">
        <v>473</v>
      </c>
      <c r="X1623" t="s">
        <v>473</v>
      </c>
      <c r="Y1623" t="s">
        <v>473</v>
      </c>
      <c r="Z1623" t="s">
        <v>473</v>
      </c>
      <c r="AA1623" t="s">
        <v>473</v>
      </c>
      <c r="AB1623" t="s">
        <v>473</v>
      </c>
      <c r="AC1623" s="10">
        <v>3</v>
      </c>
      <c r="AD1623" s="10">
        <v>11</v>
      </c>
      <c r="AE1623" t="s">
        <v>473</v>
      </c>
    </row>
    <row r="1624" spans="1:31" x14ac:dyDescent="0.25">
      <c r="A1624">
        <v>5120</v>
      </c>
      <c r="B1624">
        <v>1982</v>
      </c>
      <c r="C1624" t="s">
        <v>46</v>
      </c>
      <c r="D1624" t="s">
        <v>31</v>
      </c>
      <c r="E1624" t="str">
        <f>IF(OR(Table1[[#This Row],[marital_status]]="Married", Table1[[#This Row],[marital_status]]="Together"), "Partnered", "Single")</f>
        <v>Partnered</v>
      </c>
      <c r="F1624" s="7">
        <v>66664</v>
      </c>
      <c r="G1624" s="8">
        <v>0</v>
      </c>
      <c r="H1624" s="8">
        <v>0</v>
      </c>
      <c r="I1624" s="8">
        <f>Table1[[#This Row],[kids]]+Table1[[#This Row],[teens]]</f>
        <v>0</v>
      </c>
      <c r="J1624" s="9">
        <v>41177</v>
      </c>
      <c r="K1624" s="8">
        <v>78</v>
      </c>
      <c r="L1624" s="6">
        <v>398</v>
      </c>
      <c r="M1624" s="5">
        <v>96</v>
      </c>
      <c r="N1624" s="5">
        <v>447</v>
      </c>
      <c r="O1624" s="5">
        <v>220</v>
      </c>
      <c r="P1624" s="5">
        <v>96</v>
      </c>
      <c r="Q1624" s="5">
        <v>32</v>
      </c>
      <c r="R1624" s="8">
        <v>1</v>
      </c>
      <c r="S1624" s="8">
        <v>5</v>
      </c>
      <c r="T1624" s="8">
        <v>7</v>
      </c>
      <c r="U1624" s="8">
        <v>6</v>
      </c>
      <c r="V1624" s="8">
        <v>3</v>
      </c>
      <c r="W1624" t="s">
        <v>473</v>
      </c>
      <c r="X1624" t="s">
        <v>473</v>
      </c>
      <c r="Y1624" t="s">
        <v>473</v>
      </c>
      <c r="Z1624" t="s">
        <v>473</v>
      </c>
      <c r="AA1624" t="s">
        <v>473</v>
      </c>
      <c r="AB1624" t="s">
        <v>473</v>
      </c>
      <c r="AC1624" s="10">
        <v>3</v>
      </c>
      <c r="AD1624" s="10">
        <v>11</v>
      </c>
      <c r="AE1624" t="s">
        <v>473</v>
      </c>
    </row>
    <row r="1625" spans="1:31" x14ac:dyDescent="0.25">
      <c r="A1625">
        <v>6097</v>
      </c>
      <c r="B1625">
        <v>1959</v>
      </c>
      <c r="C1625" t="s">
        <v>466</v>
      </c>
      <c r="D1625" t="s">
        <v>30</v>
      </c>
      <c r="E1625" t="str">
        <f>IF(OR(Table1[[#This Row],[marital_status]]="Married", Table1[[#This Row],[marital_status]]="Together"), "Partnered", "Single")</f>
        <v>Single</v>
      </c>
      <c r="F1625" s="7">
        <v>50664</v>
      </c>
      <c r="G1625" s="8">
        <v>1</v>
      </c>
      <c r="H1625" s="8">
        <v>1</v>
      </c>
      <c r="I1625" s="8">
        <f>Table1[[#This Row],[kids]]+Table1[[#This Row],[teens]]</f>
        <v>2</v>
      </c>
      <c r="J1625" s="9">
        <v>41290</v>
      </c>
      <c r="K1625" s="8">
        <v>64</v>
      </c>
      <c r="L1625" s="6">
        <v>313</v>
      </c>
      <c r="M1625" s="5">
        <v>8</v>
      </c>
      <c r="N1625" s="5">
        <v>104</v>
      </c>
      <c r="O1625" s="5">
        <v>6</v>
      </c>
      <c r="P1625" s="5">
        <v>4</v>
      </c>
      <c r="Q1625" s="5">
        <v>126</v>
      </c>
      <c r="R1625" s="8">
        <v>9</v>
      </c>
      <c r="S1625" s="8">
        <v>8</v>
      </c>
      <c r="T1625" s="8">
        <v>1</v>
      </c>
      <c r="U1625" s="8">
        <v>6</v>
      </c>
      <c r="V1625" s="8">
        <v>9</v>
      </c>
      <c r="W1625" t="s">
        <v>473</v>
      </c>
      <c r="X1625" t="s">
        <v>473</v>
      </c>
      <c r="Y1625" t="s">
        <v>473</v>
      </c>
      <c r="Z1625" t="s">
        <v>473</v>
      </c>
      <c r="AA1625" t="s">
        <v>473</v>
      </c>
      <c r="AB1625" t="s">
        <v>473</v>
      </c>
      <c r="AC1625" s="10">
        <v>3</v>
      </c>
      <c r="AD1625" s="10">
        <v>11</v>
      </c>
      <c r="AE1625" t="s">
        <v>473</v>
      </c>
    </row>
    <row r="1626" spans="1:31" x14ac:dyDescent="0.25">
      <c r="A1626">
        <v>7019</v>
      </c>
      <c r="B1626">
        <v>1963</v>
      </c>
      <c r="C1626" t="s">
        <v>466</v>
      </c>
      <c r="D1626" t="s">
        <v>31</v>
      </c>
      <c r="E1626" t="str">
        <f>IF(OR(Table1[[#This Row],[marital_status]]="Married", Table1[[#This Row],[marital_status]]="Together"), "Partnered", "Single")</f>
        <v>Partnered</v>
      </c>
      <c r="F1626" s="7">
        <v>54414</v>
      </c>
      <c r="G1626" s="8">
        <v>1</v>
      </c>
      <c r="H1626" s="8">
        <v>1</v>
      </c>
      <c r="I1626" s="8">
        <f>Table1[[#This Row],[kids]]+Table1[[#This Row],[teens]]</f>
        <v>2</v>
      </c>
      <c r="J1626" s="9">
        <v>41297</v>
      </c>
      <c r="K1626" s="8">
        <v>49</v>
      </c>
      <c r="L1626" s="6">
        <v>109</v>
      </c>
      <c r="M1626" s="5">
        <v>18</v>
      </c>
      <c r="N1626" s="5">
        <v>16</v>
      </c>
      <c r="O1626" s="5">
        <v>24</v>
      </c>
      <c r="P1626" s="5">
        <v>26</v>
      </c>
      <c r="Q1626" s="5">
        <v>18</v>
      </c>
      <c r="R1626" s="8">
        <v>4</v>
      </c>
      <c r="S1626" s="8">
        <v>3</v>
      </c>
      <c r="T1626" s="8">
        <v>1</v>
      </c>
      <c r="U1626" s="8">
        <v>5</v>
      </c>
      <c r="V1626" s="8">
        <v>4</v>
      </c>
      <c r="W1626" t="s">
        <v>473</v>
      </c>
      <c r="X1626" t="s">
        <v>473</v>
      </c>
      <c r="Y1626" t="s">
        <v>473</v>
      </c>
      <c r="Z1626" t="s">
        <v>473</v>
      </c>
      <c r="AA1626" t="s">
        <v>473</v>
      </c>
      <c r="AB1626" t="s">
        <v>473</v>
      </c>
      <c r="AC1626" s="10">
        <v>3</v>
      </c>
      <c r="AD1626" s="10">
        <v>11</v>
      </c>
      <c r="AE1626" t="s">
        <v>473</v>
      </c>
    </row>
    <row r="1627" spans="1:31" x14ac:dyDescent="0.25">
      <c r="A1627">
        <v>7408</v>
      </c>
      <c r="B1627">
        <v>1952</v>
      </c>
      <c r="C1627" t="s">
        <v>33</v>
      </c>
      <c r="D1627" t="s">
        <v>34</v>
      </c>
      <c r="E1627" t="str">
        <f>IF(OR(Table1[[#This Row],[marital_status]]="Married", Table1[[#This Row],[marital_status]]="Together"), "Partnered", "Single")</f>
        <v>Partnered</v>
      </c>
      <c r="F1627" s="7">
        <v>54549</v>
      </c>
      <c r="G1627" s="8">
        <v>0</v>
      </c>
      <c r="H1627" s="8">
        <v>1</v>
      </c>
      <c r="I1627" s="8">
        <f>Table1[[#This Row],[kids]]+Table1[[#This Row],[teens]]</f>
        <v>1</v>
      </c>
      <c r="J1627" s="9">
        <v>41701</v>
      </c>
      <c r="K1627" s="8">
        <v>8</v>
      </c>
      <c r="L1627" s="6">
        <v>216</v>
      </c>
      <c r="M1627" s="5">
        <v>2</v>
      </c>
      <c r="N1627" s="5">
        <v>6</v>
      </c>
      <c r="O1627" s="5">
        <v>0</v>
      </c>
      <c r="P1627" s="5">
        <v>0</v>
      </c>
      <c r="Q1627" s="5">
        <v>9</v>
      </c>
      <c r="R1627" s="8">
        <v>2</v>
      </c>
      <c r="S1627" s="8">
        <v>5</v>
      </c>
      <c r="T1627" s="8">
        <v>1</v>
      </c>
      <c r="U1627" s="8">
        <v>4</v>
      </c>
      <c r="V1627" s="8">
        <v>7</v>
      </c>
      <c r="W1627" t="s">
        <v>473</v>
      </c>
      <c r="X1627" t="s">
        <v>473</v>
      </c>
      <c r="Y1627" t="s">
        <v>473</v>
      </c>
      <c r="Z1627" t="s">
        <v>473</v>
      </c>
      <c r="AA1627" t="s">
        <v>473</v>
      </c>
      <c r="AB1627" t="s">
        <v>473</v>
      </c>
      <c r="AC1627" s="10">
        <v>3</v>
      </c>
      <c r="AD1627" s="10">
        <v>11</v>
      </c>
      <c r="AE1627" t="s">
        <v>473</v>
      </c>
    </row>
    <row r="1628" spans="1:31" x14ac:dyDescent="0.25">
      <c r="A1628">
        <v>8041</v>
      </c>
      <c r="B1628">
        <v>1971</v>
      </c>
      <c r="C1628" t="s">
        <v>33</v>
      </c>
      <c r="D1628" t="s">
        <v>57</v>
      </c>
      <c r="E1628" t="str">
        <f>IF(OR(Table1[[#This Row],[marital_status]]="Married", Table1[[#This Row],[marital_status]]="Together"), "Partnered", "Single")</f>
        <v>Single</v>
      </c>
      <c r="F1628" s="7">
        <v>47111</v>
      </c>
      <c r="G1628" s="8">
        <v>0</v>
      </c>
      <c r="H1628" s="8">
        <v>1</v>
      </c>
      <c r="I1628" s="8">
        <f>Table1[[#This Row],[kids]]+Table1[[#This Row],[teens]]</f>
        <v>1</v>
      </c>
      <c r="J1628" s="9">
        <v>41160</v>
      </c>
      <c r="K1628" s="8">
        <v>35</v>
      </c>
      <c r="L1628" s="6">
        <v>595</v>
      </c>
      <c r="M1628" s="5">
        <v>71</v>
      </c>
      <c r="N1628" s="5">
        <v>153</v>
      </c>
      <c r="O1628" s="5">
        <v>120</v>
      </c>
      <c r="P1628" s="5">
        <v>112</v>
      </c>
      <c r="Q1628" s="5">
        <v>41</v>
      </c>
      <c r="R1628" s="8">
        <v>6</v>
      </c>
      <c r="S1628" s="8">
        <v>3</v>
      </c>
      <c r="T1628" s="8">
        <v>2</v>
      </c>
      <c r="U1628" s="8">
        <v>10</v>
      </c>
      <c r="V1628" s="8">
        <v>9</v>
      </c>
      <c r="W1628" t="s">
        <v>473</v>
      </c>
      <c r="X1628" t="s">
        <v>473</v>
      </c>
      <c r="Y1628" t="s">
        <v>473</v>
      </c>
      <c r="Z1628" t="s">
        <v>473</v>
      </c>
      <c r="AA1628" t="s">
        <v>473</v>
      </c>
      <c r="AB1628" t="s">
        <v>473</v>
      </c>
      <c r="AC1628" s="10">
        <v>3</v>
      </c>
      <c r="AD1628" s="10">
        <v>11</v>
      </c>
      <c r="AE1628" t="s">
        <v>473</v>
      </c>
    </row>
    <row r="1629" spans="1:31" x14ac:dyDescent="0.25">
      <c r="A1629">
        <v>252</v>
      </c>
      <c r="B1629">
        <v>1963</v>
      </c>
      <c r="C1629" t="s">
        <v>33</v>
      </c>
      <c r="D1629" t="s">
        <v>37</v>
      </c>
      <c r="E1629" t="str">
        <f>IF(OR(Table1[[#This Row],[marital_status]]="Married", Table1[[#This Row],[marital_status]]="Together"), "Partnered", "Single")</f>
        <v>Single</v>
      </c>
      <c r="F1629" s="7">
        <v>41003</v>
      </c>
      <c r="G1629" s="8">
        <v>0</v>
      </c>
      <c r="H1629" s="8">
        <v>0</v>
      </c>
      <c r="I1629" s="8">
        <f>Table1[[#This Row],[kids]]+Table1[[#This Row],[teens]]</f>
        <v>0</v>
      </c>
      <c r="J1629" s="9">
        <v>41350</v>
      </c>
      <c r="K1629" s="8">
        <v>11</v>
      </c>
      <c r="L1629" s="6">
        <v>123</v>
      </c>
      <c r="M1629" s="5">
        <v>133</v>
      </c>
      <c r="N1629" s="5">
        <v>142</v>
      </c>
      <c r="O1629" s="5">
        <v>71</v>
      </c>
      <c r="P1629" s="5">
        <v>44</v>
      </c>
      <c r="Q1629" s="5">
        <v>88</v>
      </c>
      <c r="R1629" s="8">
        <v>1</v>
      </c>
      <c r="S1629" s="8">
        <v>6</v>
      </c>
      <c r="T1629" s="8">
        <v>2</v>
      </c>
      <c r="U1629" s="8">
        <v>8</v>
      </c>
      <c r="V1629" s="8">
        <v>6</v>
      </c>
      <c r="W1629" t="s">
        <v>473</v>
      </c>
      <c r="X1629" t="s">
        <v>473</v>
      </c>
      <c r="Y1629" t="s">
        <v>473</v>
      </c>
      <c r="Z1629" t="s">
        <v>473</v>
      </c>
      <c r="AA1629" t="s">
        <v>473</v>
      </c>
      <c r="AB1629" t="s">
        <v>473</v>
      </c>
      <c r="AC1629" s="10">
        <v>3</v>
      </c>
      <c r="AD1629" s="10">
        <v>11</v>
      </c>
      <c r="AE1629" t="s">
        <v>473</v>
      </c>
    </row>
    <row r="1630" spans="1:31" x14ac:dyDescent="0.25">
      <c r="A1630">
        <v>9986</v>
      </c>
      <c r="B1630">
        <v>1982</v>
      </c>
      <c r="C1630" t="s">
        <v>466</v>
      </c>
      <c r="D1630" t="s">
        <v>31</v>
      </c>
      <c r="E1630" t="str">
        <f>IF(OR(Table1[[#This Row],[marital_status]]="Married", Table1[[#This Row],[marital_status]]="Together"), "Partnered", "Single")</f>
        <v>Partnered</v>
      </c>
      <c r="F1630" s="7">
        <v>19444</v>
      </c>
      <c r="G1630" s="8">
        <v>1</v>
      </c>
      <c r="H1630" s="8">
        <v>0</v>
      </c>
      <c r="I1630" s="8">
        <f>Table1[[#This Row],[kids]]+Table1[[#This Row],[teens]]</f>
        <v>1</v>
      </c>
      <c r="J1630" s="9">
        <v>41692</v>
      </c>
      <c r="K1630" s="8">
        <v>8</v>
      </c>
      <c r="L1630" s="6">
        <v>16</v>
      </c>
      <c r="M1630" s="5">
        <v>0</v>
      </c>
      <c r="N1630" s="5">
        <v>23</v>
      </c>
      <c r="O1630" s="5">
        <v>3</v>
      </c>
      <c r="P1630" s="5">
        <v>2</v>
      </c>
      <c r="Q1630" s="5">
        <v>10</v>
      </c>
      <c r="R1630" s="8">
        <v>3</v>
      </c>
      <c r="S1630" s="8">
        <v>4</v>
      </c>
      <c r="T1630" s="8">
        <v>1</v>
      </c>
      <c r="U1630" s="8">
        <v>2</v>
      </c>
      <c r="V1630" s="8">
        <v>7</v>
      </c>
      <c r="W1630" t="s">
        <v>473</v>
      </c>
      <c r="X1630" t="s">
        <v>473</v>
      </c>
      <c r="Y1630" t="s">
        <v>473</v>
      </c>
      <c r="Z1630" t="s">
        <v>473</v>
      </c>
      <c r="AA1630" t="s">
        <v>473</v>
      </c>
      <c r="AB1630" t="s">
        <v>473</v>
      </c>
      <c r="AC1630" s="10">
        <v>3</v>
      </c>
      <c r="AD1630" s="10">
        <v>11</v>
      </c>
      <c r="AE1630" t="s">
        <v>474</v>
      </c>
    </row>
    <row r="1631" spans="1:31" x14ac:dyDescent="0.25">
      <c r="A1631">
        <v>3276</v>
      </c>
      <c r="B1631">
        <v>1976</v>
      </c>
      <c r="C1631" t="s">
        <v>46</v>
      </c>
      <c r="D1631" t="s">
        <v>31</v>
      </c>
      <c r="E1631" t="str">
        <f>IF(OR(Table1[[#This Row],[marital_status]]="Married", Table1[[#This Row],[marital_status]]="Together"), "Partnered", "Single")</f>
        <v>Partnered</v>
      </c>
      <c r="F1631" s="7">
        <v>36301</v>
      </c>
      <c r="G1631" s="8">
        <v>1</v>
      </c>
      <c r="H1631" s="8">
        <v>0</v>
      </c>
      <c r="I1631" s="8">
        <f>Table1[[#This Row],[kids]]+Table1[[#This Row],[teens]]</f>
        <v>1</v>
      </c>
      <c r="J1631" s="9">
        <v>41572</v>
      </c>
      <c r="K1631" s="8">
        <v>53</v>
      </c>
      <c r="L1631" s="6">
        <v>11</v>
      </c>
      <c r="M1631" s="5">
        <v>12</v>
      </c>
      <c r="N1631" s="5">
        <v>35</v>
      </c>
      <c r="O1631" s="5">
        <v>3</v>
      </c>
      <c r="P1631" s="5">
        <v>5</v>
      </c>
      <c r="Q1631" s="5">
        <v>12</v>
      </c>
      <c r="R1631" s="8">
        <v>1</v>
      </c>
      <c r="S1631" s="8">
        <v>3</v>
      </c>
      <c r="T1631" s="8">
        <v>0</v>
      </c>
      <c r="U1631" s="8">
        <v>3</v>
      </c>
      <c r="V1631" s="8">
        <v>7</v>
      </c>
      <c r="W1631" t="s">
        <v>473</v>
      </c>
      <c r="X1631" t="s">
        <v>473</v>
      </c>
      <c r="Y1631" t="s">
        <v>473</v>
      </c>
      <c r="Z1631" t="s">
        <v>473</v>
      </c>
      <c r="AA1631" t="s">
        <v>473</v>
      </c>
      <c r="AB1631" t="s">
        <v>473</v>
      </c>
      <c r="AC1631" s="10">
        <v>3</v>
      </c>
      <c r="AD1631" s="10">
        <v>11</v>
      </c>
      <c r="AE1631" t="s">
        <v>473</v>
      </c>
    </row>
    <row r="1632" spans="1:31" x14ac:dyDescent="0.25">
      <c r="A1632">
        <v>3859</v>
      </c>
      <c r="B1632">
        <v>1947</v>
      </c>
      <c r="C1632" t="s">
        <v>33</v>
      </c>
      <c r="D1632" t="s">
        <v>31</v>
      </c>
      <c r="E1632" t="str">
        <f>IF(OR(Table1[[#This Row],[marital_status]]="Married", Table1[[#This Row],[marital_status]]="Together"), "Partnered", "Single")</f>
        <v>Partnered</v>
      </c>
      <c r="F1632" s="7">
        <v>73059</v>
      </c>
      <c r="G1632" s="8">
        <v>0</v>
      </c>
      <c r="H1632" s="8">
        <v>1</v>
      </c>
      <c r="I1632" s="8">
        <f>Table1[[#This Row],[kids]]+Table1[[#This Row],[teens]]</f>
        <v>1</v>
      </c>
      <c r="J1632" s="9">
        <v>41517</v>
      </c>
      <c r="K1632" s="8">
        <v>36</v>
      </c>
      <c r="L1632" s="6">
        <v>410</v>
      </c>
      <c r="M1632" s="5">
        <v>112</v>
      </c>
      <c r="N1632" s="5">
        <v>420</v>
      </c>
      <c r="O1632" s="5">
        <v>0</v>
      </c>
      <c r="P1632" s="5">
        <v>82</v>
      </c>
      <c r="Q1632" s="5">
        <v>71</v>
      </c>
      <c r="R1632" s="8">
        <v>1</v>
      </c>
      <c r="S1632" s="8">
        <v>9</v>
      </c>
      <c r="T1632" s="8">
        <v>3</v>
      </c>
      <c r="U1632" s="8">
        <v>13</v>
      </c>
      <c r="V1632" s="8">
        <v>4</v>
      </c>
      <c r="W1632" t="s">
        <v>473</v>
      </c>
      <c r="X1632" t="s">
        <v>473</v>
      </c>
      <c r="Y1632" t="s">
        <v>473</v>
      </c>
      <c r="Z1632" t="s">
        <v>473</v>
      </c>
      <c r="AA1632" t="s">
        <v>473</v>
      </c>
      <c r="AB1632" t="s">
        <v>473</v>
      </c>
      <c r="AC1632" s="10">
        <v>3</v>
      </c>
      <c r="AD1632" s="10">
        <v>11</v>
      </c>
      <c r="AE1632" t="s">
        <v>473</v>
      </c>
    </row>
    <row r="1633" spans="1:31" x14ac:dyDescent="0.25">
      <c r="A1633">
        <v>3570</v>
      </c>
      <c r="B1633">
        <v>1969</v>
      </c>
      <c r="C1633" t="s">
        <v>33</v>
      </c>
      <c r="D1633" t="s">
        <v>31</v>
      </c>
      <c r="E1633" t="str">
        <f>IF(OR(Table1[[#This Row],[marital_status]]="Married", Table1[[#This Row],[marital_status]]="Together"), "Partnered", "Single")</f>
        <v>Partnered</v>
      </c>
      <c r="F1633" s="7">
        <v>42731</v>
      </c>
      <c r="G1633" s="8">
        <v>1</v>
      </c>
      <c r="H1633" s="8">
        <v>0</v>
      </c>
      <c r="I1633" s="8">
        <f>Table1[[#This Row],[kids]]+Table1[[#This Row],[teens]]</f>
        <v>1</v>
      </c>
      <c r="J1633" s="9">
        <v>41568</v>
      </c>
      <c r="K1633" s="8">
        <v>64</v>
      </c>
      <c r="L1633" s="6">
        <v>159</v>
      </c>
      <c r="M1633" s="5">
        <v>2</v>
      </c>
      <c r="N1633" s="5">
        <v>51</v>
      </c>
      <c r="O1633" s="5">
        <v>6</v>
      </c>
      <c r="P1633" s="5">
        <v>2</v>
      </c>
      <c r="Q1633" s="5">
        <v>24</v>
      </c>
      <c r="R1633" s="8">
        <v>3</v>
      </c>
      <c r="S1633" s="8">
        <v>4</v>
      </c>
      <c r="T1633" s="8">
        <v>1</v>
      </c>
      <c r="U1633" s="8">
        <v>5</v>
      </c>
      <c r="V1633" s="8">
        <v>5</v>
      </c>
      <c r="W1633" t="s">
        <v>473</v>
      </c>
      <c r="X1633" t="s">
        <v>473</v>
      </c>
      <c r="Y1633" t="s">
        <v>473</v>
      </c>
      <c r="Z1633" t="s">
        <v>473</v>
      </c>
      <c r="AA1633" t="s">
        <v>473</v>
      </c>
      <c r="AB1633" t="s">
        <v>473</v>
      </c>
      <c r="AC1633" s="10">
        <v>3</v>
      </c>
      <c r="AD1633" s="10">
        <v>11</v>
      </c>
      <c r="AE1633" t="s">
        <v>473</v>
      </c>
    </row>
    <row r="1634" spans="1:31" x14ac:dyDescent="0.25">
      <c r="A1634">
        <v>3783</v>
      </c>
      <c r="B1634">
        <v>1959</v>
      </c>
      <c r="C1634" t="s">
        <v>33</v>
      </c>
      <c r="D1634" t="s">
        <v>34</v>
      </c>
      <c r="E1634" t="str">
        <f>IF(OR(Table1[[#This Row],[marital_status]]="Married", Table1[[#This Row],[marital_status]]="Together"), "Partnered", "Single")</f>
        <v>Partnered</v>
      </c>
      <c r="F1634" s="7">
        <v>52854</v>
      </c>
      <c r="G1634" s="8">
        <v>1</v>
      </c>
      <c r="H1634" s="8">
        <v>1</v>
      </c>
      <c r="I1634" s="8">
        <f>Table1[[#This Row],[kids]]+Table1[[#This Row],[teens]]</f>
        <v>2</v>
      </c>
      <c r="J1634" s="9">
        <v>41722</v>
      </c>
      <c r="K1634" s="8">
        <v>43</v>
      </c>
      <c r="L1634" s="6">
        <v>105</v>
      </c>
      <c r="M1634" s="5">
        <v>0</v>
      </c>
      <c r="N1634" s="5">
        <v>10</v>
      </c>
      <c r="O1634" s="5">
        <v>0</v>
      </c>
      <c r="P1634" s="5">
        <v>1</v>
      </c>
      <c r="Q1634" s="5">
        <v>0</v>
      </c>
      <c r="R1634" s="8">
        <v>2</v>
      </c>
      <c r="S1634" s="8">
        <v>2</v>
      </c>
      <c r="T1634" s="8">
        <v>1</v>
      </c>
      <c r="U1634" s="8">
        <v>4</v>
      </c>
      <c r="V1634" s="8">
        <v>5</v>
      </c>
      <c r="W1634" t="s">
        <v>473</v>
      </c>
      <c r="X1634" t="s">
        <v>473</v>
      </c>
      <c r="Y1634" t="s">
        <v>473</v>
      </c>
      <c r="Z1634" t="s">
        <v>473</v>
      </c>
      <c r="AA1634" t="s">
        <v>473</v>
      </c>
      <c r="AB1634" t="s">
        <v>473</v>
      </c>
      <c r="AC1634" s="10">
        <v>3</v>
      </c>
      <c r="AD1634" s="10">
        <v>11</v>
      </c>
      <c r="AE1634" t="s">
        <v>473</v>
      </c>
    </row>
    <row r="1635" spans="1:31" x14ac:dyDescent="0.25">
      <c r="A1635">
        <v>10207</v>
      </c>
      <c r="B1635">
        <v>1978</v>
      </c>
      <c r="C1635" t="s">
        <v>466</v>
      </c>
      <c r="D1635" t="s">
        <v>31</v>
      </c>
      <c r="E1635" t="str">
        <f>IF(OR(Table1[[#This Row],[marital_status]]="Married", Table1[[#This Row],[marital_status]]="Together"), "Partnered", "Single")</f>
        <v>Partnered</v>
      </c>
      <c r="F1635" s="7">
        <v>22775</v>
      </c>
      <c r="G1635" s="8">
        <v>1</v>
      </c>
      <c r="H1635" s="8">
        <v>0</v>
      </c>
      <c r="I1635" s="8">
        <f>Table1[[#This Row],[kids]]+Table1[[#This Row],[teens]]</f>
        <v>1</v>
      </c>
      <c r="J1635" s="9">
        <v>41444</v>
      </c>
      <c r="K1635" s="8">
        <v>40</v>
      </c>
      <c r="L1635" s="6">
        <v>5</v>
      </c>
      <c r="M1635" s="5">
        <v>1</v>
      </c>
      <c r="N1635" s="5">
        <v>8</v>
      </c>
      <c r="O1635" s="5">
        <v>0</v>
      </c>
      <c r="P1635" s="5">
        <v>0</v>
      </c>
      <c r="Q1635" s="5">
        <v>1</v>
      </c>
      <c r="R1635" s="8">
        <v>1</v>
      </c>
      <c r="S1635" s="8">
        <v>1</v>
      </c>
      <c r="T1635" s="8">
        <v>0</v>
      </c>
      <c r="U1635" s="8">
        <v>2</v>
      </c>
      <c r="V1635" s="8">
        <v>8</v>
      </c>
      <c r="W1635" t="s">
        <v>473</v>
      </c>
      <c r="X1635" t="s">
        <v>473</v>
      </c>
      <c r="Y1635" t="s">
        <v>473</v>
      </c>
      <c r="Z1635" t="s">
        <v>473</v>
      </c>
      <c r="AA1635" t="s">
        <v>473</v>
      </c>
      <c r="AB1635" t="s">
        <v>473</v>
      </c>
      <c r="AC1635" s="10">
        <v>3</v>
      </c>
      <c r="AD1635" s="10">
        <v>11</v>
      </c>
      <c r="AE1635" t="s">
        <v>473</v>
      </c>
    </row>
    <row r="1636" spans="1:31" x14ac:dyDescent="0.25">
      <c r="A1636">
        <v>10906</v>
      </c>
      <c r="B1636">
        <v>1948</v>
      </c>
      <c r="C1636" t="s">
        <v>33</v>
      </c>
      <c r="D1636" t="s">
        <v>31</v>
      </c>
      <c r="E1636" t="str">
        <f>IF(OR(Table1[[#This Row],[marital_status]]="Married", Table1[[#This Row],[marital_status]]="Together"), "Partnered", "Single")</f>
        <v>Partnered</v>
      </c>
      <c r="F1636" s="7">
        <v>46681</v>
      </c>
      <c r="G1636" s="8">
        <v>0</v>
      </c>
      <c r="H1636" s="8">
        <v>2</v>
      </c>
      <c r="I1636" s="8">
        <f>Table1[[#This Row],[kids]]+Table1[[#This Row],[teens]]</f>
        <v>2</v>
      </c>
      <c r="J1636" s="9">
        <v>41555</v>
      </c>
      <c r="K1636" s="8">
        <v>52</v>
      </c>
      <c r="L1636" s="6">
        <v>269</v>
      </c>
      <c r="M1636" s="5">
        <v>15</v>
      </c>
      <c r="N1636" s="5">
        <v>69</v>
      </c>
      <c r="O1636" s="5">
        <v>15</v>
      </c>
      <c r="P1636" s="5">
        <v>19</v>
      </c>
      <c r="Q1636" s="5">
        <v>38</v>
      </c>
      <c r="R1636" s="8">
        <v>2</v>
      </c>
      <c r="S1636" s="8">
        <v>4</v>
      </c>
      <c r="T1636" s="8">
        <v>6</v>
      </c>
      <c r="U1636" s="8">
        <v>4</v>
      </c>
      <c r="V1636" s="8">
        <v>5</v>
      </c>
      <c r="W1636" t="s">
        <v>473</v>
      </c>
      <c r="X1636" t="s">
        <v>473</v>
      </c>
      <c r="Y1636" t="s">
        <v>473</v>
      </c>
      <c r="Z1636" t="s">
        <v>473</v>
      </c>
      <c r="AA1636" t="s">
        <v>473</v>
      </c>
      <c r="AB1636" t="s">
        <v>473</v>
      </c>
      <c r="AC1636" s="10">
        <v>3</v>
      </c>
      <c r="AD1636" s="10">
        <v>11</v>
      </c>
      <c r="AE1636" t="s">
        <v>473</v>
      </c>
    </row>
    <row r="1637" spans="1:31" x14ac:dyDescent="0.25">
      <c r="A1637">
        <v>3427</v>
      </c>
      <c r="B1637">
        <v>1955</v>
      </c>
      <c r="C1637" t="s">
        <v>33</v>
      </c>
      <c r="D1637" t="s">
        <v>34</v>
      </c>
      <c r="E1637" t="str">
        <f>IF(OR(Table1[[#This Row],[marital_status]]="Married", Table1[[#This Row],[marital_status]]="Together"), "Partnered", "Single")</f>
        <v>Partnered</v>
      </c>
      <c r="F1637" s="7">
        <v>59821</v>
      </c>
      <c r="G1637" s="8">
        <v>0</v>
      </c>
      <c r="H1637" s="8">
        <v>1</v>
      </c>
      <c r="I1637" s="8">
        <f>Table1[[#This Row],[kids]]+Table1[[#This Row],[teens]]</f>
        <v>1</v>
      </c>
      <c r="J1637" s="9">
        <v>41376</v>
      </c>
      <c r="K1637" s="8">
        <v>11</v>
      </c>
      <c r="L1637" s="6">
        <v>629</v>
      </c>
      <c r="M1637" s="5">
        <v>0</v>
      </c>
      <c r="N1637" s="5">
        <v>70</v>
      </c>
      <c r="O1637" s="5">
        <v>0</v>
      </c>
      <c r="P1637" s="5">
        <v>0</v>
      </c>
      <c r="Q1637" s="5">
        <v>35</v>
      </c>
      <c r="R1637" s="8">
        <v>6</v>
      </c>
      <c r="S1637" s="8">
        <v>11</v>
      </c>
      <c r="T1637" s="8">
        <v>2</v>
      </c>
      <c r="U1637" s="8">
        <v>7</v>
      </c>
      <c r="V1637" s="8">
        <v>8</v>
      </c>
      <c r="W1637" t="s">
        <v>473</v>
      </c>
      <c r="X1637" t="s">
        <v>473</v>
      </c>
      <c r="Y1637" t="s">
        <v>473</v>
      </c>
      <c r="Z1637" t="s">
        <v>473</v>
      </c>
      <c r="AA1637" t="s">
        <v>473</v>
      </c>
      <c r="AB1637" t="s">
        <v>473</v>
      </c>
      <c r="AC1637" s="10">
        <v>3</v>
      </c>
      <c r="AD1637" s="10">
        <v>11</v>
      </c>
      <c r="AE1637" t="s">
        <v>473</v>
      </c>
    </row>
    <row r="1638" spans="1:31" x14ac:dyDescent="0.25">
      <c r="A1638">
        <v>5209</v>
      </c>
      <c r="B1638">
        <v>1954</v>
      </c>
      <c r="C1638" t="s">
        <v>466</v>
      </c>
      <c r="D1638" t="s">
        <v>37</v>
      </c>
      <c r="E1638" t="str">
        <f>IF(OR(Table1[[#This Row],[marital_status]]="Married", Table1[[#This Row],[marital_status]]="Together"), "Partnered", "Single")</f>
        <v>Single</v>
      </c>
      <c r="F1638" s="7">
        <v>50002</v>
      </c>
      <c r="G1638" s="8">
        <v>0</v>
      </c>
      <c r="H1638" s="8">
        <v>1</v>
      </c>
      <c r="I1638" s="8">
        <f>Table1[[#This Row],[kids]]+Table1[[#This Row],[teens]]</f>
        <v>1</v>
      </c>
      <c r="J1638" s="9">
        <v>41442</v>
      </c>
      <c r="K1638" s="8">
        <v>21</v>
      </c>
      <c r="L1638" s="6">
        <v>443</v>
      </c>
      <c r="M1638" s="5">
        <v>5</v>
      </c>
      <c r="N1638" s="5">
        <v>71</v>
      </c>
      <c r="O1638" s="5">
        <v>21</v>
      </c>
      <c r="P1638" s="5">
        <v>16</v>
      </c>
      <c r="Q1638" s="5">
        <v>82</v>
      </c>
      <c r="R1638" s="8">
        <v>2</v>
      </c>
      <c r="S1638" s="8">
        <v>8</v>
      </c>
      <c r="T1638" s="8">
        <v>2</v>
      </c>
      <c r="U1638" s="8">
        <v>7</v>
      </c>
      <c r="V1638" s="8">
        <v>7</v>
      </c>
      <c r="W1638" t="s">
        <v>473</v>
      </c>
      <c r="X1638" t="s">
        <v>473</v>
      </c>
      <c r="Y1638" t="s">
        <v>473</v>
      </c>
      <c r="Z1638" t="s">
        <v>473</v>
      </c>
      <c r="AA1638" t="s">
        <v>473</v>
      </c>
      <c r="AB1638" t="s">
        <v>473</v>
      </c>
      <c r="AC1638" s="10">
        <v>3</v>
      </c>
      <c r="AD1638" s="10">
        <v>11</v>
      </c>
      <c r="AE1638" t="s">
        <v>473</v>
      </c>
    </row>
    <row r="1639" spans="1:31" x14ac:dyDescent="0.25">
      <c r="A1639">
        <v>10711</v>
      </c>
      <c r="B1639">
        <v>1945</v>
      </c>
      <c r="C1639" t="s">
        <v>466</v>
      </c>
      <c r="D1639" t="s">
        <v>34</v>
      </c>
      <c r="E1639" t="str">
        <f>IF(OR(Table1[[#This Row],[marital_status]]="Married", Table1[[#This Row],[marital_status]]="Together"), "Partnered", "Single")</f>
        <v>Partnered</v>
      </c>
      <c r="F1639" s="7">
        <v>69755</v>
      </c>
      <c r="G1639" s="8">
        <v>0</v>
      </c>
      <c r="H1639" s="8">
        <v>0</v>
      </c>
      <c r="I1639" s="8">
        <f>Table1[[#This Row],[kids]]+Table1[[#This Row],[teens]]</f>
        <v>0</v>
      </c>
      <c r="J1639" s="9">
        <v>41549</v>
      </c>
      <c r="K1639" s="8">
        <v>23</v>
      </c>
      <c r="L1639" s="6">
        <v>217</v>
      </c>
      <c r="M1639" s="5">
        <v>77</v>
      </c>
      <c r="N1639" s="5">
        <v>373</v>
      </c>
      <c r="O1639" s="5">
        <v>111</v>
      </c>
      <c r="P1639" s="5">
        <v>23</v>
      </c>
      <c r="Q1639" s="5">
        <v>93</v>
      </c>
      <c r="R1639" s="8">
        <v>1</v>
      </c>
      <c r="S1639" s="8">
        <v>3</v>
      </c>
      <c r="T1639" s="8">
        <v>6</v>
      </c>
      <c r="U1639" s="8">
        <v>12</v>
      </c>
      <c r="V1639" s="8">
        <v>1</v>
      </c>
      <c r="W1639" t="s">
        <v>473</v>
      </c>
      <c r="X1639" t="s">
        <v>473</v>
      </c>
      <c r="Y1639" t="s">
        <v>473</v>
      </c>
      <c r="Z1639" t="s">
        <v>473</v>
      </c>
      <c r="AA1639" t="s">
        <v>473</v>
      </c>
      <c r="AB1639" t="s">
        <v>473</v>
      </c>
      <c r="AC1639" s="10">
        <v>3</v>
      </c>
      <c r="AD1639" s="10">
        <v>11</v>
      </c>
      <c r="AE1639" t="s">
        <v>473</v>
      </c>
    </row>
    <row r="1640" spans="1:31" x14ac:dyDescent="0.25">
      <c r="A1640">
        <v>10785</v>
      </c>
      <c r="B1640">
        <v>1969</v>
      </c>
      <c r="C1640" t="s">
        <v>466</v>
      </c>
      <c r="D1640" t="s">
        <v>34</v>
      </c>
      <c r="E1640" t="str">
        <f>IF(OR(Table1[[#This Row],[marital_status]]="Married", Table1[[#This Row],[marital_status]]="Together"), "Partnered", "Single")</f>
        <v>Partnered</v>
      </c>
      <c r="F1640" s="7">
        <v>44078</v>
      </c>
      <c r="G1640" s="8">
        <v>1</v>
      </c>
      <c r="H1640" s="8">
        <v>1</v>
      </c>
      <c r="I1640" s="8">
        <f>Table1[[#This Row],[kids]]+Table1[[#This Row],[teens]]</f>
        <v>2</v>
      </c>
      <c r="J1640" s="9">
        <v>41809</v>
      </c>
      <c r="K1640" s="8">
        <v>17</v>
      </c>
      <c r="L1640" s="6">
        <v>24</v>
      </c>
      <c r="M1640" s="5">
        <v>1</v>
      </c>
      <c r="N1640" s="5">
        <v>10</v>
      </c>
      <c r="O1640" s="5">
        <v>2</v>
      </c>
      <c r="P1640" s="5">
        <v>0</v>
      </c>
      <c r="Q1640" s="5">
        <v>4</v>
      </c>
      <c r="R1640" s="8">
        <v>2</v>
      </c>
      <c r="S1640" s="8">
        <v>2</v>
      </c>
      <c r="T1640" s="8">
        <v>0</v>
      </c>
      <c r="U1640" s="8">
        <v>3</v>
      </c>
      <c r="V1640" s="8">
        <v>5</v>
      </c>
      <c r="W1640" t="s">
        <v>473</v>
      </c>
      <c r="X1640" t="s">
        <v>473</v>
      </c>
      <c r="Y1640" t="s">
        <v>473</v>
      </c>
      <c r="Z1640" t="s">
        <v>473</v>
      </c>
      <c r="AA1640" t="s">
        <v>473</v>
      </c>
      <c r="AB1640" t="s">
        <v>473</v>
      </c>
      <c r="AC1640" s="10">
        <v>3</v>
      </c>
      <c r="AD1640" s="10">
        <v>11</v>
      </c>
      <c r="AE1640" t="s">
        <v>473</v>
      </c>
    </row>
    <row r="1641" spans="1:31" x14ac:dyDescent="0.25">
      <c r="A1641">
        <v>2814</v>
      </c>
      <c r="B1641">
        <v>1976</v>
      </c>
      <c r="C1641" t="s">
        <v>36</v>
      </c>
      <c r="D1641" t="s">
        <v>31</v>
      </c>
      <c r="E1641" t="str">
        <f>IF(OR(Table1[[#This Row],[marital_status]]="Married", Table1[[#This Row],[marital_status]]="Together"), "Partnered", "Single")</f>
        <v>Partnered</v>
      </c>
      <c r="F1641" s="7">
        <v>30560</v>
      </c>
      <c r="G1641" s="8">
        <v>1</v>
      </c>
      <c r="H1641" s="8">
        <v>0</v>
      </c>
      <c r="I1641" s="8">
        <f>Table1[[#This Row],[kids]]+Table1[[#This Row],[teens]]</f>
        <v>1</v>
      </c>
      <c r="J1641" s="9">
        <v>41452</v>
      </c>
      <c r="K1641" s="8">
        <v>6</v>
      </c>
      <c r="L1641" s="6">
        <v>9</v>
      </c>
      <c r="M1641" s="5">
        <v>1</v>
      </c>
      <c r="N1641" s="5">
        <v>5</v>
      </c>
      <c r="O1641" s="5">
        <v>4</v>
      </c>
      <c r="P1641" s="5">
        <v>5</v>
      </c>
      <c r="Q1641" s="5">
        <v>7</v>
      </c>
      <c r="R1641" s="8">
        <v>1</v>
      </c>
      <c r="S1641" s="8">
        <v>1</v>
      </c>
      <c r="T1641" s="8">
        <v>0</v>
      </c>
      <c r="U1641" s="8">
        <v>3</v>
      </c>
      <c r="V1641" s="8">
        <v>7</v>
      </c>
      <c r="W1641" t="s">
        <v>473</v>
      </c>
      <c r="X1641" t="s">
        <v>473</v>
      </c>
      <c r="Y1641" t="s">
        <v>473</v>
      </c>
      <c r="Z1641" t="s">
        <v>473</v>
      </c>
      <c r="AA1641" t="s">
        <v>473</v>
      </c>
      <c r="AB1641" t="s">
        <v>473</v>
      </c>
      <c r="AC1641" s="10">
        <v>3</v>
      </c>
      <c r="AD1641" s="10">
        <v>11</v>
      </c>
      <c r="AE1641" t="s">
        <v>473</v>
      </c>
    </row>
    <row r="1642" spans="1:31" x14ac:dyDescent="0.25">
      <c r="A1642">
        <v>6866</v>
      </c>
      <c r="B1642">
        <v>1969</v>
      </c>
      <c r="C1642" t="s">
        <v>36</v>
      </c>
      <c r="D1642" t="s">
        <v>31</v>
      </c>
      <c r="E1642" t="str">
        <f>IF(OR(Table1[[#This Row],[marital_status]]="Married", Table1[[#This Row],[marital_status]]="Together"), "Partnered", "Single")</f>
        <v>Partnered</v>
      </c>
      <c r="F1642" s="7">
        <v>35924</v>
      </c>
      <c r="G1642" s="8">
        <v>1</v>
      </c>
      <c r="H1642" s="8">
        <v>1</v>
      </c>
      <c r="I1642" s="8">
        <f>Table1[[#This Row],[kids]]+Table1[[#This Row],[teens]]</f>
        <v>2</v>
      </c>
      <c r="J1642" s="9">
        <v>41721</v>
      </c>
      <c r="K1642" s="8">
        <v>56</v>
      </c>
      <c r="L1642" s="6">
        <v>8</v>
      </c>
      <c r="M1642" s="5">
        <v>0</v>
      </c>
      <c r="N1642" s="5">
        <v>14</v>
      </c>
      <c r="O1642" s="5">
        <v>2</v>
      </c>
      <c r="P1642" s="5">
        <v>3</v>
      </c>
      <c r="Q1642" s="5">
        <v>7</v>
      </c>
      <c r="R1642" s="8">
        <v>1</v>
      </c>
      <c r="S1642" s="8">
        <v>1</v>
      </c>
      <c r="T1642" s="8">
        <v>0</v>
      </c>
      <c r="U1642" s="8">
        <v>3</v>
      </c>
      <c r="V1642" s="8">
        <v>5</v>
      </c>
      <c r="W1642" t="s">
        <v>473</v>
      </c>
      <c r="X1642" t="s">
        <v>473</v>
      </c>
      <c r="Y1642" t="s">
        <v>473</v>
      </c>
      <c r="Z1642" t="s">
        <v>473</v>
      </c>
      <c r="AA1642" t="s">
        <v>473</v>
      </c>
      <c r="AB1642" t="s">
        <v>473</v>
      </c>
      <c r="AC1642" s="10">
        <v>3</v>
      </c>
      <c r="AD1642" s="10">
        <v>11</v>
      </c>
      <c r="AE1642" t="s">
        <v>473</v>
      </c>
    </row>
    <row r="1643" spans="1:31" x14ac:dyDescent="0.25">
      <c r="A1643">
        <v>1665</v>
      </c>
      <c r="B1643">
        <v>1964</v>
      </c>
      <c r="C1643" t="s">
        <v>33</v>
      </c>
      <c r="D1643" t="s">
        <v>37</v>
      </c>
      <c r="E1643" t="str">
        <f>IF(OR(Table1[[#This Row],[marital_status]]="Married", Table1[[#This Row],[marital_status]]="Together"), "Partnered", "Single")</f>
        <v>Single</v>
      </c>
      <c r="F1643" s="7">
        <v>64140</v>
      </c>
      <c r="G1643" s="8">
        <v>0</v>
      </c>
      <c r="H1643" s="8">
        <v>2</v>
      </c>
      <c r="I1643" s="8">
        <f>Table1[[#This Row],[kids]]+Table1[[#This Row],[teens]]</f>
        <v>2</v>
      </c>
      <c r="J1643" s="9">
        <v>41540</v>
      </c>
      <c r="K1643" s="8">
        <v>71</v>
      </c>
      <c r="L1643" s="6">
        <v>1459</v>
      </c>
      <c r="M1643" s="5">
        <v>0</v>
      </c>
      <c r="N1643" s="5">
        <v>61</v>
      </c>
      <c r="O1643" s="5">
        <v>0</v>
      </c>
      <c r="P1643" s="5">
        <v>15</v>
      </c>
      <c r="Q1643" s="5">
        <v>215</v>
      </c>
      <c r="R1643" s="8">
        <v>5</v>
      </c>
      <c r="S1643" s="8">
        <v>2</v>
      </c>
      <c r="T1643" s="8">
        <v>5</v>
      </c>
      <c r="U1643" s="8">
        <v>6</v>
      </c>
      <c r="V1643" s="8">
        <v>5</v>
      </c>
      <c r="W1643" t="s">
        <v>474</v>
      </c>
      <c r="X1643" t="s">
        <v>473</v>
      </c>
      <c r="Y1643" t="s">
        <v>474</v>
      </c>
      <c r="Z1643" t="s">
        <v>473</v>
      </c>
      <c r="AA1643" t="s">
        <v>474</v>
      </c>
      <c r="AB1643" t="s">
        <v>473</v>
      </c>
      <c r="AC1643" s="10">
        <v>3</v>
      </c>
      <c r="AD1643" s="10">
        <v>11</v>
      </c>
      <c r="AE1643" t="s">
        <v>474</v>
      </c>
    </row>
    <row r="1644" spans="1:31" x14ac:dyDescent="0.25">
      <c r="A1644">
        <v>6575</v>
      </c>
      <c r="B1644">
        <v>1981</v>
      </c>
      <c r="C1644" t="s">
        <v>466</v>
      </c>
      <c r="D1644" t="s">
        <v>31</v>
      </c>
      <c r="E1644" t="str">
        <f>IF(OR(Table1[[#This Row],[marital_status]]="Married", Table1[[#This Row],[marital_status]]="Together"), "Partnered", "Single")</f>
        <v>Partnered</v>
      </c>
      <c r="F1644" s="7">
        <v>56386</v>
      </c>
      <c r="G1644" s="8">
        <v>1</v>
      </c>
      <c r="H1644" s="8">
        <v>1</v>
      </c>
      <c r="I1644" s="8">
        <f>Table1[[#This Row],[kids]]+Table1[[#This Row],[teens]]</f>
        <v>2</v>
      </c>
      <c r="J1644" s="9">
        <v>41209</v>
      </c>
      <c r="K1644" s="8">
        <v>51</v>
      </c>
      <c r="L1644" s="6">
        <v>230</v>
      </c>
      <c r="M1644" s="5">
        <v>48</v>
      </c>
      <c r="N1644" s="5">
        <v>214</v>
      </c>
      <c r="O1644" s="5">
        <v>13</v>
      </c>
      <c r="P1644" s="5">
        <v>32</v>
      </c>
      <c r="Q1644" s="5">
        <v>75</v>
      </c>
      <c r="R1644" s="8">
        <v>8</v>
      </c>
      <c r="S1644" s="8">
        <v>9</v>
      </c>
      <c r="T1644" s="8">
        <v>1</v>
      </c>
      <c r="U1644" s="8">
        <v>7</v>
      </c>
      <c r="V1644" s="8">
        <v>9</v>
      </c>
      <c r="W1644" t="s">
        <v>473</v>
      </c>
      <c r="X1644" t="s">
        <v>473</v>
      </c>
      <c r="Y1644" t="s">
        <v>473</v>
      </c>
      <c r="Z1644" t="s">
        <v>473</v>
      </c>
      <c r="AA1644" t="s">
        <v>473</v>
      </c>
      <c r="AB1644" t="s">
        <v>473</v>
      </c>
      <c r="AC1644" s="10">
        <v>3</v>
      </c>
      <c r="AD1644" s="10">
        <v>11</v>
      </c>
      <c r="AE1644" t="s">
        <v>473</v>
      </c>
    </row>
    <row r="1645" spans="1:31" x14ac:dyDescent="0.25">
      <c r="A1645">
        <v>3829</v>
      </c>
      <c r="B1645">
        <v>1979</v>
      </c>
      <c r="C1645" t="s">
        <v>41</v>
      </c>
      <c r="D1645" t="s">
        <v>31</v>
      </c>
      <c r="E1645" t="str">
        <f>IF(OR(Table1[[#This Row],[marital_status]]="Married", Table1[[#This Row],[marital_status]]="Together"), "Partnered", "Single")</f>
        <v>Partnered</v>
      </c>
      <c r="F1645" s="7">
        <v>24594</v>
      </c>
      <c r="G1645" s="8">
        <v>1</v>
      </c>
      <c r="H1645" s="8">
        <v>0</v>
      </c>
      <c r="I1645" s="8">
        <f>Table1[[#This Row],[kids]]+Table1[[#This Row],[teens]]</f>
        <v>1</v>
      </c>
      <c r="J1645" s="9">
        <v>41618</v>
      </c>
      <c r="K1645" s="8">
        <v>94</v>
      </c>
      <c r="L1645" s="6">
        <v>1</v>
      </c>
      <c r="M1645" s="5">
        <v>3</v>
      </c>
      <c r="N1645" s="5">
        <v>6</v>
      </c>
      <c r="O1645" s="5">
        <v>10</v>
      </c>
      <c r="P1645" s="5">
        <v>0</v>
      </c>
      <c r="Q1645" s="5">
        <v>9</v>
      </c>
      <c r="R1645" s="8">
        <v>1</v>
      </c>
      <c r="S1645" s="8">
        <v>1</v>
      </c>
      <c r="T1645" s="8">
        <v>0</v>
      </c>
      <c r="U1645" s="8">
        <v>3</v>
      </c>
      <c r="V1645" s="8">
        <v>5</v>
      </c>
      <c r="W1645" t="s">
        <v>473</v>
      </c>
      <c r="X1645" t="s">
        <v>473</v>
      </c>
      <c r="Y1645" t="s">
        <v>473</v>
      </c>
      <c r="Z1645" t="s">
        <v>473</v>
      </c>
      <c r="AA1645" t="s">
        <v>473</v>
      </c>
      <c r="AB1645" t="s">
        <v>473</v>
      </c>
      <c r="AC1645" s="10">
        <v>3</v>
      </c>
      <c r="AD1645" s="10">
        <v>11</v>
      </c>
      <c r="AE1645" t="s">
        <v>473</v>
      </c>
    </row>
    <row r="1646" spans="1:31" x14ac:dyDescent="0.25">
      <c r="A1646">
        <v>3091</v>
      </c>
      <c r="B1646">
        <v>1981</v>
      </c>
      <c r="C1646" t="s">
        <v>46</v>
      </c>
      <c r="D1646" t="s">
        <v>31</v>
      </c>
      <c r="E1646" t="str">
        <f>IF(OR(Table1[[#This Row],[marital_status]]="Married", Table1[[#This Row],[marital_status]]="Together"), "Partnered", "Single")</f>
        <v>Partnered</v>
      </c>
      <c r="F1646" s="7">
        <v>75774</v>
      </c>
      <c r="G1646" s="8">
        <v>1</v>
      </c>
      <c r="H1646" s="8">
        <v>0</v>
      </c>
      <c r="I1646" s="8">
        <f>Table1[[#This Row],[kids]]+Table1[[#This Row],[teens]]</f>
        <v>1</v>
      </c>
      <c r="J1646" s="9">
        <v>41761</v>
      </c>
      <c r="K1646" s="8">
        <v>27</v>
      </c>
      <c r="L1646" s="6">
        <v>340</v>
      </c>
      <c r="M1646" s="5">
        <v>21</v>
      </c>
      <c r="N1646" s="5">
        <v>134</v>
      </c>
      <c r="O1646" s="5">
        <v>258</v>
      </c>
      <c r="P1646" s="5">
        <v>14</v>
      </c>
      <c r="Q1646" s="5">
        <v>56</v>
      </c>
      <c r="R1646" s="8">
        <v>1</v>
      </c>
      <c r="S1646" s="8">
        <v>7</v>
      </c>
      <c r="T1646" s="8">
        <v>5</v>
      </c>
      <c r="U1646" s="8">
        <v>8</v>
      </c>
      <c r="V1646" s="8">
        <v>4</v>
      </c>
      <c r="W1646" t="s">
        <v>473</v>
      </c>
      <c r="X1646" t="s">
        <v>473</v>
      </c>
      <c r="Y1646" t="s">
        <v>473</v>
      </c>
      <c r="Z1646" t="s">
        <v>473</v>
      </c>
      <c r="AA1646" t="s">
        <v>473</v>
      </c>
      <c r="AB1646" t="s">
        <v>473</v>
      </c>
      <c r="AC1646" s="10">
        <v>3</v>
      </c>
      <c r="AD1646" s="10">
        <v>11</v>
      </c>
      <c r="AE1646" t="s">
        <v>473</v>
      </c>
    </row>
    <row r="1647" spans="1:31" x14ac:dyDescent="0.25">
      <c r="A1647">
        <v>10141</v>
      </c>
      <c r="B1647">
        <v>1960</v>
      </c>
      <c r="C1647" t="s">
        <v>36</v>
      </c>
      <c r="D1647" t="s">
        <v>37</v>
      </c>
      <c r="E1647" t="str">
        <f>IF(OR(Table1[[#This Row],[marital_status]]="Married", Table1[[#This Row],[marital_status]]="Together"), "Partnered", "Single")</f>
        <v>Single</v>
      </c>
      <c r="F1647" s="7">
        <v>39228</v>
      </c>
      <c r="G1647" s="8">
        <v>0</v>
      </c>
      <c r="H1647" s="8">
        <v>0</v>
      </c>
      <c r="I1647" s="8">
        <f>Table1[[#This Row],[kids]]+Table1[[#This Row],[teens]]</f>
        <v>0</v>
      </c>
      <c r="J1647" s="9">
        <v>41404</v>
      </c>
      <c r="K1647" s="8">
        <v>1</v>
      </c>
      <c r="L1647" s="6">
        <v>7</v>
      </c>
      <c r="M1647" s="5">
        <v>1</v>
      </c>
      <c r="N1647" s="5">
        <v>6</v>
      </c>
      <c r="O1647" s="5">
        <v>0</v>
      </c>
      <c r="P1647" s="5">
        <v>3</v>
      </c>
      <c r="Q1647" s="5">
        <v>3</v>
      </c>
      <c r="R1647" s="8">
        <v>1</v>
      </c>
      <c r="S1647" s="8">
        <v>0</v>
      </c>
      <c r="T1647" s="8">
        <v>0</v>
      </c>
      <c r="U1647" s="8">
        <v>3</v>
      </c>
      <c r="V1647" s="8">
        <v>4</v>
      </c>
      <c r="W1647" t="s">
        <v>473</v>
      </c>
      <c r="X1647" t="s">
        <v>473</v>
      </c>
      <c r="Y1647" t="s">
        <v>473</v>
      </c>
      <c r="Z1647" t="s">
        <v>473</v>
      </c>
      <c r="AA1647" t="s">
        <v>473</v>
      </c>
      <c r="AB1647" t="s">
        <v>473</v>
      </c>
      <c r="AC1647" s="10">
        <v>3</v>
      </c>
      <c r="AD1647" s="10">
        <v>11</v>
      </c>
      <c r="AE1647" t="s">
        <v>473</v>
      </c>
    </row>
    <row r="1648" spans="1:31" x14ac:dyDescent="0.25">
      <c r="A1648">
        <v>5177</v>
      </c>
      <c r="B1648">
        <v>1974</v>
      </c>
      <c r="C1648" t="s">
        <v>36</v>
      </c>
      <c r="D1648" t="s">
        <v>34</v>
      </c>
      <c r="E1648" t="str">
        <f>IF(OR(Table1[[#This Row],[marital_status]]="Married", Table1[[#This Row],[marital_status]]="Together"), "Partnered", "Single")</f>
        <v>Partnered</v>
      </c>
      <c r="F1648" s="7">
        <v>58494</v>
      </c>
      <c r="G1648" s="8">
        <v>0</v>
      </c>
      <c r="H1648" s="8">
        <v>1</v>
      </c>
      <c r="I1648" s="8">
        <f>Table1[[#This Row],[kids]]+Table1[[#This Row],[teens]]</f>
        <v>1</v>
      </c>
      <c r="J1648" s="9">
        <v>41620</v>
      </c>
      <c r="K1648" s="8">
        <v>56</v>
      </c>
      <c r="L1648" s="6">
        <v>298</v>
      </c>
      <c r="M1648" s="5">
        <v>7</v>
      </c>
      <c r="N1648" s="5">
        <v>68</v>
      </c>
      <c r="O1648" s="5">
        <v>4</v>
      </c>
      <c r="P1648" s="5">
        <v>0</v>
      </c>
      <c r="Q1648" s="5">
        <v>19</v>
      </c>
      <c r="R1648" s="8">
        <v>2</v>
      </c>
      <c r="S1648" s="8">
        <v>6</v>
      </c>
      <c r="T1648" s="8">
        <v>2</v>
      </c>
      <c r="U1648" s="8">
        <v>6</v>
      </c>
      <c r="V1648" s="8">
        <v>6</v>
      </c>
      <c r="W1648" t="s">
        <v>473</v>
      </c>
      <c r="X1648" t="s">
        <v>473</v>
      </c>
      <c r="Y1648" t="s">
        <v>473</v>
      </c>
      <c r="Z1648" t="s">
        <v>473</v>
      </c>
      <c r="AA1648" t="s">
        <v>473</v>
      </c>
      <c r="AB1648" t="s">
        <v>473</v>
      </c>
      <c r="AC1648" s="10">
        <v>3</v>
      </c>
      <c r="AD1648" s="10">
        <v>11</v>
      </c>
      <c r="AE1648" t="s">
        <v>473</v>
      </c>
    </row>
    <row r="1649" spans="1:31" x14ac:dyDescent="0.25">
      <c r="A1649">
        <v>7005</v>
      </c>
      <c r="B1649">
        <v>1981</v>
      </c>
      <c r="C1649" t="s">
        <v>466</v>
      </c>
      <c r="D1649" t="s">
        <v>30</v>
      </c>
      <c r="E1649" t="str">
        <f>IF(OR(Table1[[#This Row],[marital_status]]="Married", Table1[[#This Row],[marital_status]]="Together"), "Partnered", "Single")</f>
        <v>Single</v>
      </c>
      <c r="F1649" s="7">
        <v>58684</v>
      </c>
      <c r="G1649" s="8">
        <v>0</v>
      </c>
      <c r="H1649" s="8">
        <v>0</v>
      </c>
      <c r="I1649" s="8">
        <f>Table1[[#This Row],[kids]]+Table1[[#This Row],[teens]]</f>
        <v>0</v>
      </c>
      <c r="J1649" s="9">
        <v>41806</v>
      </c>
      <c r="K1649" s="8">
        <v>71</v>
      </c>
      <c r="L1649" s="6">
        <v>479</v>
      </c>
      <c r="M1649" s="5">
        <v>35</v>
      </c>
      <c r="N1649" s="5">
        <v>179</v>
      </c>
      <c r="O1649" s="5">
        <v>28</v>
      </c>
      <c r="P1649" s="5">
        <v>7</v>
      </c>
      <c r="Q1649" s="5">
        <v>85</v>
      </c>
      <c r="R1649" s="8">
        <v>1</v>
      </c>
      <c r="S1649" s="8">
        <v>5</v>
      </c>
      <c r="T1649" s="8">
        <v>3</v>
      </c>
      <c r="U1649" s="8">
        <v>12</v>
      </c>
      <c r="V1649" s="8">
        <v>2</v>
      </c>
      <c r="W1649" t="s">
        <v>473</v>
      </c>
      <c r="X1649" t="s">
        <v>474</v>
      </c>
      <c r="Y1649" t="s">
        <v>473</v>
      </c>
      <c r="Z1649" t="s">
        <v>473</v>
      </c>
      <c r="AA1649" t="s">
        <v>473</v>
      </c>
      <c r="AB1649" t="s">
        <v>473</v>
      </c>
      <c r="AC1649" s="10">
        <v>3</v>
      </c>
      <c r="AD1649" s="10">
        <v>11</v>
      </c>
      <c r="AE1649" t="s">
        <v>473</v>
      </c>
    </row>
    <row r="1650" spans="1:31" x14ac:dyDescent="0.25">
      <c r="A1650">
        <v>6409</v>
      </c>
      <c r="B1650">
        <v>1967</v>
      </c>
      <c r="C1650" t="s">
        <v>466</v>
      </c>
      <c r="D1650" t="s">
        <v>37</v>
      </c>
      <c r="E1650" t="str">
        <f>IF(OR(Table1[[#This Row],[marital_status]]="Married", Table1[[#This Row],[marital_status]]="Together"), "Partnered", "Single")</f>
        <v>Single</v>
      </c>
      <c r="F1650" s="7">
        <v>57136</v>
      </c>
      <c r="G1650" s="8">
        <v>0</v>
      </c>
      <c r="H1650" s="8">
        <v>0</v>
      </c>
      <c r="I1650" s="8">
        <f>Table1[[#This Row],[kids]]+Table1[[#This Row],[teens]]</f>
        <v>0</v>
      </c>
      <c r="J1650" s="9">
        <v>41412</v>
      </c>
      <c r="K1650" s="8">
        <v>18</v>
      </c>
      <c r="L1650" s="6">
        <v>267</v>
      </c>
      <c r="M1650" s="5">
        <v>140</v>
      </c>
      <c r="N1650" s="5">
        <v>599</v>
      </c>
      <c r="O1650" s="5">
        <v>34</v>
      </c>
      <c r="P1650" s="5">
        <v>12</v>
      </c>
      <c r="Q1650" s="5">
        <v>127</v>
      </c>
      <c r="R1650" s="8">
        <v>1</v>
      </c>
      <c r="S1650" s="8">
        <v>7</v>
      </c>
      <c r="T1650" s="8">
        <v>5</v>
      </c>
      <c r="U1650" s="8">
        <v>7</v>
      </c>
      <c r="V1650" s="8">
        <v>6</v>
      </c>
      <c r="W1650" t="s">
        <v>473</v>
      </c>
      <c r="X1650" t="s">
        <v>473</v>
      </c>
      <c r="Y1650" t="s">
        <v>473</v>
      </c>
      <c r="Z1650" t="s">
        <v>473</v>
      </c>
      <c r="AA1650" t="s">
        <v>473</v>
      </c>
      <c r="AB1650" t="s">
        <v>473</v>
      </c>
      <c r="AC1650" s="10">
        <v>3</v>
      </c>
      <c r="AD1650" s="10">
        <v>11</v>
      </c>
      <c r="AE1650" t="s">
        <v>474</v>
      </c>
    </row>
    <row r="1651" spans="1:31" x14ac:dyDescent="0.25">
      <c r="A1651">
        <v>7485</v>
      </c>
      <c r="B1651">
        <v>1950</v>
      </c>
      <c r="C1651" t="s">
        <v>33</v>
      </c>
      <c r="D1651" t="s">
        <v>57</v>
      </c>
      <c r="E1651" t="str">
        <f>IF(OR(Table1[[#This Row],[marital_status]]="Married", Table1[[#This Row],[marital_status]]="Together"), "Partnered", "Single")</f>
        <v>Single</v>
      </c>
      <c r="F1651" s="7">
        <v>56551</v>
      </c>
      <c r="G1651" s="8">
        <v>1</v>
      </c>
      <c r="H1651" s="8">
        <v>1</v>
      </c>
      <c r="I1651" s="8">
        <f>Table1[[#This Row],[kids]]+Table1[[#This Row],[teens]]</f>
        <v>2</v>
      </c>
      <c r="J1651" s="9">
        <v>41766</v>
      </c>
      <c r="K1651" s="8">
        <v>48</v>
      </c>
      <c r="L1651" s="6">
        <v>67</v>
      </c>
      <c r="M1651" s="5">
        <v>4</v>
      </c>
      <c r="N1651" s="5">
        <v>32</v>
      </c>
      <c r="O1651" s="5">
        <v>17</v>
      </c>
      <c r="P1651" s="5">
        <v>2</v>
      </c>
      <c r="Q1651" s="5">
        <v>16</v>
      </c>
      <c r="R1651" s="8">
        <v>3</v>
      </c>
      <c r="S1651" s="8">
        <v>2</v>
      </c>
      <c r="T1651" s="8">
        <v>1</v>
      </c>
      <c r="U1651" s="8">
        <v>4</v>
      </c>
      <c r="V1651" s="8">
        <v>4</v>
      </c>
      <c r="W1651" t="s">
        <v>473</v>
      </c>
      <c r="X1651" t="s">
        <v>473</v>
      </c>
      <c r="Y1651" t="s">
        <v>473</v>
      </c>
      <c r="Z1651" t="s">
        <v>473</v>
      </c>
      <c r="AA1651" t="s">
        <v>473</v>
      </c>
      <c r="AB1651" t="s">
        <v>473</v>
      </c>
      <c r="AC1651" s="10">
        <v>3</v>
      </c>
      <c r="AD1651" s="10">
        <v>11</v>
      </c>
      <c r="AE1651" t="s">
        <v>473</v>
      </c>
    </row>
    <row r="1652" spans="1:31" x14ac:dyDescent="0.25">
      <c r="A1652">
        <v>8079</v>
      </c>
      <c r="B1652">
        <v>1982</v>
      </c>
      <c r="C1652" t="s">
        <v>466</v>
      </c>
      <c r="D1652" t="s">
        <v>34</v>
      </c>
      <c r="E1652" t="str">
        <f>IF(OR(Table1[[#This Row],[marital_status]]="Married", Table1[[#This Row],[marital_status]]="Together"), "Partnered", "Single")</f>
        <v>Partnered</v>
      </c>
      <c r="F1652" s="7">
        <v>22448</v>
      </c>
      <c r="G1652" s="8">
        <v>1</v>
      </c>
      <c r="H1652" s="8">
        <v>0</v>
      </c>
      <c r="I1652" s="8">
        <f>Table1[[#This Row],[kids]]+Table1[[#This Row],[teens]]</f>
        <v>1</v>
      </c>
      <c r="J1652" s="9">
        <v>41696</v>
      </c>
      <c r="K1652" s="8">
        <v>86</v>
      </c>
      <c r="L1652" s="6">
        <v>3</v>
      </c>
      <c r="M1652" s="5">
        <v>1</v>
      </c>
      <c r="N1652" s="5">
        <v>8</v>
      </c>
      <c r="O1652" s="5">
        <v>23</v>
      </c>
      <c r="P1652" s="5">
        <v>2</v>
      </c>
      <c r="Q1652" s="5">
        <v>18</v>
      </c>
      <c r="R1652" s="8">
        <v>3</v>
      </c>
      <c r="S1652" s="8">
        <v>2</v>
      </c>
      <c r="T1652" s="8">
        <v>1</v>
      </c>
      <c r="U1652" s="8">
        <v>3</v>
      </c>
      <c r="V1652" s="8">
        <v>3</v>
      </c>
      <c r="W1652" t="s">
        <v>473</v>
      </c>
      <c r="X1652" t="s">
        <v>473</v>
      </c>
      <c r="Y1652" t="s">
        <v>473</v>
      </c>
      <c r="Z1652" t="s">
        <v>473</v>
      </c>
      <c r="AA1652" t="s">
        <v>473</v>
      </c>
      <c r="AB1652" t="s">
        <v>473</v>
      </c>
      <c r="AC1652" s="10">
        <v>3</v>
      </c>
      <c r="AD1652" s="10">
        <v>11</v>
      </c>
      <c r="AE1652" t="s">
        <v>473</v>
      </c>
    </row>
    <row r="1653" spans="1:31" x14ac:dyDescent="0.25">
      <c r="A1653">
        <v>8395</v>
      </c>
      <c r="B1653">
        <v>1961</v>
      </c>
      <c r="C1653" t="s">
        <v>466</v>
      </c>
      <c r="D1653" t="s">
        <v>30</v>
      </c>
      <c r="E1653" t="str">
        <f>IF(OR(Table1[[#This Row],[marital_status]]="Married", Table1[[#This Row],[marital_status]]="Together"), "Partnered", "Single")</f>
        <v>Single</v>
      </c>
      <c r="F1653" s="7">
        <v>82014</v>
      </c>
      <c r="G1653" s="8">
        <v>0</v>
      </c>
      <c r="H1653" s="8">
        <v>0</v>
      </c>
      <c r="I1653" s="8">
        <f>Table1[[#This Row],[kids]]+Table1[[#This Row],[teens]]</f>
        <v>0</v>
      </c>
      <c r="J1653" s="9">
        <v>41141</v>
      </c>
      <c r="K1653" s="8">
        <v>48</v>
      </c>
      <c r="L1653" s="6">
        <v>980</v>
      </c>
      <c r="M1653" s="5">
        <v>37</v>
      </c>
      <c r="N1653" s="5">
        <v>265</v>
      </c>
      <c r="O1653" s="5">
        <v>35</v>
      </c>
      <c r="P1653" s="5">
        <v>163</v>
      </c>
      <c r="Q1653" s="5">
        <v>31</v>
      </c>
      <c r="R1653" s="8">
        <v>1</v>
      </c>
      <c r="S1653" s="8">
        <v>3</v>
      </c>
      <c r="T1653" s="8">
        <v>6</v>
      </c>
      <c r="U1653" s="8">
        <v>12</v>
      </c>
      <c r="V1653" s="8">
        <v>6</v>
      </c>
      <c r="W1653" t="s">
        <v>473</v>
      </c>
      <c r="X1653" t="s">
        <v>473</v>
      </c>
      <c r="Y1653" t="s">
        <v>473</v>
      </c>
      <c r="Z1653" t="s">
        <v>473</v>
      </c>
      <c r="AA1653" t="s">
        <v>473</v>
      </c>
      <c r="AB1653" t="s">
        <v>473</v>
      </c>
      <c r="AC1653" s="10">
        <v>3</v>
      </c>
      <c r="AD1653" s="10">
        <v>11</v>
      </c>
      <c r="AE1653" t="s">
        <v>474</v>
      </c>
    </row>
    <row r="1654" spans="1:31" x14ac:dyDescent="0.25">
      <c r="A1654">
        <v>10352</v>
      </c>
      <c r="B1654">
        <v>1963</v>
      </c>
      <c r="C1654" t="s">
        <v>466</v>
      </c>
      <c r="D1654" t="s">
        <v>57</v>
      </c>
      <c r="E1654" t="str">
        <f>IF(OR(Table1[[#This Row],[marital_status]]="Married", Table1[[#This Row],[marital_status]]="Together"), "Partnered", "Single")</f>
        <v>Single</v>
      </c>
      <c r="F1654" s="7">
        <v>34213</v>
      </c>
      <c r="G1654" s="8">
        <v>1</v>
      </c>
      <c r="H1654" s="8">
        <v>1</v>
      </c>
      <c r="I1654" s="8">
        <f>Table1[[#This Row],[kids]]+Table1[[#This Row],[teens]]</f>
        <v>2</v>
      </c>
      <c r="J1654" s="9">
        <v>41159</v>
      </c>
      <c r="K1654" s="8">
        <v>2</v>
      </c>
      <c r="L1654" s="6">
        <v>50</v>
      </c>
      <c r="M1654" s="5">
        <v>4</v>
      </c>
      <c r="N1654" s="5">
        <v>28</v>
      </c>
      <c r="O1654" s="5">
        <v>6</v>
      </c>
      <c r="P1654" s="5">
        <v>3</v>
      </c>
      <c r="Q1654" s="5">
        <v>26</v>
      </c>
      <c r="R1654" s="8">
        <v>3</v>
      </c>
      <c r="S1654" s="8">
        <v>3</v>
      </c>
      <c r="T1654" s="8">
        <v>1</v>
      </c>
      <c r="U1654" s="8">
        <v>2</v>
      </c>
      <c r="V1654" s="8">
        <v>9</v>
      </c>
      <c r="W1654" t="s">
        <v>473</v>
      </c>
      <c r="X1654" t="s">
        <v>473</v>
      </c>
      <c r="Y1654" t="s">
        <v>473</v>
      </c>
      <c r="Z1654" t="s">
        <v>473</v>
      </c>
      <c r="AA1654" t="s">
        <v>473</v>
      </c>
      <c r="AB1654" t="s">
        <v>473</v>
      </c>
      <c r="AC1654" s="10">
        <v>3</v>
      </c>
      <c r="AD1654" s="10">
        <v>11</v>
      </c>
      <c r="AE1654" t="s">
        <v>474</v>
      </c>
    </row>
    <row r="1655" spans="1:31" x14ac:dyDescent="0.25">
      <c r="A1655">
        <v>4931</v>
      </c>
      <c r="B1655">
        <v>1977</v>
      </c>
      <c r="C1655" t="s">
        <v>466</v>
      </c>
      <c r="D1655" t="s">
        <v>31</v>
      </c>
      <c r="E1655" t="str">
        <f>IF(OR(Table1[[#This Row],[marital_status]]="Married", Table1[[#This Row],[marital_status]]="Together"), "Partnered", "Single")</f>
        <v>Partnered</v>
      </c>
      <c r="F1655" s="7">
        <v>157146</v>
      </c>
      <c r="G1655" s="8">
        <v>0</v>
      </c>
      <c r="H1655" s="8">
        <v>0</v>
      </c>
      <c r="I1655" s="8">
        <f>Table1[[#This Row],[kids]]+Table1[[#This Row],[teens]]</f>
        <v>0</v>
      </c>
      <c r="J1655" s="9">
        <v>41393</v>
      </c>
      <c r="K1655" s="8">
        <v>13</v>
      </c>
      <c r="L1655" s="6">
        <v>1</v>
      </c>
      <c r="M1655" s="5">
        <v>0</v>
      </c>
      <c r="N1655" s="5">
        <v>1725</v>
      </c>
      <c r="O1655" s="5">
        <v>2</v>
      </c>
      <c r="P1655" s="5">
        <v>1</v>
      </c>
      <c r="Q1655" s="5">
        <v>1</v>
      </c>
      <c r="R1655" s="8">
        <v>0</v>
      </c>
      <c r="S1655" s="8">
        <v>0</v>
      </c>
      <c r="T1655" s="8">
        <v>28</v>
      </c>
      <c r="U1655" s="8">
        <v>0</v>
      </c>
      <c r="V1655" s="8">
        <v>1</v>
      </c>
      <c r="W1655" t="s">
        <v>473</v>
      </c>
      <c r="X1655" t="s">
        <v>473</v>
      </c>
      <c r="Y1655" t="s">
        <v>473</v>
      </c>
      <c r="Z1655" t="s">
        <v>473</v>
      </c>
      <c r="AA1655" t="s">
        <v>473</v>
      </c>
      <c r="AB1655" t="s">
        <v>473</v>
      </c>
      <c r="AC1655" s="10">
        <v>3</v>
      </c>
      <c r="AD1655" s="10">
        <v>11</v>
      </c>
      <c r="AE1655" t="s">
        <v>473</v>
      </c>
    </row>
    <row r="1656" spans="1:31" x14ac:dyDescent="0.25">
      <c r="A1656">
        <v>13</v>
      </c>
      <c r="B1656">
        <v>1947</v>
      </c>
      <c r="C1656" t="s">
        <v>33</v>
      </c>
      <c r="D1656" t="s">
        <v>57</v>
      </c>
      <c r="E1656" t="str">
        <f>IF(OR(Table1[[#This Row],[marital_status]]="Married", Table1[[#This Row],[marital_status]]="Together"), "Partnered", "Single")</f>
        <v>Single</v>
      </c>
      <c r="F1656" s="7">
        <v>25358</v>
      </c>
      <c r="G1656" s="8">
        <v>0</v>
      </c>
      <c r="H1656" s="8">
        <v>1</v>
      </c>
      <c r="I1656" s="8">
        <f>Table1[[#This Row],[kids]]+Table1[[#This Row],[teens]]</f>
        <v>1</v>
      </c>
      <c r="J1656" s="9">
        <v>41477</v>
      </c>
      <c r="K1656" s="8">
        <v>57</v>
      </c>
      <c r="L1656" s="6">
        <v>19</v>
      </c>
      <c r="M1656" s="5">
        <v>0</v>
      </c>
      <c r="N1656" s="5">
        <v>5</v>
      </c>
      <c r="O1656" s="5">
        <v>0</v>
      </c>
      <c r="P1656" s="5">
        <v>0</v>
      </c>
      <c r="Q1656" s="5">
        <v>8</v>
      </c>
      <c r="R1656" s="8">
        <v>2</v>
      </c>
      <c r="S1656" s="8">
        <v>1</v>
      </c>
      <c r="T1656" s="8">
        <v>0</v>
      </c>
      <c r="U1656" s="8">
        <v>3</v>
      </c>
      <c r="V1656" s="8">
        <v>6</v>
      </c>
      <c r="W1656" t="s">
        <v>473</v>
      </c>
      <c r="X1656" t="s">
        <v>473</v>
      </c>
      <c r="Y1656" t="s">
        <v>473</v>
      </c>
      <c r="Z1656" t="s">
        <v>473</v>
      </c>
      <c r="AA1656" t="s">
        <v>473</v>
      </c>
      <c r="AB1656" t="s">
        <v>473</v>
      </c>
      <c r="AC1656" s="10">
        <v>3</v>
      </c>
      <c r="AD1656" s="10">
        <v>11</v>
      </c>
      <c r="AE1656" t="s">
        <v>473</v>
      </c>
    </row>
    <row r="1657" spans="1:31" x14ac:dyDescent="0.25">
      <c r="A1657">
        <v>1834</v>
      </c>
      <c r="B1657">
        <v>1978</v>
      </c>
      <c r="C1657" t="s">
        <v>36</v>
      </c>
      <c r="D1657" t="s">
        <v>30</v>
      </c>
      <c r="E1657" t="str">
        <f>IF(OR(Table1[[#This Row],[marital_status]]="Married", Table1[[#This Row],[marital_status]]="Together"), "Partnered", "Single")</f>
        <v>Single</v>
      </c>
      <c r="F1657" s="7">
        <v>35544</v>
      </c>
      <c r="G1657" s="8">
        <v>1</v>
      </c>
      <c r="H1657" s="8">
        <v>0</v>
      </c>
      <c r="I1657" s="8">
        <f>Table1[[#This Row],[kids]]+Table1[[#This Row],[teens]]</f>
        <v>1</v>
      </c>
      <c r="J1657" s="9">
        <v>41706</v>
      </c>
      <c r="K1657" s="8">
        <v>77</v>
      </c>
      <c r="L1657" s="6">
        <v>30</v>
      </c>
      <c r="M1657" s="5">
        <v>5</v>
      </c>
      <c r="N1657" s="5">
        <v>23</v>
      </c>
      <c r="O1657" s="5">
        <v>4</v>
      </c>
      <c r="P1657" s="5">
        <v>1</v>
      </c>
      <c r="Q1657" s="5">
        <v>4</v>
      </c>
      <c r="R1657" s="8">
        <v>1</v>
      </c>
      <c r="S1657" s="8">
        <v>2</v>
      </c>
      <c r="T1657" s="8">
        <v>0</v>
      </c>
      <c r="U1657" s="8">
        <v>3</v>
      </c>
      <c r="V1657" s="8">
        <v>7</v>
      </c>
      <c r="W1657" t="s">
        <v>473</v>
      </c>
      <c r="X1657" t="s">
        <v>473</v>
      </c>
      <c r="Y1657" t="s">
        <v>473</v>
      </c>
      <c r="Z1657" t="s">
        <v>473</v>
      </c>
      <c r="AA1657" t="s">
        <v>473</v>
      </c>
      <c r="AB1657" t="s">
        <v>473</v>
      </c>
      <c r="AC1657" s="10">
        <v>3</v>
      </c>
      <c r="AD1657" s="10">
        <v>11</v>
      </c>
      <c r="AE1657" t="s">
        <v>473</v>
      </c>
    </row>
    <row r="1658" spans="1:31" x14ac:dyDescent="0.25">
      <c r="A1658">
        <v>2285</v>
      </c>
      <c r="B1658">
        <v>1954</v>
      </c>
      <c r="C1658" t="s">
        <v>36</v>
      </c>
      <c r="D1658" t="s">
        <v>31</v>
      </c>
      <c r="E1658" t="str">
        <f>IF(OR(Table1[[#This Row],[marital_status]]="Married", Table1[[#This Row],[marital_status]]="Together"), "Partnered", "Single")</f>
        <v>Partnered</v>
      </c>
      <c r="F1658" s="7">
        <v>36634</v>
      </c>
      <c r="G1658" s="8">
        <v>0</v>
      </c>
      <c r="H1658" s="8">
        <v>1</v>
      </c>
      <c r="I1658" s="8">
        <f>Table1[[#This Row],[kids]]+Table1[[#This Row],[teens]]</f>
        <v>1</v>
      </c>
      <c r="J1658" s="9">
        <v>41422</v>
      </c>
      <c r="K1658" s="8">
        <v>0</v>
      </c>
      <c r="L1658" s="6">
        <v>213</v>
      </c>
      <c r="M1658" s="5">
        <v>9</v>
      </c>
      <c r="N1658" s="5">
        <v>76</v>
      </c>
      <c r="O1658" s="5">
        <v>4</v>
      </c>
      <c r="P1658" s="5">
        <v>3</v>
      </c>
      <c r="Q1658" s="5">
        <v>30</v>
      </c>
      <c r="R1658" s="8">
        <v>3</v>
      </c>
      <c r="S1658" s="8">
        <v>5</v>
      </c>
      <c r="T1658" s="8">
        <v>2</v>
      </c>
      <c r="U1658" s="8">
        <v>5</v>
      </c>
      <c r="V1658" s="8">
        <v>7</v>
      </c>
      <c r="W1658" t="s">
        <v>473</v>
      </c>
      <c r="X1658" t="s">
        <v>473</v>
      </c>
      <c r="Y1658" t="s">
        <v>473</v>
      </c>
      <c r="Z1658" t="s">
        <v>473</v>
      </c>
      <c r="AA1658" t="s">
        <v>473</v>
      </c>
      <c r="AB1658" t="s">
        <v>473</v>
      </c>
      <c r="AC1658" s="10">
        <v>3</v>
      </c>
      <c r="AD1658" s="10">
        <v>11</v>
      </c>
      <c r="AE1658" t="s">
        <v>473</v>
      </c>
    </row>
    <row r="1659" spans="1:31" x14ac:dyDescent="0.25">
      <c r="A1659">
        <v>2295</v>
      </c>
      <c r="B1659">
        <v>1954</v>
      </c>
      <c r="C1659" t="s">
        <v>33</v>
      </c>
      <c r="D1659" t="s">
        <v>34</v>
      </c>
      <c r="E1659" t="str">
        <f>IF(OR(Table1[[#This Row],[marital_status]]="Married", Table1[[#This Row],[marital_status]]="Together"), "Partnered", "Single")</f>
        <v>Partnered</v>
      </c>
      <c r="F1659" s="7">
        <v>62670</v>
      </c>
      <c r="G1659" s="8">
        <v>0</v>
      </c>
      <c r="H1659" s="8">
        <v>1</v>
      </c>
      <c r="I1659" s="8">
        <f>Table1[[#This Row],[kids]]+Table1[[#This Row],[teens]]</f>
        <v>1</v>
      </c>
      <c r="J1659" s="9">
        <v>41672</v>
      </c>
      <c r="K1659" s="8">
        <v>57</v>
      </c>
      <c r="L1659" s="6">
        <v>539</v>
      </c>
      <c r="M1659" s="5">
        <v>30</v>
      </c>
      <c r="N1659" s="5">
        <v>92</v>
      </c>
      <c r="O1659" s="5">
        <v>80</v>
      </c>
      <c r="P1659" s="5">
        <v>46</v>
      </c>
      <c r="Q1659" s="5">
        <v>38</v>
      </c>
      <c r="R1659" s="8">
        <v>1</v>
      </c>
      <c r="S1659" s="8">
        <v>5</v>
      </c>
      <c r="T1659" s="8">
        <v>3</v>
      </c>
      <c r="U1659" s="8">
        <v>13</v>
      </c>
      <c r="V1659" s="8">
        <v>3</v>
      </c>
      <c r="W1659" t="s">
        <v>473</v>
      </c>
      <c r="X1659" t="s">
        <v>473</v>
      </c>
      <c r="Y1659" t="s">
        <v>473</v>
      </c>
      <c r="Z1659" t="s">
        <v>473</v>
      </c>
      <c r="AA1659" t="s">
        <v>473</v>
      </c>
      <c r="AB1659" t="s">
        <v>473</v>
      </c>
      <c r="AC1659" s="10">
        <v>3</v>
      </c>
      <c r="AD1659" s="10">
        <v>11</v>
      </c>
      <c r="AE1659" t="s">
        <v>473</v>
      </c>
    </row>
    <row r="1660" spans="1:31" x14ac:dyDescent="0.25">
      <c r="A1660">
        <v>1378</v>
      </c>
      <c r="B1660">
        <v>1972</v>
      </c>
      <c r="C1660" t="s">
        <v>46</v>
      </c>
      <c r="D1660" t="s">
        <v>31</v>
      </c>
      <c r="E1660" t="str">
        <f>IF(OR(Table1[[#This Row],[marital_status]]="Married", Table1[[#This Row],[marital_status]]="Together"), "Partnered", "Single")</f>
        <v>Partnered</v>
      </c>
      <c r="F1660" s="7">
        <v>50334</v>
      </c>
      <c r="G1660" s="8">
        <v>0</v>
      </c>
      <c r="H1660" s="8">
        <v>1</v>
      </c>
      <c r="I1660" s="8">
        <f>Table1[[#This Row],[kids]]+Table1[[#This Row],[teens]]</f>
        <v>1</v>
      </c>
      <c r="J1660" s="9">
        <v>41479</v>
      </c>
      <c r="K1660" s="8">
        <v>24</v>
      </c>
      <c r="L1660" s="6">
        <v>284</v>
      </c>
      <c r="M1660" s="5">
        <v>16</v>
      </c>
      <c r="N1660" s="5">
        <v>160</v>
      </c>
      <c r="O1660" s="5">
        <v>84</v>
      </c>
      <c r="P1660" s="5">
        <v>16</v>
      </c>
      <c r="Q1660" s="5">
        <v>134</v>
      </c>
      <c r="R1660" s="8">
        <v>6</v>
      </c>
      <c r="S1660" s="8">
        <v>7</v>
      </c>
      <c r="T1660" s="8">
        <v>4</v>
      </c>
      <c r="U1660" s="8">
        <v>6</v>
      </c>
      <c r="V1660" s="8">
        <v>6</v>
      </c>
      <c r="W1660" t="s">
        <v>473</v>
      </c>
      <c r="X1660" t="s">
        <v>473</v>
      </c>
      <c r="Y1660" t="s">
        <v>473</v>
      </c>
      <c r="Z1660" t="s">
        <v>473</v>
      </c>
      <c r="AA1660" t="s">
        <v>473</v>
      </c>
      <c r="AB1660" t="s">
        <v>473</v>
      </c>
      <c r="AC1660" s="10">
        <v>3</v>
      </c>
      <c r="AD1660" s="10">
        <v>11</v>
      </c>
      <c r="AE1660" t="s">
        <v>473</v>
      </c>
    </row>
    <row r="1661" spans="1:31" x14ac:dyDescent="0.25">
      <c r="A1661">
        <v>2781</v>
      </c>
      <c r="B1661">
        <v>1981</v>
      </c>
      <c r="C1661" t="s">
        <v>466</v>
      </c>
      <c r="D1661" t="s">
        <v>30</v>
      </c>
      <c r="E1661" t="str">
        <f>IF(OR(Table1[[#This Row],[marital_status]]="Married", Table1[[#This Row],[marital_status]]="Together"), "Partnered", "Single")</f>
        <v>Single</v>
      </c>
      <c r="F1661" s="7">
        <v>72066</v>
      </c>
      <c r="G1661" s="8">
        <v>0</v>
      </c>
      <c r="H1661" s="8">
        <v>0</v>
      </c>
      <c r="I1661" s="8">
        <f>Table1[[#This Row],[kids]]+Table1[[#This Row],[teens]]</f>
        <v>0</v>
      </c>
      <c r="J1661" s="9">
        <v>41813</v>
      </c>
      <c r="K1661" s="8">
        <v>55</v>
      </c>
      <c r="L1661" s="6">
        <v>1003</v>
      </c>
      <c r="M1661" s="5">
        <v>34</v>
      </c>
      <c r="N1661" s="5">
        <v>536</v>
      </c>
      <c r="O1661" s="5">
        <v>134</v>
      </c>
      <c r="P1661" s="5">
        <v>51</v>
      </c>
      <c r="Q1661" s="5">
        <v>34</v>
      </c>
      <c r="R1661" s="8">
        <v>1</v>
      </c>
      <c r="S1661" s="8">
        <v>4</v>
      </c>
      <c r="T1661" s="8">
        <v>6</v>
      </c>
      <c r="U1661" s="8">
        <v>6</v>
      </c>
      <c r="V1661" s="8">
        <v>2</v>
      </c>
      <c r="W1661" t="s">
        <v>473</v>
      </c>
      <c r="X1661" t="s">
        <v>473</v>
      </c>
      <c r="Y1661" t="s">
        <v>474</v>
      </c>
      <c r="Z1661" t="s">
        <v>474</v>
      </c>
      <c r="AA1661" t="s">
        <v>473</v>
      </c>
      <c r="AB1661" t="s">
        <v>473</v>
      </c>
      <c r="AC1661" s="10">
        <v>3</v>
      </c>
      <c r="AD1661" s="10">
        <v>11</v>
      </c>
      <c r="AE1661" t="s">
        <v>474</v>
      </c>
    </row>
    <row r="1662" spans="1:31" x14ac:dyDescent="0.25">
      <c r="A1662">
        <v>1165</v>
      </c>
      <c r="B1662">
        <v>1958</v>
      </c>
      <c r="C1662" t="s">
        <v>33</v>
      </c>
      <c r="D1662" t="s">
        <v>30</v>
      </c>
      <c r="E1662" t="str">
        <f>IF(OR(Table1[[#This Row],[marital_status]]="Married", Table1[[#This Row],[marital_status]]="Together"), "Partnered", "Single")</f>
        <v>Single</v>
      </c>
      <c r="F1662" s="7">
        <v>50729</v>
      </c>
      <c r="G1662" s="8">
        <v>1</v>
      </c>
      <c r="H1662" s="8">
        <v>1</v>
      </c>
      <c r="I1662" s="8">
        <f>Table1[[#This Row],[kids]]+Table1[[#This Row],[teens]]</f>
        <v>2</v>
      </c>
      <c r="J1662" s="9">
        <v>41396</v>
      </c>
      <c r="K1662" s="8">
        <v>62</v>
      </c>
      <c r="L1662" s="6">
        <v>239</v>
      </c>
      <c r="M1662" s="5">
        <v>13</v>
      </c>
      <c r="N1662" s="5">
        <v>143</v>
      </c>
      <c r="O1662" s="5">
        <v>45</v>
      </c>
      <c r="P1662" s="5">
        <v>4</v>
      </c>
      <c r="Q1662" s="5">
        <v>52</v>
      </c>
      <c r="R1662" s="8">
        <v>9</v>
      </c>
      <c r="S1662" s="8">
        <v>6</v>
      </c>
      <c r="T1662" s="8">
        <v>2</v>
      </c>
      <c r="U1662" s="8">
        <v>7</v>
      </c>
      <c r="V1662" s="8">
        <v>6</v>
      </c>
      <c r="W1662" t="s">
        <v>473</v>
      </c>
      <c r="X1662" t="s">
        <v>473</v>
      </c>
      <c r="Y1662" t="s">
        <v>473</v>
      </c>
      <c r="Z1662" t="s">
        <v>473</v>
      </c>
      <c r="AA1662" t="s">
        <v>473</v>
      </c>
      <c r="AB1662" t="s">
        <v>473</v>
      </c>
      <c r="AC1662" s="10">
        <v>3</v>
      </c>
      <c r="AD1662" s="10">
        <v>11</v>
      </c>
      <c r="AE1662" t="s">
        <v>473</v>
      </c>
    </row>
    <row r="1663" spans="1:31" x14ac:dyDescent="0.25">
      <c r="A1663">
        <v>1404</v>
      </c>
      <c r="B1663">
        <v>1968</v>
      </c>
      <c r="C1663" t="s">
        <v>466</v>
      </c>
      <c r="D1663" t="s">
        <v>31</v>
      </c>
      <c r="E1663" t="str">
        <f>IF(OR(Table1[[#This Row],[marital_status]]="Married", Table1[[#This Row],[marital_status]]="Together"), "Partnered", "Single")</f>
        <v>Partnered</v>
      </c>
      <c r="F1663" s="7">
        <v>34916</v>
      </c>
      <c r="G1663" s="8">
        <v>2</v>
      </c>
      <c r="H1663" s="8">
        <v>0</v>
      </c>
      <c r="I1663" s="8">
        <f>Table1[[#This Row],[kids]]+Table1[[#This Row],[teens]]</f>
        <v>2</v>
      </c>
      <c r="J1663" s="9">
        <v>41409</v>
      </c>
      <c r="K1663" s="8">
        <v>89</v>
      </c>
      <c r="L1663" s="6">
        <v>51</v>
      </c>
      <c r="M1663" s="5">
        <v>23</v>
      </c>
      <c r="N1663" s="5">
        <v>82</v>
      </c>
      <c r="O1663" s="5">
        <v>33</v>
      </c>
      <c r="P1663" s="5">
        <v>0</v>
      </c>
      <c r="Q1663" s="5">
        <v>42</v>
      </c>
      <c r="R1663" s="8">
        <v>4</v>
      </c>
      <c r="S1663" s="8">
        <v>5</v>
      </c>
      <c r="T1663" s="8">
        <v>1</v>
      </c>
      <c r="U1663" s="8">
        <v>3</v>
      </c>
      <c r="V1663" s="8">
        <v>9</v>
      </c>
      <c r="W1663" t="s">
        <v>473</v>
      </c>
      <c r="X1663" t="s">
        <v>473</v>
      </c>
      <c r="Y1663" t="s">
        <v>473</v>
      </c>
      <c r="Z1663" t="s">
        <v>473</v>
      </c>
      <c r="AA1663" t="s">
        <v>473</v>
      </c>
      <c r="AB1663" t="s">
        <v>473</v>
      </c>
      <c r="AC1663" s="10">
        <v>3</v>
      </c>
      <c r="AD1663" s="10">
        <v>11</v>
      </c>
      <c r="AE1663" t="s">
        <v>473</v>
      </c>
    </row>
    <row r="1664" spans="1:31" x14ac:dyDescent="0.25">
      <c r="A1664">
        <v>6457</v>
      </c>
      <c r="B1664">
        <v>1976</v>
      </c>
      <c r="C1664" t="s">
        <v>466</v>
      </c>
      <c r="D1664" t="s">
        <v>37</v>
      </c>
      <c r="E1664" t="str">
        <f>IF(OR(Table1[[#This Row],[marital_status]]="Married", Table1[[#This Row],[marital_status]]="Together"), "Partnered", "Single")</f>
        <v>Single</v>
      </c>
      <c r="F1664" s="7">
        <v>64892</v>
      </c>
      <c r="G1664" s="8">
        <v>0</v>
      </c>
      <c r="H1664" s="8">
        <v>1</v>
      </c>
      <c r="I1664" s="8">
        <f>Table1[[#This Row],[kids]]+Table1[[#This Row],[teens]]</f>
        <v>1</v>
      </c>
      <c r="J1664" s="9">
        <v>41788</v>
      </c>
      <c r="K1664" s="8">
        <v>77</v>
      </c>
      <c r="L1664" s="6">
        <v>527</v>
      </c>
      <c r="M1664" s="5">
        <v>24</v>
      </c>
      <c r="N1664" s="5">
        <v>230</v>
      </c>
      <c r="O1664" s="5">
        <v>32</v>
      </c>
      <c r="P1664" s="5">
        <v>24</v>
      </c>
      <c r="Q1664" s="5">
        <v>65</v>
      </c>
      <c r="R1664" s="8">
        <v>2</v>
      </c>
      <c r="S1664" s="8">
        <v>6</v>
      </c>
      <c r="T1664" s="8">
        <v>4</v>
      </c>
      <c r="U1664" s="8">
        <v>12</v>
      </c>
      <c r="V1664" s="8">
        <v>4</v>
      </c>
      <c r="W1664" t="s">
        <v>473</v>
      </c>
      <c r="X1664" t="s">
        <v>473</v>
      </c>
      <c r="Y1664" t="s">
        <v>473</v>
      </c>
      <c r="Z1664" t="s">
        <v>473</v>
      </c>
      <c r="AA1664" t="s">
        <v>473</v>
      </c>
      <c r="AB1664" t="s">
        <v>473</v>
      </c>
      <c r="AC1664" s="10">
        <v>3</v>
      </c>
      <c r="AD1664" s="10">
        <v>11</v>
      </c>
      <c r="AE1664" t="s">
        <v>473</v>
      </c>
    </row>
    <row r="1665" spans="1:31" x14ac:dyDescent="0.25">
      <c r="A1665">
        <v>2639</v>
      </c>
      <c r="B1665">
        <v>1966</v>
      </c>
      <c r="C1665" t="s">
        <v>466</v>
      </c>
      <c r="D1665" t="s">
        <v>30</v>
      </c>
      <c r="E1665" t="str">
        <f>IF(OR(Table1[[#This Row],[marital_status]]="Married", Table1[[#This Row],[marital_status]]="Together"), "Partnered", "Single")</f>
        <v>Single</v>
      </c>
      <c r="F1665" s="7">
        <v>43602</v>
      </c>
      <c r="G1665" s="8">
        <v>1</v>
      </c>
      <c r="H1665" s="8">
        <v>1</v>
      </c>
      <c r="I1665" s="8">
        <f>Table1[[#This Row],[kids]]+Table1[[#This Row],[teens]]</f>
        <v>2</v>
      </c>
      <c r="J1665" s="9">
        <v>41649</v>
      </c>
      <c r="K1665" s="8">
        <v>45</v>
      </c>
      <c r="L1665" s="6">
        <v>19</v>
      </c>
      <c r="M1665" s="5">
        <v>5</v>
      </c>
      <c r="N1665" s="5">
        <v>12</v>
      </c>
      <c r="O1665" s="5">
        <v>10</v>
      </c>
      <c r="P1665" s="5">
        <v>3</v>
      </c>
      <c r="Q1665" s="5">
        <v>19</v>
      </c>
      <c r="R1665" s="8">
        <v>3</v>
      </c>
      <c r="S1665" s="8">
        <v>3</v>
      </c>
      <c r="T1665" s="8">
        <v>1</v>
      </c>
      <c r="U1665" s="8">
        <v>2</v>
      </c>
      <c r="V1665" s="8">
        <v>6</v>
      </c>
      <c r="W1665" t="s">
        <v>473</v>
      </c>
      <c r="X1665" t="s">
        <v>473</v>
      </c>
      <c r="Y1665" t="s">
        <v>473</v>
      </c>
      <c r="Z1665" t="s">
        <v>473</v>
      </c>
      <c r="AA1665" t="s">
        <v>473</v>
      </c>
      <c r="AB1665" t="s">
        <v>473</v>
      </c>
      <c r="AC1665" s="10">
        <v>3</v>
      </c>
      <c r="AD1665" s="10">
        <v>11</v>
      </c>
      <c r="AE1665" t="s">
        <v>473</v>
      </c>
    </row>
    <row r="1666" spans="1:31" x14ac:dyDescent="0.25">
      <c r="A1666">
        <v>8299</v>
      </c>
      <c r="B1666">
        <v>1989</v>
      </c>
      <c r="C1666" t="s">
        <v>33</v>
      </c>
      <c r="D1666" t="s">
        <v>30</v>
      </c>
      <c r="E1666" t="str">
        <f>IF(OR(Table1[[#This Row],[marital_status]]="Married", Table1[[#This Row],[marital_status]]="Together"), "Partnered", "Single")</f>
        <v>Single</v>
      </c>
      <c r="F1666" s="7">
        <v>33996</v>
      </c>
      <c r="G1666" s="8">
        <v>0</v>
      </c>
      <c r="H1666" s="8">
        <v>0</v>
      </c>
      <c r="I1666" s="8">
        <f>Table1[[#This Row],[kids]]+Table1[[#This Row],[teens]]</f>
        <v>0</v>
      </c>
      <c r="J1666" s="9">
        <v>41528</v>
      </c>
      <c r="K1666" s="8">
        <v>46</v>
      </c>
      <c r="L1666" s="6">
        <v>40</v>
      </c>
      <c r="M1666" s="5">
        <v>2</v>
      </c>
      <c r="N1666" s="5">
        <v>15</v>
      </c>
      <c r="O1666" s="5">
        <v>8</v>
      </c>
      <c r="P1666" s="5">
        <v>0</v>
      </c>
      <c r="Q1666" s="5">
        <v>6</v>
      </c>
      <c r="R1666" s="8">
        <v>1</v>
      </c>
      <c r="S1666" s="8">
        <v>1</v>
      </c>
      <c r="T1666" s="8">
        <v>1</v>
      </c>
      <c r="U1666" s="8">
        <v>3</v>
      </c>
      <c r="V1666" s="8">
        <v>4</v>
      </c>
      <c r="W1666" t="s">
        <v>473</v>
      </c>
      <c r="X1666" t="s">
        <v>473</v>
      </c>
      <c r="Y1666" t="s">
        <v>473</v>
      </c>
      <c r="Z1666" t="s">
        <v>473</v>
      </c>
      <c r="AA1666" t="s">
        <v>473</v>
      </c>
      <c r="AB1666" t="s">
        <v>473</v>
      </c>
      <c r="AC1666" s="10">
        <v>3</v>
      </c>
      <c r="AD1666" s="10">
        <v>11</v>
      </c>
      <c r="AE1666" t="s">
        <v>473</v>
      </c>
    </row>
    <row r="1667" spans="1:31" x14ac:dyDescent="0.25">
      <c r="A1667">
        <v>6437</v>
      </c>
      <c r="B1667">
        <v>1985</v>
      </c>
      <c r="C1667" t="s">
        <v>46</v>
      </c>
      <c r="D1667" t="s">
        <v>30</v>
      </c>
      <c r="E1667" t="str">
        <f>IF(OR(Table1[[#This Row],[marital_status]]="Married", Table1[[#This Row],[marital_status]]="Together"), "Partnered", "Single")</f>
        <v>Single</v>
      </c>
      <c r="F1667" s="7">
        <v>41473</v>
      </c>
      <c r="G1667" s="8">
        <v>1</v>
      </c>
      <c r="H1667" s="8">
        <v>0</v>
      </c>
      <c r="I1667" s="8">
        <f>Table1[[#This Row],[kids]]+Table1[[#This Row],[teens]]</f>
        <v>1</v>
      </c>
      <c r="J1667" s="9">
        <v>41444</v>
      </c>
      <c r="K1667" s="8">
        <v>80</v>
      </c>
      <c r="L1667" s="6">
        <v>21</v>
      </c>
      <c r="M1667" s="5">
        <v>8</v>
      </c>
      <c r="N1667" s="5">
        <v>20</v>
      </c>
      <c r="O1667" s="5">
        <v>15</v>
      </c>
      <c r="P1667" s="5">
        <v>3</v>
      </c>
      <c r="Q1667" s="5">
        <v>9</v>
      </c>
      <c r="R1667" s="8">
        <v>1</v>
      </c>
      <c r="S1667" s="8">
        <v>2</v>
      </c>
      <c r="T1667" s="8">
        <v>0</v>
      </c>
      <c r="U1667" s="8">
        <v>3</v>
      </c>
      <c r="V1667" s="8">
        <v>7</v>
      </c>
      <c r="W1667" t="s">
        <v>473</v>
      </c>
      <c r="X1667" t="s">
        <v>473</v>
      </c>
      <c r="Y1667" t="s">
        <v>473</v>
      </c>
      <c r="Z1667" t="s">
        <v>473</v>
      </c>
      <c r="AA1667" t="s">
        <v>473</v>
      </c>
      <c r="AB1667" t="s">
        <v>473</v>
      </c>
      <c r="AC1667" s="10">
        <v>3</v>
      </c>
      <c r="AD1667" s="10">
        <v>11</v>
      </c>
      <c r="AE1667" t="s">
        <v>473</v>
      </c>
    </row>
    <row r="1668" spans="1:31" x14ac:dyDescent="0.25">
      <c r="A1668">
        <v>6912</v>
      </c>
      <c r="B1668">
        <v>1967</v>
      </c>
      <c r="C1668" t="s">
        <v>33</v>
      </c>
      <c r="D1668" t="s">
        <v>34</v>
      </c>
      <c r="E1668" t="str">
        <f>IF(OR(Table1[[#This Row],[marital_status]]="Married", Table1[[#This Row],[marital_status]]="Together"), "Partnered", "Single")</f>
        <v>Partnered</v>
      </c>
      <c r="F1668" s="7">
        <v>63246</v>
      </c>
      <c r="G1668" s="8">
        <v>0</v>
      </c>
      <c r="H1668" s="8">
        <v>2</v>
      </c>
      <c r="I1668" s="8">
        <f>Table1[[#This Row],[kids]]+Table1[[#This Row],[teens]]</f>
        <v>2</v>
      </c>
      <c r="J1668" s="9">
        <v>41506</v>
      </c>
      <c r="K1668" s="8">
        <v>60</v>
      </c>
      <c r="L1668" s="6">
        <v>593</v>
      </c>
      <c r="M1668" s="5">
        <v>30</v>
      </c>
      <c r="N1668" s="5">
        <v>91</v>
      </c>
      <c r="O1668" s="5">
        <v>29</v>
      </c>
      <c r="P1668" s="5">
        <v>22</v>
      </c>
      <c r="Q1668" s="5">
        <v>7</v>
      </c>
      <c r="R1668" s="8">
        <v>1</v>
      </c>
      <c r="S1668" s="8">
        <v>6</v>
      </c>
      <c r="T1668" s="8">
        <v>3</v>
      </c>
      <c r="U1668" s="8">
        <v>12</v>
      </c>
      <c r="V1668" s="8">
        <v>4</v>
      </c>
      <c r="W1668" t="s">
        <v>473</v>
      </c>
      <c r="X1668" t="s">
        <v>473</v>
      </c>
      <c r="Y1668" t="s">
        <v>473</v>
      </c>
      <c r="Z1668" t="s">
        <v>473</v>
      </c>
      <c r="AA1668" t="s">
        <v>473</v>
      </c>
      <c r="AB1668" t="s">
        <v>473</v>
      </c>
      <c r="AC1668" s="10">
        <v>3</v>
      </c>
      <c r="AD1668" s="10">
        <v>11</v>
      </c>
      <c r="AE1668" t="s">
        <v>473</v>
      </c>
    </row>
    <row r="1669" spans="1:31" x14ac:dyDescent="0.25">
      <c r="A1669">
        <v>7327</v>
      </c>
      <c r="B1669">
        <v>1959</v>
      </c>
      <c r="C1669" t="s">
        <v>33</v>
      </c>
      <c r="D1669" t="s">
        <v>34</v>
      </c>
      <c r="E1669" t="str">
        <f>IF(OR(Table1[[#This Row],[marital_status]]="Married", Table1[[#This Row],[marital_status]]="Together"), "Partnered", "Single")</f>
        <v>Partnered</v>
      </c>
      <c r="F1669" s="7">
        <v>36732</v>
      </c>
      <c r="G1669" s="8">
        <v>1</v>
      </c>
      <c r="H1669" s="8">
        <v>1</v>
      </c>
      <c r="I1669" s="8">
        <f>Table1[[#This Row],[kids]]+Table1[[#This Row],[teens]]</f>
        <v>2</v>
      </c>
      <c r="J1669" s="9">
        <v>41637</v>
      </c>
      <c r="K1669" s="8">
        <v>71</v>
      </c>
      <c r="L1669" s="6">
        <v>21</v>
      </c>
      <c r="M1669" s="5">
        <v>5</v>
      </c>
      <c r="N1669" s="5">
        <v>3</v>
      </c>
      <c r="O1669" s="5">
        <v>10</v>
      </c>
      <c r="P1669" s="5">
        <v>1</v>
      </c>
      <c r="Q1669" s="5">
        <v>7</v>
      </c>
      <c r="R1669" s="8">
        <v>3</v>
      </c>
      <c r="S1669" s="8">
        <v>1</v>
      </c>
      <c r="T1669" s="8">
        <v>1</v>
      </c>
      <c r="U1669" s="8">
        <v>4</v>
      </c>
      <c r="V1669" s="8">
        <v>2</v>
      </c>
      <c r="W1669" t="s">
        <v>473</v>
      </c>
      <c r="X1669" t="s">
        <v>473</v>
      </c>
      <c r="Y1669" t="s">
        <v>473</v>
      </c>
      <c r="Z1669" t="s">
        <v>473</v>
      </c>
      <c r="AA1669" t="s">
        <v>473</v>
      </c>
      <c r="AB1669" t="s">
        <v>473</v>
      </c>
      <c r="AC1669" s="10">
        <v>3</v>
      </c>
      <c r="AD1669" s="10">
        <v>11</v>
      </c>
      <c r="AE1669" t="s">
        <v>473</v>
      </c>
    </row>
    <row r="1670" spans="1:31" x14ac:dyDescent="0.25">
      <c r="A1670">
        <v>5299</v>
      </c>
      <c r="B1670">
        <v>1970</v>
      </c>
      <c r="C1670" t="s">
        <v>33</v>
      </c>
      <c r="D1670" t="s">
        <v>34</v>
      </c>
      <c r="E1670" t="str">
        <f>IF(OR(Table1[[#This Row],[marital_status]]="Married", Table1[[#This Row],[marital_status]]="Together"), "Partnered", "Single")</f>
        <v>Partnered</v>
      </c>
      <c r="F1670" s="7">
        <v>69084</v>
      </c>
      <c r="G1670" s="8">
        <v>1</v>
      </c>
      <c r="H1670" s="8">
        <v>0</v>
      </c>
      <c r="I1670" s="8">
        <f>Table1[[#This Row],[kids]]+Table1[[#This Row],[teens]]</f>
        <v>1</v>
      </c>
      <c r="J1670" s="9">
        <v>41597</v>
      </c>
      <c r="K1670" s="8">
        <v>43</v>
      </c>
      <c r="L1670" s="6">
        <v>1181</v>
      </c>
      <c r="M1670" s="5">
        <v>107</v>
      </c>
      <c r="N1670" s="5">
        <v>199</v>
      </c>
      <c r="O1670" s="5">
        <v>39</v>
      </c>
      <c r="P1670" s="5">
        <v>30</v>
      </c>
      <c r="Q1670" s="5">
        <v>30</v>
      </c>
      <c r="R1670" s="8">
        <v>2</v>
      </c>
      <c r="S1670" s="8">
        <v>7</v>
      </c>
      <c r="T1670" s="8">
        <v>3</v>
      </c>
      <c r="U1670" s="8">
        <v>13</v>
      </c>
      <c r="V1670" s="8">
        <v>8</v>
      </c>
      <c r="W1670" t="s">
        <v>473</v>
      </c>
      <c r="X1670" t="s">
        <v>473</v>
      </c>
      <c r="Y1670" t="s">
        <v>473</v>
      </c>
      <c r="Z1670" t="s">
        <v>473</v>
      </c>
      <c r="AA1670" t="s">
        <v>473</v>
      </c>
      <c r="AB1670" t="s">
        <v>473</v>
      </c>
      <c r="AC1670" s="10">
        <v>3</v>
      </c>
      <c r="AD1670" s="10">
        <v>11</v>
      </c>
      <c r="AE1670" t="s">
        <v>473</v>
      </c>
    </row>
    <row r="1671" spans="1:31" x14ac:dyDescent="0.25">
      <c r="A1671">
        <v>4127</v>
      </c>
      <c r="B1671">
        <v>1967</v>
      </c>
      <c r="C1671" t="s">
        <v>33</v>
      </c>
      <c r="D1671" t="s">
        <v>34</v>
      </c>
      <c r="E1671" t="str">
        <f>IF(OR(Table1[[#This Row],[marital_status]]="Married", Table1[[#This Row],[marital_status]]="Together"), "Partnered", "Single")</f>
        <v>Partnered</v>
      </c>
      <c r="F1671" s="7">
        <v>77766</v>
      </c>
      <c r="G1671" s="8">
        <v>0</v>
      </c>
      <c r="H1671" s="8">
        <v>1</v>
      </c>
      <c r="I1671" s="8">
        <f>Table1[[#This Row],[kids]]+Table1[[#This Row],[teens]]</f>
        <v>1</v>
      </c>
      <c r="J1671" s="9">
        <v>41327</v>
      </c>
      <c r="K1671" s="8">
        <v>97</v>
      </c>
      <c r="L1671" s="6">
        <v>1004</v>
      </c>
      <c r="M1671" s="5">
        <v>59</v>
      </c>
      <c r="N1671" s="5">
        <v>265</v>
      </c>
      <c r="O1671" s="5">
        <v>115</v>
      </c>
      <c r="P1671" s="5">
        <v>59</v>
      </c>
      <c r="Q1671" s="5">
        <v>27</v>
      </c>
      <c r="R1671" s="8">
        <v>2</v>
      </c>
      <c r="S1671" s="8">
        <v>11</v>
      </c>
      <c r="T1671" s="8">
        <v>10</v>
      </c>
      <c r="U1671" s="8">
        <v>11</v>
      </c>
      <c r="V1671" s="8">
        <v>6</v>
      </c>
      <c r="W1671" t="s">
        <v>474</v>
      </c>
      <c r="X1671" t="s">
        <v>473</v>
      </c>
      <c r="Y1671" t="s">
        <v>473</v>
      </c>
      <c r="Z1671" t="s">
        <v>473</v>
      </c>
      <c r="AA1671" t="s">
        <v>473</v>
      </c>
      <c r="AB1671" t="s">
        <v>473</v>
      </c>
      <c r="AC1671" s="10">
        <v>3</v>
      </c>
      <c r="AD1671" s="10">
        <v>11</v>
      </c>
      <c r="AE1671" t="s">
        <v>474</v>
      </c>
    </row>
    <row r="1672" spans="1:31" x14ac:dyDescent="0.25">
      <c r="A1672">
        <v>8143</v>
      </c>
      <c r="B1672">
        <v>1985</v>
      </c>
      <c r="C1672" t="s">
        <v>33</v>
      </c>
      <c r="D1672" t="s">
        <v>30</v>
      </c>
      <c r="E1672" t="str">
        <f>IF(OR(Table1[[#This Row],[marital_status]]="Married", Table1[[#This Row],[marital_status]]="Together"), "Partnered", "Single")</f>
        <v>Single</v>
      </c>
      <c r="F1672" s="7">
        <v>37929</v>
      </c>
      <c r="G1672" s="8">
        <v>0</v>
      </c>
      <c r="H1672" s="8">
        <v>0</v>
      </c>
      <c r="I1672" s="8">
        <f>Table1[[#This Row],[kids]]+Table1[[#This Row],[teens]]</f>
        <v>0</v>
      </c>
      <c r="J1672" s="9">
        <v>41485</v>
      </c>
      <c r="K1672" s="8">
        <v>49</v>
      </c>
      <c r="L1672" s="6">
        <v>202</v>
      </c>
      <c r="M1672" s="5">
        <v>2</v>
      </c>
      <c r="N1672" s="5">
        <v>46</v>
      </c>
      <c r="O1672" s="5">
        <v>3</v>
      </c>
      <c r="P1672" s="5">
        <v>2</v>
      </c>
      <c r="Q1672" s="5">
        <v>10</v>
      </c>
      <c r="R1672" s="8">
        <v>2</v>
      </c>
      <c r="S1672" s="8">
        <v>4</v>
      </c>
      <c r="T1672" s="8">
        <v>2</v>
      </c>
      <c r="U1672" s="8">
        <v>5</v>
      </c>
      <c r="V1672" s="8">
        <v>7</v>
      </c>
      <c r="W1672" t="s">
        <v>473</v>
      </c>
      <c r="X1672" t="s">
        <v>474</v>
      </c>
      <c r="Y1672" t="s">
        <v>473</v>
      </c>
      <c r="Z1672" t="s">
        <v>474</v>
      </c>
      <c r="AA1672" t="s">
        <v>473</v>
      </c>
      <c r="AB1672" t="s">
        <v>473</v>
      </c>
      <c r="AC1672" s="10">
        <v>3</v>
      </c>
      <c r="AD1672" s="10">
        <v>11</v>
      </c>
      <c r="AE1672" t="s">
        <v>474</v>
      </c>
    </row>
    <row r="1673" spans="1:31" x14ac:dyDescent="0.25">
      <c r="A1673">
        <v>1964</v>
      </c>
      <c r="B1673">
        <v>1951</v>
      </c>
      <c r="C1673" t="s">
        <v>466</v>
      </c>
      <c r="D1673" t="s">
        <v>31</v>
      </c>
      <c r="E1673" t="str">
        <f>IF(OR(Table1[[#This Row],[marital_status]]="Married", Table1[[#This Row],[marital_status]]="Together"), "Partnered", "Single")</f>
        <v>Partnered</v>
      </c>
      <c r="F1673" s="7">
        <v>86610</v>
      </c>
      <c r="G1673" s="8">
        <v>0</v>
      </c>
      <c r="H1673" s="8">
        <v>0</v>
      </c>
      <c r="I1673" s="8">
        <f>Table1[[#This Row],[kids]]+Table1[[#This Row],[teens]]</f>
        <v>0</v>
      </c>
      <c r="J1673" s="9">
        <v>41522</v>
      </c>
      <c r="K1673" s="8">
        <v>66</v>
      </c>
      <c r="L1673" s="6">
        <v>446</v>
      </c>
      <c r="M1673" s="5">
        <v>107</v>
      </c>
      <c r="N1673" s="5">
        <v>768</v>
      </c>
      <c r="O1673" s="5">
        <v>33</v>
      </c>
      <c r="P1673" s="5">
        <v>196</v>
      </c>
      <c r="Q1673" s="5">
        <v>53</v>
      </c>
      <c r="R1673" s="8">
        <v>1</v>
      </c>
      <c r="S1673" s="8">
        <v>5</v>
      </c>
      <c r="T1673" s="8">
        <v>6</v>
      </c>
      <c r="U1673" s="8">
        <v>6</v>
      </c>
      <c r="V1673" s="8">
        <v>2</v>
      </c>
      <c r="W1673" t="s">
        <v>473</v>
      </c>
      <c r="X1673" t="s">
        <v>473</v>
      </c>
      <c r="Y1673" t="s">
        <v>473</v>
      </c>
      <c r="Z1673" t="s">
        <v>473</v>
      </c>
      <c r="AA1673" t="s">
        <v>473</v>
      </c>
      <c r="AB1673" t="s">
        <v>473</v>
      </c>
      <c r="AC1673" s="10">
        <v>3</v>
      </c>
      <c r="AD1673" s="10">
        <v>11</v>
      </c>
      <c r="AE1673" t="s">
        <v>473</v>
      </c>
    </row>
    <row r="1674" spans="1:31" x14ac:dyDescent="0.25">
      <c r="A1674">
        <v>3690</v>
      </c>
      <c r="B1674">
        <v>1986</v>
      </c>
      <c r="C1674" t="s">
        <v>36</v>
      </c>
      <c r="D1674" t="s">
        <v>34</v>
      </c>
      <c r="E1674" t="str">
        <f>IF(OR(Table1[[#This Row],[marital_status]]="Married", Table1[[#This Row],[marital_status]]="Together"), "Partnered", "Single")</f>
        <v>Partnered</v>
      </c>
      <c r="F1674" s="7">
        <v>80141</v>
      </c>
      <c r="G1674" s="8">
        <v>0</v>
      </c>
      <c r="H1674" s="8">
        <v>0</v>
      </c>
      <c r="I1674" s="8">
        <f>Table1[[#This Row],[kids]]+Table1[[#This Row],[teens]]</f>
        <v>0</v>
      </c>
      <c r="J1674" s="9">
        <v>41285</v>
      </c>
      <c r="K1674" s="8">
        <v>20</v>
      </c>
      <c r="L1674" s="6">
        <v>1184</v>
      </c>
      <c r="M1674" s="5">
        <v>102</v>
      </c>
      <c r="N1674" s="5">
        <v>673</v>
      </c>
      <c r="O1674" s="5">
        <v>52</v>
      </c>
      <c r="P1674" s="5">
        <v>40</v>
      </c>
      <c r="Q1674" s="5">
        <v>40</v>
      </c>
      <c r="R1674" s="8">
        <v>1</v>
      </c>
      <c r="S1674" s="8">
        <v>7</v>
      </c>
      <c r="T1674" s="8">
        <v>4</v>
      </c>
      <c r="U1674" s="8">
        <v>10</v>
      </c>
      <c r="V1674" s="8">
        <v>6</v>
      </c>
      <c r="W1674" t="s">
        <v>473</v>
      </c>
      <c r="X1674" t="s">
        <v>473</v>
      </c>
      <c r="Y1674" t="s">
        <v>474</v>
      </c>
      <c r="Z1674" t="s">
        <v>473</v>
      </c>
      <c r="AA1674" t="s">
        <v>473</v>
      </c>
      <c r="AB1674" t="s">
        <v>473</v>
      </c>
      <c r="AC1674" s="10">
        <v>3</v>
      </c>
      <c r="AD1674" s="10">
        <v>11</v>
      </c>
      <c r="AE1674" t="s">
        <v>474</v>
      </c>
    </row>
    <row r="1675" spans="1:31" x14ac:dyDescent="0.25">
      <c r="A1675">
        <v>3433</v>
      </c>
      <c r="B1675">
        <v>1955</v>
      </c>
      <c r="C1675" t="s">
        <v>46</v>
      </c>
      <c r="D1675" t="s">
        <v>34</v>
      </c>
      <c r="E1675" t="str">
        <f>IF(OR(Table1[[#This Row],[marital_status]]="Married", Table1[[#This Row],[marital_status]]="Together"), "Partnered", "Single")</f>
        <v>Partnered</v>
      </c>
      <c r="F1675" s="7">
        <v>72635</v>
      </c>
      <c r="G1675" s="8">
        <v>0</v>
      </c>
      <c r="H1675" s="8">
        <v>0</v>
      </c>
      <c r="I1675" s="8">
        <f>Table1[[#This Row],[kids]]+Table1[[#This Row],[teens]]</f>
        <v>0</v>
      </c>
      <c r="J1675" s="9">
        <v>41428</v>
      </c>
      <c r="K1675" s="8">
        <v>54</v>
      </c>
      <c r="L1675" s="6">
        <v>390</v>
      </c>
      <c r="M1675" s="5">
        <v>22</v>
      </c>
      <c r="N1675" s="5">
        <v>323</v>
      </c>
      <c r="O1675" s="5">
        <v>104</v>
      </c>
      <c r="P1675" s="5">
        <v>35</v>
      </c>
      <c r="Q1675" s="5">
        <v>107</v>
      </c>
      <c r="R1675" s="8">
        <v>1</v>
      </c>
      <c r="S1675" s="8">
        <v>6</v>
      </c>
      <c r="T1675" s="8">
        <v>8</v>
      </c>
      <c r="U1675" s="8">
        <v>6</v>
      </c>
      <c r="V1675" s="8">
        <v>3</v>
      </c>
      <c r="W1675" t="s">
        <v>473</v>
      </c>
      <c r="X1675" t="s">
        <v>473</v>
      </c>
      <c r="Y1675" t="s">
        <v>473</v>
      </c>
      <c r="Z1675" t="s">
        <v>474</v>
      </c>
      <c r="AA1675" t="s">
        <v>473</v>
      </c>
      <c r="AB1675" t="s">
        <v>473</v>
      </c>
      <c r="AC1675" s="10">
        <v>3</v>
      </c>
      <c r="AD1675" s="10">
        <v>11</v>
      </c>
      <c r="AE1675" t="s">
        <v>473</v>
      </c>
    </row>
    <row r="1676" spans="1:31" x14ac:dyDescent="0.25">
      <c r="A1676">
        <v>3389</v>
      </c>
      <c r="B1676">
        <v>1970</v>
      </c>
      <c r="C1676" t="s">
        <v>466</v>
      </c>
      <c r="D1676" t="s">
        <v>34</v>
      </c>
      <c r="E1676" t="str">
        <f>IF(OR(Table1[[#This Row],[marital_status]]="Married", Table1[[#This Row],[marital_status]]="Together"), "Partnered", "Single")</f>
        <v>Partnered</v>
      </c>
      <c r="F1676" s="7">
        <v>69016</v>
      </c>
      <c r="G1676" s="8">
        <v>0</v>
      </c>
      <c r="H1676" s="8">
        <v>1</v>
      </c>
      <c r="I1676" s="8">
        <f>Table1[[#This Row],[kids]]+Table1[[#This Row],[teens]]</f>
        <v>1</v>
      </c>
      <c r="J1676" s="9">
        <v>41235</v>
      </c>
      <c r="K1676" s="8">
        <v>61</v>
      </c>
      <c r="L1676" s="6">
        <v>726</v>
      </c>
      <c r="M1676" s="5">
        <v>53</v>
      </c>
      <c r="N1676" s="5">
        <v>363</v>
      </c>
      <c r="O1676" s="5">
        <v>123</v>
      </c>
      <c r="P1676" s="5">
        <v>107</v>
      </c>
      <c r="Q1676" s="5">
        <v>161</v>
      </c>
      <c r="R1676" s="8">
        <v>4</v>
      </c>
      <c r="S1676" s="8">
        <v>8</v>
      </c>
      <c r="T1676" s="8">
        <v>9</v>
      </c>
      <c r="U1676" s="8">
        <v>13</v>
      </c>
      <c r="V1676" s="8">
        <v>5</v>
      </c>
      <c r="W1676" t="s">
        <v>473</v>
      </c>
      <c r="X1676" t="s">
        <v>473</v>
      </c>
      <c r="Y1676" t="s">
        <v>473</v>
      </c>
      <c r="Z1676" t="s">
        <v>473</v>
      </c>
      <c r="AA1676" t="s">
        <v>473</v>
      </c>
      <c r="AB1676" t="s">
        <v>473</v>
      </c>
      <c r="AC1676" s="10">
        <v>3</v>
      </c>
      <c r="AD1676" s="10">
        <v>11</v>
      </c>
      <c r="AE1676" t="s">
        <v>473</v>
      </c>
    </row>
    <row r="1677" spans="1:31" x14ac:dyDescent="0.25">
      <c r="A1677">
        <v>4712</v>
      </c>
      <c r="B1677">
        <v>1991</v>
      </c>
      <c r="C1677" t="s">
        <v>46</v>
      </c>
      <c r="D1677" t="s">
        <v>31</v>
      </c>
      <c r="E1677" t="str">
        <f>IF(OR(Table1[[#This Row],[marital_status]]="Married", Table1[[#This Row],[marital_status]]="Together"), "Partnered", "Single")</f>
        <v>Partnered</v>
      </c>
      <c r="F1677" s="7">
        <v>20193</v>
      </c>
      <c r="G1677" s="8">
        <v>0</v>
      </c>
      <c r="H1677" s="8">
        <v>0</v>
      </c>
      <c r="I1677" s="8">
        <f>Table1[[#This Row],[kids]]+Table1[[#This Row],[teens]]</f>
        <v>0</v>
      </c>
      <c r="J1677" s="9">
        <v>41241</v>
      </c>
      <c r="K1677" s="8">
        <v>18</v>
      </c>
      <c r="L1677" s="6">
        <v>8</v>
      </c>
      <c r="M1677" s="5">
        <v>8</v>
      </c>
      <c r="N1677" s="5">
        <v>22</v>
      </c>
      <c r="O1677" s="5">
        <v>24</v>
      </c>
      <c r="P1677" s="5">
        <v>11</v>
      </c>
      <c r="Q1677" s="5">
        <v>9</v>
      </c>
      <c r="R1677" s="8">
        <v>1</v>
      </c>
      <c r="S1677" s="8">
        <v>1</v>
      </c>
      <c r="T1677" s="8">
        <v>1</v>
      </c>
      <c r="U1677" s="8">
        <v>4</v>
      </c>
      <c r="V1677" s="8">
        <v>4</v>
      </c>
      <c r="W1677" t="s">
        <v>473</v>
      </c>
      <c r="X1677" t="s">
        <v>473</v>
      </c>
      <c r="Y1677" t="s">
        <v>473</v>
      </c>
      <c r="Z1677" t="s">
        <v>473</v>
      </c>
      <c r="AA1677" t="s">
        <v>473</v>
      </c>
      <c r="AB1677" t="s">
        <v>473</v>
      </c>
      <c r="AC1677" s="10">
        <v>3</v>
      </c>
      <c r="AD1677" s="10">
        <v>11</v>
      </c>
      <c r="AE1677" t="s">
        <v>473</v>
      </c>
    </row>
    <row r="1678" spans="1:31" x14ac:dyDescent="0.25">
      <c r="A1678">
        <v>1170</v>
      </c>
      <c r="B1678">
        <v>1975</v>
      </c>
      <c r="C1678" t="s">
        <v>466</v>
      </c>
      <c r="D1678" t="s">
        <v>34</v>
      </c>
      <c r="E1678" t="str">
        <f>IF(OR(Table1[[#This Row],[marital_status]]="Married", Table1[[#This Row],[marital_status]]="Together"), "Partnered", "Single")</f>
        <v>Partnered</v>
      </c>
      <c r="F1678" s="7">
        <v>27573</v>
      </c>
      <c r="G1678" s="8">
        <v>1</v>
      </c>
      <c r="H1678" s="8">
        <v>0</v>
      </c>
      <c r="I1678" s="8">
        <f>Table1[[#This Row],[kids]]+Table1[[#This Row],[teens]]</f>
        <v>1</v>
      </c>
      <c r="J1678" s="9">
        <v>41358</v>
      </c>
      <c r="K1678" s="8">
        <v>45</v>
      </c>
      <c r="L1678" s="6">
        <v>50</v>
      </c>
      <c r="M1678" s="5">
        <v>15</v>
      </c>
      <c r="N1678" s="5">
        <v>110</v>
      </c>
      <c r="O1678" s="5">
        <v>39</v>
      </c>
      <c r="P1678" s="5">
        <v>15</v>
      </c>
      <c r="Q1678" s="5">
        <v>15</v>
      </c>
      <c r="R1678" s="8">
        <v>4</v>
      </c>
      <c r="S1678" s="8">
        <v>5</v>
      </c>
      <c r="T1678" s="8">
        <v>1</v>
      </c>
      <c r="U1678" s="8">
        <v>4</v>
      </c>
      <c r="V1678" s="8">
        <v>8</v>
      </c>
      <c r="W1678" t="s">
        <v>473</v>
      </c>
      <c r="X1678" t="s">
        <v>473</v>
      </c>
      <c r="Y1678" t="s">
        <v>473</v>
      </c>
      <c r="Z1678" t="s">
        <v>473</v>
      </c>
      <c r="AA1678" t="s">
        <v>473</v>
      </c>
      <c r="AB1678" t="s">
        <v>473</v>
      </c>
      <c r="AC1678" s="10">
        <v>3</v>
      </c>
      <c r="AD1678" s="10">
        <v>11</v>
      </c>
      <c r="AE1678" t="s">
        <v>473</v>
      </c>
    </row>
    <row r="1679" spans="1:31" x14ac:dyDescent="0.25">
      <c r="A1679">
        <v>6347</v>
      </c>
      <c r="B1679">
        <v>1979</v>
      </c>
      <c r="C1679" t="s">
        <v>41</v>
      </c>
      <c r="D1679" t="s">
        <v>30</v>
      </c>
      <c r="E1679" t="str">
        <f>IF(OR(Table1[[#This Row],[marital_status]]="Married", Table1[[#This Row],[marital_status]]="Together"), "Partnered", "Single")</f>
        <v>Single</v>
      </c>
      <c r="F1679" s="7">
        <v>15862</v>
      </c>
      <c r="G1679" s="8">
        <v>1</v>
      </c>
      <c r="H1679" s="8">
        <v>0</v>
      </c>
      <c r="I1679" s="8">
        <f>Table1[[#This Row],[kids]]+Table1[[#This Row],[teens]]</f>
        <v>1</v>
      </c>
      <c r="J1679" s="9">
        <v>41452</v>
      </c>
      <c r="K1679" s="8">
        <v>26</v>
      </c>
      <c r="L1679" s="6">
        <v>1</v>
      </c>
      <c r="M1679" s="5">
        <v>1</v>
      </c>
      <c r="N1679" s="5">
        <v>4</v>
      </c>
      <c r="O1679" s="5">
        <v>11</v>
      </c>
      <c r="P1679" s="5">
        <v>9</v>
      </c>
      <c r="Q1679" s="5">
        <v>10</v>
      </c>
      <c r="R1679" s="8">
        <v>1</v>
      </c>
      <c r="S1679" s="8">
        <v>1</v>
      </c>
      <c r="T1679" s="8">
        <v>0</v>
      </c>
      <c r="U1679" s="8">
        <v>3</v>
      </c>
      <c r="V1679" s="8">
        <v>8</v>
      </c>
      <c r="W1679" t="s">
        <v>473</v>
      </c>
      <c r="X1679" t="s">
        <v>473</v>
      </c>
      <c r="Y1679" t="s">
        <v>473</v>
      </c>
      <c r="Z1679" t="s">
        <v>473</v>
      </c>
      <c r="AA1679" t="s">
        <v>473</v>
      </c>
      <c r="AB1679" t="s">
        <v>473</v>
      </c>
      <c r="AC1679" s="10">
        <v>3</v>
      </c>
      <c r="AD1679" s="10">
        <v>11</v>
      </c>
      <c r="AE1679" t="s">
        <v>473</v>
      </c>
    </row>
    <row r="1680" spans="1:31" x14ac:dyDescent="0.25">
      <c r="A1680">
        <v>4065</v>
      </c>
      <c r="B1680">
        <v>1976</v>
      </c>
      <c r="C1680" t="s">
        <v>33</v>
      </c>
      <c r="D1680" t="s">
        <v>34</v>
      </c>
      <c r="E1680" t="str">
        <f>IF(OR(Table1[[#This Row],[marital_status]]="Married", Table1[[#This Row],[marital_status]]="Together"), "Partnered", "Single")</f>
        <v>Partnered</v>
      </c>
      <c r="F1680" s="7">
        <v>49544</v>
      </c>
      <c r="G1680" s="8">
        <v>1</v>
      </c>
      <c r="H1680" s="8">
        <v>0</v>
      </c>
      <c r="I1680" s="8">
        <f>Table1[[#This Row],[kids]]+Table1[[#This Row],[teens]]</f>
        <v>1</v>
      </c>
      <c r="J1680" s="9">
        <v>41317</v>
      </c>
      <c r="K1680" s="8">
        <v>0</v>
      </c>
      <c r="L1680" s="6">
        <v>308</v>
      </c>
      <c r="M1680" s="5">
        <v>0</v>
      </c>
      <c r="N1680" s="5">
        <v>73</v>
      </c>
      <c r="O1680" s="5">
        <v>0</v>
      </c>
      <c r="P1680" s="5">
        <v>0</v>
      </c>
      <c r="Q1680" s="5">
        <v>23</v>
      </c>
      <c r="R1680" s="8">
        <v>2</v>
      </c>
      <c r="S1680" s="8">
        <v>5</v>
      </c>
      <c r="T1680" s="8">
        <v>1</v>
      </c>
      <c r="U1680" s="8">
        <v>8</v>
      </c>
      <c r="V1680" s="8">
        <v>7</v>
      </c>
      <c r="W1680" t="s">
        <v>473</v>
      </c>
      <c r="X1680" t="s">
        <v>473</v>
      </c>
      <c r="Y1680" t="s">
        <v>473</v>
      </c>
      <c r="Z1680" t="s">
        <v>473</v>
      </c>
      <c r="AA1680" t="s">
        <v>473</v>
      </c>
      <c r="AB1680" t="s">
        <v>473</v>
      </c>
      <c r="AC1680" s="10">
        <v>3</v>
      </c>
      <c r="AD1680" s="10">
        <v>11</v>
      </c>
      <c r="AE1680" t="s">
        <v>473</v>
      </c>
    </row>
    <row r="1681" spans="1:31" x14ac:dyDescent="0.25">
      <c r="A1681">
        <v>8230</v>
      </c>
      <c r="B1681">
        <v>1980</v>
      </c>
      <c r="C1681" t="s">
        <v>466</v>
      </c>
      <c r="D1681" t="s">
        <v>34</v>
      </c>
      <c r="E1681" t="str">
        <f>IF(OR(Table1[[#This Row],[marital_status]]="Married", Table1[[#This Row],[marital_status]]="Together"), "Partnered", "Single")</f>
        <v>Partnered</v>
      </c>
      <c r="F1681" s="7">
        <v>33228</v>
      </c>
      <c r="G1681" s="8">
        <v>1</v>
      </c>
      <c r="H1681" s="8">
        <v>0</v>
      </c>
      <c r="I1681" s="8">
        <f>Table1[[#This Row],[kids]]+Table1[[#This Row],[teens]]</f>
        <v>1</v>
      </c>
      <c r="J1681" s="9">
        <v>41662</v>
      </c>
      <c r="K1681" s="8">
        <v>28</v>
      </c>
      <c r="L1681" s="6">
        <v>22</v>
      </c>
      <c r="M1681" s="5">
        <v>2</v>
      </c>
      <c r="N1681" s="5">
        <v>31</v>
      </c>
      <c r="O1681" s="5">
        <v>7</v>
      </c>
      <c r="P1681" s="5">
        <v>4</v>
      </c>
      <c r="Q1681" s="5">
        <v>5</v>
      </c>
      <c r="R1681" s="8">
        <v>1</v>
      </c>
      <c r="S1681" s="8">
        <v>2</v>
      </c>
      <c r="T1681" s="8">
        <v>0</v>
      </c>
      <c r="U1681" s="8">
        <v>3</v>
      </c>
      <c r="V1681" s="8">
        <v>7</v>
      </c>
      <c r="W1681" t="s">
        <v>473</v>
      </c>
      <c r="X1681" t="s">
        <v>473</v>
      </c>
      <c r="Y1681" t="s">
        <v>473</v>
      </c>
      <c r="Z1681" t="s">
        <v>473</v>
      </c>
      <c r="AA1681" t="s">
        <v>473</v>
      </c>
      <c r="AB1681" t="s">
        <v>473</v>
      </c>
      <c r="AC1681" s="10">
        <v>3</v>
      </c>
      <c r="AD1681" s="10">
        <v>11</v>
      </c>
      <c r="AE1681" t="s">
        <v>473</v>
      </c>
    </row>
    <row r="1682" spans="1:31" x14ac:dyDescent="0.25">
      <c r="A1682">
        <v>1215</v>
      </c>
      <c r="B1682">
        <v>1978</v>
      </c>
      <c r="C1682" t="s">
        <v>466</v>
      </c>
      <c r="D1682" t="s">
        <v>31</v>
      </c>
      <c r="E1682" t="str">
        <f>IF(OR(Table1[[#This Row],[marital_status]]="Married", Table1[[#This Row],[marital_status]]="Together"), "Partnered", "Single")</f>
        <v>Partnered</v>
      </c>
      <c r="F1682" s="7">
        <v>70440</v>
      </c>
      <c r="G1682" s="8">
        <v>0</v>
      </c>
      <c r="H1682" s="8">
        <v>0</v>
      </c>
      <c r="I1682" s="8">
        <f>Table1[[#This Row],[kids]]+Table1[[#This Row],[teens]]</f>
        <v>0</v>
      </c>
      <c r="J1682" s="9">
        <v>41555</v>
      </c>
      <c r="K1682" s="8">
        <v>49</v>
      </c>
      <c r="L1682" s="6">
        <v>690</v>
      </c>
      <c r="M1682" s="5">
        <v>117</v>
      </c>
      <c r="N1682" s="5">
        <v>499</v>
      </c>
      <c r="O1682" s="5">
        <v>76</v>
      </c>
      <c r="P1682" s="5">
        <v>102</v>
      </c>
      <c r="Q1682" s="5">
        <v>88</v>
      </c>
      <c r="R1682" s="8">
        <v>1</v>
      </c>
      <c r="S1682" s="8">
        <v>5</v>
      </c>
      <c r="T1682" s="8">
        <v>10</v>
      </c>
      <c r="U1682" s="8">
        <v>7</v>
      </c>
      <c r="V1682" s="8">
        <v>3</v>
      </c>
      <c r="W1682" t="s">
        <v>473</v>
      </c>
      <c r="X1682" t="s">
        <v>473</v>
      </c>
      <c r="Y1682" t="s">
        <v>473</v>
      </c>
      <c r="Z1682" t="s">
        <v>474</v>
      </c>
      <c r="AA1682" t="s">
        <v>473</v>
      </c>
      <c r="AB1682" t="s">
        <v>473</v>
      </c>
      <c r="AC1682" s="10">
        <v>3</v>
      </c>
      <c r="AD1682" s="10">
        <v>11</v>
      </c>
      <c r="AE1682" t="s">
        <v>473</v>
      </c>
    </row>
    <row r="1683" spans="1:31" x14ac:dyDescent="0.25">
      <c r="A1683">
        <v>5939</v>
      </c>
      <c r="B1683">
        <v>1971</v>
      </c>
      <c r="C1683" t="s">
        <v>466</v>
      </c>
      <c r="D1683" t="s">
        <v>31</v>
      </c>
      <c r="E1683" t="str">
        <f>IF(OR(Table1[[#This Row],[marital_status]]="Married", Table1[[#This Row],[marital_status]]="Together"), "Partnered", "Single")</f>
        <v>Partnered</v>
      </c>
      <c r="F1683" s="7">
        <v>38232</v>
      </c>
      <c r="G1683" s="8">
        <v>1</v>
      </c>
      <c r="H1683" s="8">
        <v>1</v>
      </c>
      <c r="I1683" s="8">
        <f>Table1[[#This Row],[kids]]+Table1[[#This Row],[teens]]</f>
        <v>2</v>
      </c>
      <c r="J1683" s="9">
        <v>41656</v>
      </c>
      <c r="K1683" s="8">
        <v>84</v>
      </c>
      <c r="L1683" s="6">
        <v>43</v>
      </c>
      <c r="M1683" s="5">
        <v>5</v>
      </c>
      <c r="N1683" s="5">
        <v>28</v>
      </c>
      <c r="O1683" s="5">
        <v>7</v>
      </c>
      <c r="P1683" s="5">
        <v>6</v>
      </c>
      <c r="Q1683" s="5">
        <v>33</v>
      </c>
      <c r="R1683" s="8">
        <v>4</v>
      </c>
      <c r="S1683" s="8">
        <v>3</v>
      </c>
      <c r="T1683" s="8">
        <v>1</v>
      </c>
      <c r="U1683" s="8">
        <v>3</v>
      </c>
      <c r="V1683" s="8">
        <v>5</v>
      </c>
      <c r="W1683" t="s">
        <v>473</v>
      </c>
      <c r="X1683" t="s">
        <v>473</v>
      </c>
      <c r="Y1683" t="s">
        <v>473</v>
      </c>
      <c r="Z1683" t="s">
        <v>473</v>
      </c>
      <c r="AA1683" t="s">
        <v>473</v>
      </c>
      <c r="AB1683" t="s">
        <v>473</v>
      </c>
      <c r="AC1683" s="10">
        <v>3</v>
      </c>
      <c r="AD1683" s="10">
        <v>11</v>
      </c>
      <c r="AE1683" t="s">
        <v>473</v>
      </c>
    </row>
    <row r="1684" spans="1:31" x14ac:dyDescent="0.25">
      <c r="A1684">
        <v>2156</v>
      </c>
      <c r="B1684">
        <v>1955</v>
      </c>
      <c r="C1684" t="s">
        <v>33</v>
      </c>
      <c r="D1684" t="s">
        <v>34</v>
      </c>
      <c r="E1684" t="str">
        <f>IF(OR(Table1[[#This Row],[marital_status]]="Married", Table1[[#This Row],[marital_status]]="Together"), "Partnered", "Single")</f>
        <v>Partnered</v>
      </c>
      <c r="F1684" s="7">
        <v>22554</v>
      </c>
      <c r="G1684" s="8">
        <v>1</v>
      </c>
      <c r="H1684" s="8">
        <v>1</v>
      </c>
      <c r="I1684" s="8">
        <f>Table1[[#This Row],[kids]]+Table1[[#This Row],[teens]]</f>
        <v>2</v>
      </c>
      <c r="J1684" s="9">
        <v>41216</v>
      </c>
      <c r="K1684" s="8">
        <v>38</v>
      </c>
      <c r="L1684" s="6">
        <v>27</v>
      </c>
      <c r="M1684" s="5">
        <v>0</v>
      </c>
      <c r="N1684" s="5">
        <v>10</v>
      </c>
      <c r="O1684" s="5">
        <v>0</v>
      </c>
      <c r="P1684" s="5">
        <v>0</v>
      </c>
      <c r="Q1684" s="5">
        <v>4</v>
      </c>
      <c r="R1684" s="8">
        <v>4</v>
      </c>
      <c r="S1684" s="8">
        <v>2</v>
      </c>
      <c r="T1684" s="8">
        <v>0</v>
      </c>
      <c r="U1684" s="8">
        <v>4</v>
      </c>
      <c r="V1684" s="8">
        <v>5</v>
      </c>
      <c r="W1684" t="s">
        <v>473</v>
      </c>
      <c r="X1684" t="s">
        <v>473</v>
      </c>
      <c r="Y1684" t="s">
        <v>473</v>
      </c>
      <c r="Z1684" t="s">
        <v>473</v>
      </c>
      <c r="AA1684" t="s">
        <v>473</v>
      </c>
      <c r="AB1684" t="s">
        <v>473</v>
      </c>
      <c r="AC1684" s="10">
        <v>3</v>
      </c>
      <c r="AD1684" s="10">
        <v>11</v>
      </c>
      <c r="AE1684" t="s">
        <v>473</v>
      </c>
    </row>
    <row r="1685" spans="1:31" x14ac:dyDescent="0.25">
      <c r="A1685">
        <v>7788</v>
      </c>
      <c r="B1685">
        <v>1983</v>
      </c>
      <c r="C1685" t="s">
        <v>33</v>
      </c>
      <c r="D1685" t="s">
        <v>34</v>
      </c>
      <c r="E1685" t="str">
        <f>IF(OR(Table1[[#This Row],[marital_status]]="Married", Table1[[#This Row],[marital_status]]="Together"), "Partnered", "Single")</f>
        <v>Partnered</v>
      </c>
      <c r="F1685" s="7">
        <v>23536</v>
      </c>
      <c r="G1685" s="8">
        <v>1</v>
      </c>
      <c r="H1685" s="8">
        <v>0</v>
      </c>
      <c r="I1685" s="8">
        <f>Table1[[#This Row],[kids]]+Table1[[#This Row],[teens]]</f>
        <v>1</v>
      </c>
      <c r="J1685" s="9">
        <v>41794</v>
      </c>
      <c r="K1685" s="8">
        <v>53</v>
      </c>
      <c r="L1685" s="6">
        <v>6</v>
      </c>
      <c r="M1685" s="5">
        <v>0</v>
      </c>
      <c r="N1685" s="5">
        <v>3</v>
      </c>
      <c r="O1685" s="5">
        <v>0</v>
      </c>
      <c r="P1685" s="5">
        <v>0</v>
      </c>
      <c r="Q1685" s="5">
        <v>1</v>
      </c>
      <c r="R1685" s="8">
        <v>1</v>
      </c>
      <c r="S1685" s="8">
        <v>0</v>
      </c>
      <c r="T1685" s="8">
        <v>0</v>
      </c>
      <c r="U1685" s="8">
        <v>3</v>
      </c>
      <c r="V1685" s="8">
        <v>3</v>
      </c>
      <c r="W1685" t="s">
        <v>473</v>
      </c>
      <c r="X1685" t="s">
        <v>473</v>
      </c>
      <c r="Y1685" t="s">
        <v>473</v>
      </c>
      <c r="Z1685" t="s">
        <v>473</v>
      </c>
      <c r="AA1685" t="s">
        <v>473</v>
      </c>
      <c r="AB1685" t="s">
        <v>473</v>
      </c>
      <c r="AC1685" s="10">
        <v>3</v>
      </c>
      <c r="AD1685" s="10">
        <v>11</v>
      </c>
      <c r="AE1685" t="s">
        <v>473</v>
      </c>
    </row>
    <row r="1686" spans="1:31" x14ac:dyDescent="0.25">
      <c r="A1686">
        <v>10323</v>
      </c>
      <c r="B1686">
        <v>1952</v>
      </c>
      <c r="C1686" t="s">
        <v>466</v>
      </c>
      <c r="D1686" t="s">
        <v>34</v>
      </c>
      <c r="E1686" t="str">
        <f>IF(OR(Table1[[#This Row],[marital_status]]="Married", Table1[[#This Row],[marital_status]]="Together"), "Partnered", "Single")</f>
        <v>Partnered</v>
      </c>
      <c r="F1686" s="7">
        <v>49413</v>
      </c>
      <c r="G1686" s="8">
        <v>0</v>
      </c>
      <c r="H1686" s="8">
        <v>1</v>
      </c>
      <c r="I1686" s="8">
        <f>Table1[[#This Row],[kids]]+Table1[[#This Row],[teens]]</f>
        <v>1</v>
      </c>
      <c r="J1686" s="9">
        <v>41572</v>
      </c>
      <c r="K1686" s="8">
        <v>88</v>
      </c>
      <c r="L1686" s="6">
        <v>205</v>
      </c>
      <c r="M1686" s="5">
        <v>7</v>
      </c>
      <c r="N1686" s="5">
        <v>41</v>
      </c>
      <c r="O1686" s="5">
        <v>3</v>
      </c>
      <c r="P1686" s="5">
        <v>2</v>
      </c>
      <c r="Q1686" s="5">
        <v>46</v>
      </c>
      <c r="R1686" s="8">
        <v>2</v>
      </c>
      <c r="S1686" s="8">
        <v>4</v>
      </c>
      <c r="T1686" s="8">
        <v>2</v>
      </c>
      <c r="U1686" s="8">
        <v>5</v>
      </c>
      <c r="V1686" s="8">
        <v>5</v>
      </c>
      <c r="W1686" t="s">
        <v>473</v>
      </c>
      <c r="X1686" t="s">
        <v>473</v>
      </c>
      <c r="Y1686" t="s">
        <v>473</v>
      </c>
      <c r="Z1686" t="s">
        <v>473</v>
      </c>
      <c r="AA1686" t="s">
        <v>473</v>
      </c>
      <c r="AB1686" t="s">
        <v>473</v>
      </c>
      <c r="AC1686" s="10">
        <v>3</v>
      </c>
      <c r="AD1686" s="10">
        <v>11</v>
      </c>
      <c r="AE1686" t="s">
        <v>473</v>
      </c>
    </row>
    <row r="1687" spans="1:31" x14ac:dyDescent="0.25">
      <c r="A1687">
        <v>7947</v>
      </c>
      <c r="B1687">
        <v>1969</v>
      </c>
      <c r="C1687" t="s">
        <v>466</v>
      </c>
      <c r="D1687" t="s">
        <v>34</v>
      </c>
      <c r="E1687" t="str">
        <f>IF(OR(Table1[[#This Row],[marital_status]]="Married", Table1[[#This Row],[marital_status]]="Together"), "Partnered", "Single")</f>
        <v>Partnered</v>
      </c>
      <c r="F1687" s="7">
        <v>42231</v>
      </c>
      <c r="G1687" s="8">
        <v>1</v>
      </c>
      <c r="H1687" s="8">
        <v>1</v>
      </c>
      <c r="I1687" s="8">
        <f>Table1[[#This Row],[kids]]+Table1[[#This Row],[teens]]</f>
        <v>2</v>
      </c>
      <c r="J1687" s="9">
        <v>41723</v>
      </c>
      <c r="K1687" s="8">
        <v>99</v>
      </c>
      <c r="L1687" s="6">
        <v>24</v>
      </c>
      <c r="M1687" s="5">
        <v>0</v>
      </c>
      <c r="N1687" s="5">
        <v>8</v>
      </c>
      <c r="O1687" s="5">
        <v>0</v>
      </c>
      <c r="P1687" s="5">
        <v>1</v>
      </c>
      <c r="Q1687" s="5">
        <v>4</v>
      </c>
      <c r="R1687" s="8">
        <v>1</v>
      </c>
      <c r="S1687" s="8">
        <v>1</v>
      </c>
      <c r="T1687" s="8">
        <v>0</v>
      </c>
      <c r="U1687" s="8">
        <v>3</v>
      </c>
      <c r="V1687" s="8">
        <v>5</v>
      </c>
      <c r="W1687" t="s">
        <v>473</v>
      </c>
      <c r="X1687" t="s">
        <v>473</v>
      </c>
      <c r="Y1687" t="s">
        <v>473</v>
      </c>
      <c r="Z1687" t="s">
        <v>473</v>
      </c>
      <c r="AA1687" t="s">
        <v>473</v>
      </c>
      <c r="AB1687" t="s">
        <v>473</v>
      </c>
      <c r="AC1687" s="10">
        <v>3</v>
      </c>
      <c r="AD1687" s="10">
        <v>11</v>
      </c>
      <c r="AE1687" t="s">
        <v>473</v>
      </c>
    </row>
    <row r="1688" spans="1:31" x14ac:dyDescent="0.25">
      <c r="A1688">
        <v>1891</v>
      </c>
      <c r="B1688">
        <v>1980</v>
      </c>
      <c r="C1688" t="s">
        <v>36</v>
      </c>
      <c r="D1688" t="s">
        <v>37</v>
      </c>
      <c r="E1688" t="str">
        <f>IF(OR(Table1[[#This Row],[marital_status]]="Married", Table1[[#This Row],[marital_status]]="Together"), "Partnered", "Single")</f>
        <v>Single</v>
      </c>
      <c r="F1688" s="7">
        <v>78789</v>
      </c>
      <c r="G1688" s="8">
        <v>0</v>
      </c>
      <c r="H1688" s="8">
        <v>0</v>
      </c>
      <c r="I1688" s="8">
        <f>Table1[[#This Row],[kids]]+Table1[[#This Row],[teens]]</f>
        <v>0</v>
      </c>
      <c r="J1688" s="9">
        <v>41129</v>
      </c>
      <c r="K1688" s="8">
        <v>12</v>
      </c>
      <c r="L1688" s="6">
        <v>667</v>
      </c>
      <c r="M1688" s="5">
        <v>50</v>
      </c>
      <c r="N1688" s="5">
        <v>850</v>
      </c>
      <c r="O1688" s="5">
        <v>21</v>
      </c>
      <c r="P1688" s="5">
        <v>83</v>
      </c>
      <c r="Q1688" s="5">
        <v>83</v>
      </c>
      <c r="R1688" s="8">
        <v>1</v>
      </c>
      <c r="S1688" s="8">
        <v>4</v>
      </c>
      <c r="T1688" s="8">
        <v>6</v>
      </c>
      <c r="U1688" s="8">
        <v>5</v>
      </c>
      <c r="V1688" s="8">
        <v>2</v>
      </c>
      <c r="W1688" t="s">
        <v>473</v>
      </c>
      <c r="X1688" t="s">
        <v>473</v>
      </c>
      <c r="Y1688" t="s">
        <v>473</v>
      </c>
      <c r="Z1688" t="s">
        <v>473</v>
      </c>
      <c r="AA1688" t="s">
        <v>473</v>
      </c>
      <c r="AB1688" t="s">
        <v>473</v>
      </c>
      <c r="AC1688" s="10">
        <v>3</v>
      </c>
      <c r="AD1688" s="10">
        <v>11</v>
      </c>
      <c r="AE1688" t="s">
        <v>474</v>
      </c>
    </row>
    <row r="1689" spans="1:31" x14ac:dyDescent="0.25">
      <c r="A1689">
        <v>2570</v>
      </c>
      <c r="B1689">
        <v>1968</v>
      </c>
      <c r="C1689" t="s">
        <v>466</v>
      </c>
      <c r="D1689" t="s">
        <v>31</v>
      </c>
      <c r="E1689" t="str">
        <f>IF(OR(Table1[[#This Row],[marital_status]]="Married", Table1[[#This Row],[marital_status]]="Together"), "Partnered", "Single")</f>
        <v>Partnered</v>
      </c>
      <c r="F1689" s="7">
        <v>56534</v>
      </c>
      <c r="G1689" s="8">
        <v>0</v>
      </c>
      <c r="H1689" s="8">
        <v>1</v>
      </c>
      <c r="I1689" s="8">
        <f>Table1[[#This Row],[kids]]+Table1[[#This Row],[teens]]</f>
        <v>1</v>
      </c>
      <c r="J1689" s="9">
        <v>41478</v>
      </c>
      <c r="K1689" s="8">
        <v>35</v>
      </c>
      <c r="L1689" s="6">
        <v>691</v>
      </c>
      <c r="M1689" s="5">
        <v>7</v>
      </c>
      <c r="N1689" s="5">
        <v>61</v>
      </c>
      <c r="O1689" s="5">
        <v>10</v>
      </c>
      <c r="P1689" s="5">
        <v>0</v>
      </c>
      <c r="Q1689" s="5">
        <v>46</v>
      </c>
      <c r="R1689" s="8">
        <v>4</v>
      </c>
      <c r="S1689" s="8">
        <v>10</v>
      </c>
      <c r="T1689" s="8">
        <v>4</v>
      </c>
      <c r="U1689" s="8">
        <v>7</v>
      </c>
      <c r="V1689" s="8">
        <v>8</v>
      </c>
      <c r="W1689" t="s">
        <v>473</v>
      </c>
      <c r="X1689" t="s">
        <v>474</v>
      </c>
      <c r="Y1689" t="s">
        <v>473</v>
      </c>
      <c r="Z1689" t="s">
        <v>473</v>
      </c>
      <c r="AA1689" t="s">
        <v>474</v>
      </c>
      <c r="AB1689" t="s">
        <v>473</v>
      </c>
      <c r="AC1689" s="10">
        <v>3</v>
      </c>
      <c r="AD1689" s="10">
        <v>11</v>
      </c>
      <c r="AE1689" t="s">
        <v>474</v>
      </c>
    </row>
    <row r="1690" spans="1:31" x14ac:dyDescent="0.25">
      <c r="A1690">
        <v>9256</v>
      </c>
      <c r="B1690">
        <v>1971</v>
      </c>
      <c r="C1690" t="s">
        <v>466</v>
      </c>
      <c r="D1690" t="s">
        <v>30</v>
      </c>
      <c r="E1690" t="str">
        <f>IF(OR(Table1[[#This Row],[marital_status]]="Married", Table1[[#This Row],[marital_status]]="Together"), "Partnered", "Single")</f>
        <v>Single</v>
      </c>
      <c r="F1690" s="7">
        <v>58350</v>
      </c>
      <c r="G1690" s="8">
        <v>0</v>
      </c>
      <c r="H1690" s="8">
        <v>1</v>
      </c>
      <c r="I1690" s="8">
        <f>Table1[[#This Row],[kids]]+Table1[[#This Row],[teens]]</f>
        <v>1</v>
      </c>
      <c r="J1690" s="9">
        <v>41278</v>
      </c>
      <c r="K1690" s="8">
        <v>5</v>
      </c>
      <c r="L1690" s="6">
        <v>493</v>
      </c>
      <c r="M1690" s="5">
        <v>26</v>
      </c>
      <c r="N1690" s="5">
        <v>206</v>
      </c>
      <c r="O1690" s="5">
        <v>116</v>
      </c>
      <c r="P1690" s="5">
        <v>80</v>
      </c>
      <c r="Q1690" s="5">
        <v>80</v>
      </c>
      <c r="R1690" s="8">
        <v>4</v>
      </c>
      <c r="S1690" s="8">
        <v>8</v>
      </c>
      <c r="T1690" s="8">
        <v>3</v>
      </c>
      <c r="U1690" s="8">
        <v>12</v>
      </c>
      <c r="V1690" s="8">
        <v>6</v>
      </c>
      <c r="W1690" t="s">
        <v>473</v>
      </c>
      <c r="X1690" t="s">
        <v>473</v>
      </c>
      <c r="Y1690" t="s">
        <v>473</v>
      </c>
      <c r="Z1690" t="s">
        <v>473</v>
      </c>
      <c r="AA1690" t="s">
        <v>473</v>
      </c>
      <c r="AB1690" t="s">
        <v>473</v>
      </c>
      <c r="AC1690" s="10">
        <v>3</v>
      </c>
      <c r="AD1690" s="10">
        <v>11</v>
      </c>
      <c r="AE1690" t="s">
        <v>473</v>
      </c>
    </row>
    <row r="1691" spans="1:31" x14ac:dyDescent="0.25">
      <c r="A1691">
        <v>295</v>
      </c>
      <c r="B1691">
        <v>1989</v>
      </c>
      <c r="C1691" t="s">
        <v>466</v>
      </c>
      <c r="D1691" t="s">
        <v>30</v>
      </c>
      <c r="E1691" t="str">
        <f>IF(OR(Table1[[#This Row],[marital_status]]="Married", Table1[[#This Row],[marital_status]]="Together"), "Partnered", "Single")</f>
        <v>Single</v>
      </c>
      <c r="F1691" s="7">
        <v>81217</v>
      </c>
      <c r="G1691" s="8">
        <v>0</v>
      </c>
      <c r="H1691" s="8">
        <v>0</v>
      </c>
      <c r="I1691" s="8">
        <f>Table1[[#This Row],[kids]]+Table1[[#This Row],[teens]]</f>
        <v>0</v>
      </c>
      <c r="J1691" s="9">
        <v>41474</v>
      </c>
      <c r="K1691" s="8">
        <v>77</v>
      </c>
      <c r="L1691" s="6">
        <v>493</v>
      </c>
      <c r="M1691" s="5">
        <v>70</v>
      </c>
      <c r="N1691" s="5">
        <v>324</v>
      </c>
      <c r="O1691" s="5">
        <v>146</v>
      </c>
      <c r="P1691" s="5">
        <v>40</v>
      </c>
      <c r="Q1691" s="5">
        <v>84</v>
      </c>
      <c r="R1691" s="8">
        <v>1</v>
      </c>
      <c r="S1691" s="8">
        <v>3</v>
      </c>
      <c r="T1691" s="8">
        <v>7</v>
      </c>
      <c r="U1691" s="8">
        <v>11</v>
      </c>
      <c r="V1691" s="8">
        <v>1</v>
      </c>
      <c r="W1691" t="s">
        <v>473</v>
      </c>
      <c r="X1691" t="s">
        <v>473</v>
      </c>
      <c r="Y1691" t="s">
        <v>473</v>
      </c>
      <c r="Z1691" t="s">
        <v>473</v>
      </c>
      <c r="AA1691" t="s">
        <v>473</v>
      </c>
      <c r="AB1691" t="s">
        <v>473</v>
      </c>
      <c r="AC1691" s="10">
        <v>3</v>
      </c>
      <c r="AD1691" s="10">
        <v>11</v>
      </c>
      <c r="AE1691" t="s">
        <v>473</v>
      </c>
    </row>
    <row r="1692" spans="1:31" x14ac:dyDescent="0.25">
      <c r="A1692">
        <v>7397</v>
      </c>
      <c r="B1692">
        <v>1951</v>
      </c>
      <c r="C1692" t="s">
        <v>466</v>
      </c>
      <c r="D1692" t="s">
        <v>30</v>
      </c>
      <c r="E1692" t="str">
        <f>IF(OR(Table1[[#This Row],[marital_status]]="Married", Table1[[#This Row],[marital_status]]="Together"), "Partnered", "Single")</f>
        <v>Single</v>
      </c>
      <c r="F1692" s="7">
        <v>49090</v>
      </c>
      <c r="G1692" s="8">
        <v>0</v>
      </c>
      <c r="H1692" s="8">
        <v>1</v>
      </c>
      <c r="I1692" s="8">
        <f>Table1[[#This Row],[kids]]+Table1[[#This Row],[teens]]</f>
        <v>1</v>
      </c>
      <c r="J1692" s="9">
        <v>41474</v>
      </c>
      <c r="K1692" s="8">
        <v>45</v>
      </c>
      <c r="L1692" s="6">
        <v>494</v>
      </c>
      <c r="M1692" s="5">
        <v>5</v>
      </c>
      <c r="N1692" s="5">
        <v>82</v>
      </c>
      <c r="O1692" s="5">
        <v>7</v>
      </c>
      <c r="P1692" s="5">
        <v>0</v>
      </c>
      <c r="Q1692" s="5">
        <v>100</v>
      </c>
      <c r="R1692" s="8">
        <v>3</v>
      </c>
      <c r="S1692" s="8">
        <v>7</v>
      </c>
      <c r="T1692" s="8">
        <v>2</v>
      </c>
      <c r="U1692" s="8">
        <v>9</v>
      </c>
      <c r="V1692" s="8">
        <v>7</v>
      </c>
      <c r="W1692" t="s">
        <v>473</v>
      </c>
      <c r="X1692" t="s">
        <v>473</v>
      </c>
      <c r="Y1692" t="s">
        <v>473</v>
      </c>
      <c r="Z1692" t="s">
        <v>473</v>
      </c>
      <c r="AA1692" t="s">
        <v>473</v>
      </c>
      <c r="AB1692" t="s">
        <v>473</v>
      </c>
      <c r="AC1692" s="10">
        <v>3</v>
      </c>
      <c r="AD1692" s="10">
        <v>11</v>
      </c>
      <c r="AE1692" t="s">
        <v>473</v>
      </c>
    </row>
    <row r="1693" spans="1:31" x14ac:dyDescent="0.25">
      <c r="A1693">
        <v>6349</v>
      </c>
      <c r="B1693">
        <v>1987</v>
      </c>
      <c r="C1693" t="s">
        <v>36</v>
      </c>
      <c r="D1693" t="s">
        <v>37</v>
      </c>
      <c r="E1693" t="str">
        <f>IF(OR(Table1[[#This Row],[marital_status]]="Married", Table1[[#This Row],[marital_status]]="Together"), "Partnered", "Single")</f>
        <v>Single</v>
      </c>
      <c r="F1693" s="7">
        <v>61787</v>
      </c>
      <c r="G1693" s="8">
        <v>0</v>
      </c>
      <c r="H1693" s="8">
        <v>0</v>
      </c>
      <c r="I1693" s="8">
        <f>Table1[[#This Row],[kids]]+Table1[[#This Row],[teens]]</f>
        <v>0</v>
      </c>
      <c r="J1693" s="9">
        <v>41461</v>
      </c>
      <c r="K1693" s="8">
        <v>71</v>
      </c>
      <c r="L1693" s="6">
        <v>621</v>
      </c>
      <c r="M1693" s="5">
        <v>73</v>
      </c>
      <c r="N1693" s="5">
        <v>414</v>
      </c>
      <c r="O1693" s="5">
        <v>78</v>
      </c>
      <c r="P1693" s="5">
        <v>48</v>
      </c>
      <c r="Q1693" s="5">
        <v>85</v>
      </c>
      <c r="R1693" s="8">
        <v>1</v>
      </c>
      <c r="S1693" s="8">
        <v>8</v>
      </c>
      <c r="T1693" s="8">
        <v>4</v>
      </c>
      <c r="U1693" s="8">
        <v>6</v>
      </c>
      <c r="V1693" s="8">
        <v>5</v>
      </c>
      <c r="W1693" t="s">
        <v>473</v>
      </c>
      <c r="X1693" t="s">
        <v>473</v>
      </c>
      <c r="Y1693" t="s">
        <v>473</v>
      </c>
      <c r="Z1693" t="s">
        <v>473</v>
      </c>
      <c r="AA1693" t="s">
        <v>473</v>
      </c>
      <c r="AB1693" t="s">
        <v>473</v>
      </c>
      <c r="AC1693" s="10">
        <v>3</v>
      </c>
      <c r="AD1693" s="10">
        <v>11</v>
      </c>
      <c r="AE1693" t="s">
        <v>473</v>
      </c>
    </row>
    <row r="1694" spans="1:31" x14ac:dyDescent="0.25">
      <c r="A1694">
        <v>10790</v>
      </c>
      <c r="B1694">
        <v>1985</v>
      </c>
      <c r="C1694" t="s">
        <v>33</v>
      </c>
      <c r="D1694" t="s">
        <v>34</v>
      </c>
      <c r="E1694" t="str">
        <f>IF(OR(Table1[[#This Row],[marital_status]]="Married", Table1[[#This Row],[marital_status]]="Together"), "Partnered", "Single")</f>
        <v>Partnered</v>
      </c>
      <c r="F1694" s="7">
        <v>18169</v>
      </c>
      <c r="G1694" s="8">
        <v>1</v>
      </c>
      <c r="H1694" s="8">
        <v>0</v>
      </c>
      <c r="I1694" s="8">
        <f>Table1[[#This Row],[kids]]+Table1[[#This Row],[teens]]</f>
        <v>1</v>
      </c>
      <c r="J1694" s="9">
        <v>41324</v>
      </c>
      <c r="K1694" s="8">
        <v>40</v>
      </c>
      <c r="L1694" s="6">
        <v>9</v>
      </c>
      <c r="M1694" s="5">
        <v>0</v>
      </c>
      <c r="N1694" s="5">
        <v>5</v>
      </c>
      <c r="O1694" s="5">
        <v>0</v>
      </c>
      <c r="P1694" s="5">
        <v>0</v>
      </c>
      <c r="Q1694" s="5">
        <v>7</v>
      </c>
      <c r="R1694" s="8">
        <v>1</v>
      </c>
      <c r="S1694" s="8">
        <v>1</v>
      </c>
      <c r="T1694" s="8">
        <v>0</v>
      </c>
      <c r="U1694" s="8">
        <v>2</v>
      </c>
      <c r="V1694" s="8">
        <v>8</v>
      </c>
      <c r="W1694" t="s">
        <v>473</v>
      </c>
      <c r="X1694" t="s">
        <v>473</v>
      </c>
      <c r="Y1694" t="s">
        <v>473</v>
      </c>
      <c r="Z1694" t="s">
        <v>473</v>
      </c>
      <c r="AA1694" t="s">
        <v>473</v>
      </c>
      <c r="AB1694" t="s">
        <v>473</v>
      </c>
      <c r="AC1694" s="10">
        <v>3</v>
      </c>
      <c r="AD1694" s="10">
        <v>11</v>
      </c>
      <c r="AE1694" t="s">
        <v>473</v>
      </c>
    </row>
    <row r="1695" spans="1:31" x14ac:dyDescent="0.25">
      <c r="A1695">
        <v>10398</v>
      </c>
      <c r="B1695">
        <v>1981</v>
      </c>
      <c r="C1695" t="s">
        <v>46</v>
      </c>
      <c r="D1695" t="s">
        <v>30</v>
      </c>
      <c r="E1695" t="str">
        <f>IF(OR(Table1[[#This Row],[marital_status]]="Married", Table1[[#This Row],[marital_status]]="Together"), "Partnered", "Single")</f>
        <v>Single</v>
      </c>
      <c r="F1695" s="7">
        <v>24336</v>
      </c>
      <c r="G1695" s="8">
        <v>1</v>
      </c>
      <c r="H1695" s="8">
        <v>0</v>
      </c>
      <c r="I1695" s="8">
        <f>Table1[[#This Row],[kids]]+Table1[[#This Row],[teens]]</f>
        <v>1</v>
      </c>
      <c r="J1695" s="9">
        <v>41148</v>
      </c>
      <c r="K1695" s="8">
        <v>82</v>
      </c>
      <c r="L1695" s="6">
        <v>1</v>
      </c>
      <c r="M1695" s="5">
        <v>6</v>
      </c>
      <c r="N1695" s="5">
        <v>2</v>
      </c>
      <c r="O1695" s="5">
        <v>8</v>
      </c>
      <c r="P1695" s="5">
        <v>2</v>
      </c>
      <c r="Q1695" s="5">
        <v>12</v>
      </c>
      <c r="R1695" s="8">
        <v>1</v>
      </c>
      <c r="S1695" s="8">
        <v>1</v>
      </c>
      <c r="T1695" s="8">
        <v>0</v>
      </c>
      <c r="U1695" s="8">
        <v>2</v>
      </c>
      <c r="V1695" s="8">
        <v>7</v>
      </c>
      <c r="W1695" t="s">
        <v>473</v>
      </c>
      <c r="X1695" t="s">
        <v>473</v>
      </c>
      <c r="Y1695" t="s">
        <v>473</v>
      </c>
      <c r="Z1695" t="s">
        <v>473</v>
      </c>
      <c r="AA1695" t="s">
        <v>473</v>
      </c>
      <c r="AB1695" t="s">
        <v>473</v>
      </c>
      <c r="AC1695" s="10">
        <v>3</v>
      </c>
      <c r="AD1695" s="10">
        <v>11</v>
      </c>
      <c r="AE1695" t="s">
        <v>473</v>
      </c>
    </row>
    <row r="1696" spans="1:31" x14ac:dyDescent="0.25">
      <c r="A1696">
        <v>2431</v>
      </c>
      <c r="B1696">
        <v>1990</v>
      </c>
      <c r="C1696" t="s">
        <v>466</v>
      </c>
      <c r="D1696" t="s">
        <v>34</v>
      </c>
      <c r="E1696" t="str">
        <f>IF(OR(Table1[[#This Row],[marital_status]]="Married", Table1[[#This Row],[marital_status]]="Together"), "Partnered", "Single")</f>
        <v>Partnered</v>
      </c>
      <c r="F1696" s="7">
        <v>18222</v>
      </c>
      <c r="G1696" s="8">
        <v>0</v>
      </c>
      <c r="H1696" s="8">
        <v>0</v>
      </c>
      <c r="I1696" s="8">
        <f>Table1[[#This Row],[kids]]+Table1[[#This Row],[teens]]</f>
        <v>0</v>
      </c>
      <c r="J1696" s="9">
        <v>41274</v>
      </c>
      <c r="K1696" s="8">
        <v>70</v>
      </c>
      <c r="L1696" s="6">
        <v>12</v>
      </c>
      <c r="M1696" s="5">
        <v>4</v>
      </c>
      <c r="N1696" s="5">
        <v>19</v>
      </c>
      <c r="O1696" s="5">
        <v>12</v>
      </c>
      <c r="P1696" s="5">
        <v>6</v>
      </c>
      <c r="Q1696" s="5">
        <v>14</v>
      </c>
      <c r="R1696" s="8">
        <v>1</v>
      </c>
      <c r="S1696" s="8">
        <v>2</v>
      </c>
      <c r="T1696" s="8">
        <v>0</v>
      </c>
      <c r="U1696" s="8">
        <v>3</v>
      </c>
      <c r="V1696" s="8">
        <v>8</v>
      </c>
      <c r="W1696" t="s">
        <v>473</v>
      </c>
      <c r="X1696" t="s">
        <v>473</v>
      </c>
      <c r="Y1696" t="s">
        <v>473</v>
      </c>
      <c r="Z1696" t="s">
        <v>473</v>
      </c>
      <c r="AA1696" t="s">
        <v>473</v>
      </c>
      <c r="AB1696" t="s">
        <v>473</v>
      </c>
      <c r="AC1696" s="10">
        <v>3</v>
      </c>
      <c r="AD1696" s="10">
        <v>11</v>
      </c>
      <c r="AE1696" t="s">
        <v>473</v>
      </c>
    </row>
    <row r="1697" spans="1:31" x14ac:dyDescent="0.25">
      <c r="A1697">
        <v>550</v>
      </c>
      <c r="B1697">
        <v>1952</v>
      </c>
      <c r="C1697" t="s">
        <v>466</v>
      </c>
      <c r="D1697" t="s">
        <v>37</v>
      </c>
      <c r="E1697" t="str">
        <f>IF(OR(Table1[[#This Row],[marital_status]]="Married", Table1[[#This Row],[marital_status]]="Together"), "Partnered", "Single")</f>
        <v>Single</v>
      </c>
      <c r="F1697" s="7">
        <v>62335</v>
      </c>
      <c r="G1697" s="8">
        <v>0</v>
      </c>
      <c r="H1697" s="8">
        <v>1</v>
      </c>
      <c r="I1697" s="8">
        <f>Table1[[#This Row],[kids]]+Table1[[#This Row],[teens]]</f>
        <v>1</v>
      </c>
      <c r="J1697" s="9">
        <v>41417</v>
      </c>
      <c r="K1697" s="8">
        <v>87</v>
      </c>
      <c r="L1697" s="6">
        <v>243</v>
      </c>
      <c r="M1697" s="5">
        <v>131</v>
      </c>
      <c r="N1697" s="5">
        <v>217</v>
      </c>
      <c r="O1697" s="5">
        <v>85</v>
      </c>
      <c r="P1697" s="5">
        <v>6</v>
      </c>
      <c r="Q1697" s="5">
        <v>26</v>
      </c>
      <c r="R1697" s="8">
        <v>2</v>
      </c>
      <c r="S1697" s="8">
        <v>3</v>
      </c>
      <c r="T1697" s="8">
        <v>3</v>
      </c>
      <c r="U1697" s="8">
        <v>13</v>
      </c>
      <c r="V1697" s="8">
        <v>2</v>
      </c>
      <c r="W1697" t="s">
        <v>473</v>
      </c>
      <c r="X1697" t="s">
        <v>473</v>
      </c>
      <c r="Y1697" t="s">
        <v>473</v>
      </c>
      <c r="Z1697" t="s">
        <v>473</v>
      </c>
      <c r="AA1697" t="s">
        <v>473</v>
      </c>
      <c r="AB1697" t="s">
        <v>473</v>
      </c>
      <c r="AC1697" s="10">
        <v>3</v>
      </c>
      <c r="AD1697" s="10">
        <v>11</v>
      </c>
      <c r="AE1697" t="s">
        <v>473</v>
      </c>
    </row>
    <row r="1698" spans="1:31" x14ac:dyDescent="0.25">
      <c r="A1698">
        <v>1890</v>
      </c>
      <c r="B1698">
        <v>1971</v>
      </c>
      <c r="C1698" t="s">
        <v>46</v>
      </c>
      <c r="D1698" t="s">
        <v>31</v>
      </c>
      <c r="E1698" t="str">
        <f>IF(OR(Table1[[#This Row],[marital_status]]="Married", Table1[[#This Row],[marital_status]]="Together"), "Partnered", "Single")</f>
        <v>Partnered</v>
      </c>
      <c r="F1698" s="7">
        <v>42033</v>
      </c>
      <c r="G1698" s="8">
        <v>1</v>
      </c>
      <c r="H1698" s="8">
        <v>1</v>
      </c>
      <c r="I1698" s="8">
        <f>Table1[[#This Row],[kids]]+Table1[[#This Row],[teens]]</f>
        <v>2</v>
      </c>
      <c r="J1698" s="9">
        <v>41171</v>
      </c>
      <c r="K1698" s="8">
        <v>95</v>
      </c>
      <c r="L1698" s="6">
        <v>11</v>
      </c>
      <c r="M1698" s="5">
        <v>1</v>
      </c>
      <c r="N1698" s="5">
        <v>4</v>
      </c>
      <c r="O1698" s="5">
        <v>2</v>
      </c>
      <c r="P1698" s="5">
        <v>0</v>
      </c>
      <c r="Q1698" s="5">
        <v>7</v>
      </c>
      <c r="R1698" s="8">
        <v>1</v>
      </c>
      <c r="S1698" s="8">
        <v>1</v>
      </c>
      <c r="T1698" s="8">
        <v>0</v>
      </c>
      <c r="U1698" s="8">
        <v>2</v>
      </c>
      <c r="V1698" s="8">
        <v>7</v>
      </c>
      <c r="W1698" t="s">
        <v>473</v>
      </c>
      <c r="X1698" t="s">
        <v>473</v>
      </c>
      <c r="Y1698" t="s">
        <v>473</v>
      </c>
      <c r="Z1698" t="s">
        <v>473</v>
      </c>
      <c r="AA1698" t="s">
        <v>473</v>
      </c>
      <c r="AB1698" t="s">
        <v>473</v>
      </c>
      <c r="AC1698" s="10">
        <v>3</v>
      </c>
      <c r="AD1698" s="10">
        <v>11</v>
      </c>
      <c r="AE1698" t="s">
        <v>473</v>
      </c>
    </row>
    <row r="1699" spans="1:31" x14ac:dyDescent="0.25">
      <c r="A1699">
        <v>10742</v>
      </c>
      <c r="B1699">
        <v>1983</v>
      </c>
      <c r="C1699" t="s">
        <v>33</v>
      </c>
      <c r="D1699" t="s">
        <v>34</v>
      </c>
      <c r="E1699" t="str">
        <f>IF(OR(Table1[[#This Row],[marital_status]]="Married", Table1[[#This Row],[marital_status]]="Together"), "Partnered", "Single")</f>
        <v>Partnered</v>
      </c>
      <c r="F1699" s="7">
        <v>86580</v>
      </c>
      <c r="G1699" s="8">
        <v>0</v>
      </c>
      <c r="H1699" s="8">
        <v>0</v>
      </c>
      <c r="I1699" s="8">
        <f>Table1[[#This Row],[kids]]+Table1[[#This Row],[teens]]</f>
        <v>0</v>
      </c>
      <c r="J1699" s="9">
        <v>41332</v>
      </c>
      <c r="K1699" s="8">
        <v>72</v>
      </c>
      <c r="L1699" s="6">
        <v>532</v>
      </c>
      <c r="M1699" s="5">
        <v>21</v>
      </c>
      <c r="N1699" s="5">
        <v>127</v>
      </c>
      <c r="O1699" s="5">
        <v>26</v>
      </c>
      <c r="P1699" s="5">
        <v>20</v>
      </c>
      <c r="Q1699" s="5">
        <v>20</v>
      </c>
      <c r="R1699" s="8">
        <v>0</v>
      </c>
      <c r="S1699" s="8">
        <v>4</v>
      </c>
      <c r="T1699" s="8">
        <v>2</v>
      </c>
      <c r="U1699" s="8">
        <v>5</v>
      </c>
      <c r="V1699" s="8">
        <v>1</v>
      </c>
      <c r="W1699" t="s">
        <v>473</v>
      </c>
      <c r="X1699" t="s">
        <v>473</v>
      </c>
      <c r="Y1699" t="s">
        <v>474</v>
      </c>
      <c r="Z1699" t="s">
        <v>473</v>
      </c>
      <c r="AA1699" t="s">
        <v>473</v>
      </c>
      <c r="AB1699" t="s">
        <v>473</v>
      </c>
      <c r="AC1699" s="10">
        <v>3</v>
      </c>
      <c r="AD1699" s="10">
        <v>11</v>
      </c>
      <c r="AE1699" t="s">
        <v>473</v>
      </c>
    </row>
    <row r="1700" spans="1:31" x14ac:dyDescent="0.25">
      <c r="A1700">
        <v>10356</v>
      </c>
      <c r="B1700">
        <v>1957</v>
      </c>
      <c r="C1700" t="s">
        <v>33</v>
      </c>
      <c r="D1700" t="s">
        <v>37</v>
      </c>
      <c r="E1700" t="str">
        <f>IF(OR(Table1[[#This Row],[marital_status]]="Married", Table1[[#This Row],[marital_status]]="Together"), "Partnered", "Single")</f>
        <v>Single</v>
      </c>
      <c r="F1700" s="7">
        <v>41437</v>
      </c>
      <c r="G1700" s="8">
        <v>1</v>
      </c>
      <c r="H1700" s="8">
        <v>1</v>
      </c>
      <c r="I1700" s="8">
        <f>Table1[[#This Row],[kids]]+Table1[[#This Row],[teens]]</f>
        <v>2</v>
      </c>
      <c r="J1700" s="9">
        <v>41174</v>
      </c>
      <c r="K1700" s="8">
        <v>5</v>
      </c>
      <c r="L1700" s="6">
        <v>29</v>
      </c>
      <c r="M1700" s="5">
        <v>0</v>
      </c>
      <c r="N1700" s="5">
        <v>2</v>
      </c>
      <c r="O1700" s="5">
        <v>0</v>
      </c>
      <c r="P1700" s="5">
        <v>0</v>
      </c>
      <c r="Q1700" s="5">
        <v>1</v>
      </c>
      <c r="R1700" s="8">
        <v>1</v>
      </c>
      <c r="S1700" s="8">
        <v>1</v>
      </c>
      <c r="T1700" s="8">
        <v>0</v>
      </c>
      <c r="U1700" s="8">
        <v>3</v>
      </c>
      <c r="V1700" s="8">
        <v>7</v>
      </c>
      <c r="W1700" t="s">
        <v>473</v>
      </c>
      <c r="X1700" t="s">
        <v>473</v>
      </c>
      <c r="Y1700" t="s">
        <v>473</v>
      </c>
      <c r="Z1700" t="s">
        <v>473</v>
      </c>
      <c r="AA1700" t="s">
        <v>473</v>
      </c>
      <c r="AB1700" t="s">
        <v>473</v>
      </c>
      <c r="AC1700" s="10">
        <v>3</v>
      </c>
      <c r="AD1700" s="10">
        <v>11</v>
      </c>
      <c r="AE1700" t="s">
        <v>473</v>
      </c>
    </row>
    <row r="1701" spans="1:31" x14ac:dyDescent="0.25">
      <c r="A1701">
        <v>4676</v>
      </c>
      <c r="B1701">
        <v>1951</v>
      </c>
      <c r="C1701" t="s">
        <v>36</v>
      </c>
      <c r="D1701" t="s">
        <v>57</v>
      </c>
      <c r="E1701" t="str">
        <f>IF(OR(Table1[[#This Row],[marital_status]]="Married", Table1[[#This Row],[marital_status]]="Together"), "Partnered", "Single")</f>
        <v>Single</v>
      </c>
      <c r="F1701" s="7">
        <v>73705</v>
      </c>
      <c r="G1701" s="8">
        <v>0</v>
      </c>
      <c r="H1701" s="8">
        <v>2</v>
      </c>
      <c r="I1701" s="8">
        <f>Table1[[#This Row],[kids]]+Table1[[#This Row],[teens]]</f>
        <v>2</v>
      </c>
      <c r="J1701" s="9">
        <v>41703</v>
      </c>
      <c r="K1701" s="8">
        <v>86</v>
      </c>
      <c r="L1701" s="6">
        <v>612</v>
      </c>
      <c r="M1701" s="5">
        <v>91</v>
      </c>
      <c r="N1701" s="5">
        <v>520</v>
      </c>
      <c r="O1701" s="5">
        <v>258</v>
      </c>
      <c r="P1701" s="5">
        <v>107</v>
      </c>
      <c r="Q1701" s="5">
        <v>107</v>
      </c>
      <c r="R1701" s="8">
        <v>2</v>
      </c>
      <c r="S1701" s="8">
        <v>9</v>
      </c>
      <c r="T1701" s="8">
        <v>6</v>
      </c>
      <c r="U1701" s="8">
        <v>8</v>
      </c>
      <c r="V1701" s="8">
        <v>5</v>
      </c>
      <c r="W1701" t="s">
        <v>473</v>
      </c>
      <c r="X1701" t="s">
        <v>473</v>
      </c>
      <c r="Y1701" t="s">
        <v>473</v>
      </c>
      <c r="Z1701" t="s">
        <v>473</v>
      </c>
      <c r="AA1701" t="s">
        <v>473</v>
      </c>
      <c r="AB1701" t="s">
        <v>473</v>
      </c>
      <c r="AC1701" s="10">
        <v>3</v>
      </c>
      <c r="AD1701" s="10">
        <v>11</v>
      </c>
      <c r="AE1701" t="s">
        <v>473</v>
      </c>
    </row>
    <row r="1702" spans="1:31" x14ac:dyDescent="0.25">
      <c r="A1702">
        <v>8852</v>
      </c>
      <c r="B1702">
        <v>1976</v>
      </c>
      <c r="C1702" t="s">
        <v>466</v>
      </c>
      <c r="D1702" t="s">
        <v>34</v>
      </c>
      <c r="E1702" t="str">
        <f>IF(OR(Table1[[#This Row],[marital_status]]="Married", Table1[[#This Row],[marital_status]]="Together"), "Partnered", "Single")</f>
        <v>Partnered</v>
      </c>
      <c r="F1702" s="7">
        <v>61064</v>
      </c>
      <c r="G1702" s="8">
        <v>0</v>
      </c>
      <c r="H1702" s="8">
        <v>1</v>
      </c>
      <c r="I1702" s="8">
        <f>Table1[[#This Row],[kids]]+Table1[[#This Row],[teens]]</f>
        <v>1</v>
      </c>
      <c r="J1702" s="9">
        <v>41152</v>
      </c>
      <c r="K1702" s="8">
        <v>80</v>
      </c>
      <c r="L1702" s="6">
        <v>387</v>
      </c>
      <c r="M1702" s="5">
        <v>126</v>
      </c>
      <c r="N1702" s="5">
        <v>342</v>
      </c>
      <c r="O1702" s="5">
        <v>0</v>
      </c>
      <c r="P1702" s="5">
        <v>45</v>
      </c>
      <c r="Q1702" s="5">
        <v>180</v>
      </c>
      <c r="R1702" s="8">
        <v>5</v>
      </c>
      <c r="S1702" s="8">
        <v>8</v>
      </c>
      <c r="T1702" s="8">
        <v>4</v>
      </c>
      <c r="U1702" s="8">
        <v>11</v>
      </c>
      <c r="V1702" s="8">
        <v>6</v>
      </c>
      <c r="W1702" t="s">
        <v>473</v>
      </c>
      <c r="X1702" t="s">
        <v>473</v>
      </c>
      <c r="Y1702" t="s">
        <v>473</v>
      </c>
      <c r="Z1702" t="s">
        <v>473</v>
      </c>
      <c r="AA1702" t="s">
        <v>473</v>
      </c>
      <c r="AB1702" t="s">
        <v>473</v>
      </c>
      <c r="AC1702" s="10">
        <v>3</v>
      </c>
      <c r="AD1702" s="10">
        <v>11</v>
      </c>
      <c r="AE1702" t="s">
        <v>473</v>
      </c>
    </row>
    <row r="1703" spans="1:31" x14ac:dyDescent="0.25">
      <c r="A1703">
        <v>3565</v>
      </c>
      <c r="B1703">
        <v>1955</v>
      </c>
      <c r="C1703" t="s">
        <v>36</v>
      </c>
      <c r="D1703" t="s">
        <v>34</v>
      </c>
      <c r="E1703" t="str">
        <f>IF(OR(Table1[[#This Row],[marital_status]]="Married", Table1[[#This Row],[marital_status]]="Together"), "Partnered", "Single")</f>
        <v>Partnered</v>
      </c>
      <c r="F1703" s="7">
        <v>38452</v>
      </c>
      <c r="G1703" s="8">
        <v>1</v>
      </c>
      <c r="H1703" s="8">
        <v>1</v>
      </c>
      <c r="I1703" s="8">
        <f>Table1[[#This Row],[kids]]+Table1[[#This Row],[teens]]</f>
        <v>2</v>
      </c>
      <c r="J1703" s="9">
        <v>41728</v>
      </c>
      <c r="K1703" s="8">
        <v>62</v>
      </c>
      <c r="L1703" s="6">
        <v>56</v>
      </c>
      <c r="M1703" s="5">
        <v>0</v>
      </c>
      <c r="N1703" s="5">
        <v>14</v>
      </c>
      <c r="O1703" s="5">
        <v>0</v>
      </c>
      <c r="P1703" s="5">
        <v>0</v>
      </c>
      <c r="Q1703" s="5">
        <v>2</v>
      </c>
      <c r="R1703" s="8">
        <v>3</v>
      </c>
      <c r="S1703" s="8">
        <v>3</v>
      </c>
      <c r="T1703" s="8">
        <v>0</v>
      </c>
      <c r="U1703" s="8">
        <v>3</v>
      </c>
      <c r="V1703" s="8">
        <v>7</v>
      </c>
      <c r="W1703" t="s">
        <v>473</v>
      </c>
      <c r="X1703" t="s">
        <v>473</v>
      </c>
      <c r="Y1703" t="s">
        <v>473</v>
      </c>
      <c r="Z1703" t="s">
        <v>473</v>
      </c>
      <c r="AA1703" t="s">
        <v>473</v>
      </c>
      <c r="AB1703" t="s">
        <v>473</v>
      </c>
      <c r="AC1703" s="10">
        <v>3</v>
      </c>
      <c r="AD1703" s="10">
        <v>11</v>
      </c>
      <c r="AE1703" t="s">
        <v>473</v>
      </c>
    </row>
    <row r="1704" spans="1:31" x14ac:dyDescent="0.25">
      <c r="A1704">
        <v>5294</v>
      </c>
      <c r="B1704">
        <v>1989</v>
      </c>
      <c r="C1704" t="s">
        <v>466</v>
      </c>
      <c r="D1704" t="s">
        <v>30</v>
      </c>
      <c r="E1704" t="str">
        <f>IF(OR(Table1[[#This Row],[marital_status]]="Married", Table1[[#This Row],[marital_status]]="Together"), "Partnered", "Single")</f>
        <v>Single</v>
      </c>
      <c r="F1704" s="7">
        <v>18358</v>
      </c>
      <c r="G1704" s="8">
        <v>1</v>
      </c>
      <c r="H1704" s="8">
        <v>0</v>
      </c>
      <c r="I1704" s="8">
        <f>Table1[[#This Row],[kids]]+Table1[[#This Row],[teens]]</f>
        <v>1</v>
      </c>
      <c r="J1704" s="9">
        <v>41598</v>
      </c>
      <c r="K1704" s="8">
        <v>49</v>
      </c>
      <c r="L1704" s="6">
        <v>6</v>
      </c>
      <c r="M1704" s="5">
        <v>8</v>
      </c>
      <c r="N1704" s="5">
        <v>19</v>
      </c>
      <c r="O1704" s="5">
        <v>16</v>
      </c>
      <c r="P1704" s="5">
        <v>4</v>
      </c>
      <c r="Q1704" s="5">
        <v>4</v>
      </c>
      <c r="R1704" s="8">
        <v>3</v>
      </c>
      <c r="S1704" s="8">
        <v>3</v>
      </c>
      <c r="T1704" s="8">
        <v>0</v>
      </c>
      <c r="U1704" s="8">
        <v>4</v>
      </c>
      <c r="V1704" s="8">
        <v>7</v>
      </c>
      <c r="W1704" t="s">
        <v>473</v>
      </c>
      <c r="X1704" t="s">
        <v>473</v>
      </c>
      <c r="Y1704" t="s">
        <v>473</v>
      </c>
      <c r="Z1704" t="s">
        <v>473</v>
      </c>
      <c r="AA1704" t="s">
        <v>473</v>
      </c>
      <c r="AB1704" t="s">
        <v>473</v>
      </c>
      <c r="AC1704" s="10">
        <v>3</v>
      </c>
      <c r="AD1704" s="10">
        <v>11</v>
      </c>
      <c r="AE1704" t="s">
        <v>473</v>
      </c>
    </row>
    <row r="1705" spans="1:31" x14ac:dyDescent="0.25">
      <c r="A1705">
        <v>1958</v>
      </c>
      <c r="B1705">
        <v>1973</v>
      </c>
      <c r="C1705" t="s">
        <v>33</v>
      </c>
      <c r="D1705" t="s">
        <v>31</v>
      </c>
      <c r="E1705" t="str">
        <f>IF(OR(Table1[[#This Row],[marital_status]]="Married", Table1[[#This Row],[marital_status]]="Together"), "Partnered", "Single")</f>
        <v>Partnered</v>
      </c>
      <c r="F1705" s="7">
        <v>55012</v>
      </c>
      <c r="G1705" s="8">
        <v>0</v>
      </c>
      <c r="H1705" s="8">
        <v>1</v>
      </c>
      <c r="I1705" s="8">
        <f>Table1[[#This Row],[kids]]+Table1[[#This Row],[teens]]</f>
        <v>1</v>
      </c>
      <c r="J1705" s="9">
        <v>41719</v>
      </c>
      <c r="K1705" s="8">
        <v>85</v>
      </c>
      <c r="L1705" s="6">
        <v>582</v>
      </c>
      <c r="M1705" s="5">
        <v>0</v>
      </c>
      <c r="N1705" s="5">
        <v>65</v>
      </c>
      <c r="O1705" s="5">
        <v>0</v>
      </c>
      <c r="P1705" s="5">
        <v>0</v>
      </c>
      <c r="Q1705" s="5">
        <v>13</v>
      </c>
      <c r="R1705" s="8">
        <v>6</v>
      </c>
      <c r="S1705" s="8">
        <v>8</v>
      </c>
      <c r="T1705" s="8">
        <v>2</v>
      </c>
      <c r="U1705" s="8">
        <v>9</v>
      </c>
      <c r="V1705" s="8">
        <v>5</v>
      </c>
      <c r="W1705" t="s">
        <v>473</v>
      </c>
      <c r="X1705" t="s">
        <v>473</v>
      </c>
      <c r="Y1705" t="s">
        <v>473</v>
      </c>
      <c r="Z1705" t="s">
        <v>473</v>
      </c>
      <c r="AA1705" t="s">
        <v>473</v>
      </c>
      <c r="AB1705" t="s">
        <v>473</v>
      </c>
      <c r="AC1705" s="10">
        <v>3</v>
      </c>
      <c r="AD1705" s="10">
        <v>11</v>
      </c>
      <c r="AE1705" t="s">
        <v>473</v>
      </c>
    </row>
    <row r="1706" spans="1:31" x14ac:dyDescent="0.25">
      <c r="A1706">
        <v>7349</v>
      </c>
      <c r="B1706">
        <v>1973</v>
      </c>
      <c r="C1706" t="s">
        <v>41</v>
      </c>
      <c r="D1706" t="s">
        <v>31</v>
      </c>
      <c r="E1706" t="str">
        <f>IF(OR(Table1[[#This Row],[marital_status]]="Married", Table1[[#This Row],[marital_status]]="Together"), "Partnered", "Single")</f>
        <v>Partnered</v>
      </c>
      <c r="F1706" s="7">
        <v>9722</v>
      </c>
      <c r="G1706" s="8">
        <v>1</v>
      </c>
      <c r="H1706" s="8">
        <v>0</v>
      </c>
      <c r="I1706" s="8">
        <f>Table1[[#This Row],[kids]]+Table1[[#This Row],[teens]]</f>
        <v>1</v>
      </c>
      <c r="J1706" s="9">
        <v>41184</v>
      </c>
      <c r="K1706" s="8">
        <v>7</v>
      </c>
      <c r="L1706" s="6">
        <v>6</v>
      </c>
      <c r="M1706" s="5">
        <v>17</v>
      </c>
      <c r="N1706" s="5">
        <v>16</v>
      </c>
      <c r="O1706" s="5">
        <v>6</v>
      </c>
      <c r="P1706" s="5">
        <v>16</v>
      </c>
      <c r="Q1706" s="5">
        <v>42</v>
      </c>
      <c r="R1706" s="8">
        <v>4</v>
      </c>
      <c r="S1706" s="8">
        <v>3</v>
      </c>
      <c r="T1706" s="8">
        <v>1</v>
      </c>
      <c r="U1706" s="8">
        <v>3</v>
      </c>
      <c r="V1706" s="8">
        <v>8</v>
      </c>
      <c r="W1706" t="s">
        <v>473</v>
      </c>
      <c r="X1706" t="s">
        <v>473</v>
      </c>
      <c r="Y1706" t="s">
        <v>473</v>
      </c>
      <c r="Z1706" t="s">
        <v>473</v>
      </c>
      <c r="AA1706" t="s">
        <v>473</v>
      </c>
      <c r="AB1706" t="s">
        <v>473</v>
      </c>
      <c r="AC1706" s="10">
        <v>3</v>
      </c>
      <c r="AD1706" s="10">
        <v>11</v>
      </c>
      <c r="AE1706" t="s">
        <v>474</v>
      </c>
    </row>
    <row r="1707" spans="1:31" x14ac:dyDescent="0.25">
      <c r="A1707">
        <v>8799</v>
      </c>
      <c r="B1707">
        <v>1984</v>
      </c>
      <c r="C1707" t="s">
        <v>33</v>
      </c>
      <c r="D1707" t="s">
        <v>34</v>
      </c>
      <c r="E1707" t="str">
        <f>IF(OR(Table1[[#This Row],[marital_status]]="Married", Table1[[#This Row],[marital_status]]="Together"), "Partnered", "Single")</f>
        <v>Partnered</v>
      </c>
      <c r="F1707" s="7">
        <v>38175</v>
      </c>
      <c r="G1707" s="8">
        <v>1</v>
      </c>
      <c r="H1707" s="8">
        <v>0</v>
      </c>
      <c r="I1707" s="8">
        <f>Table1[[#This Row],[kids]]+Table1[[#This Row],[teens]]</f>
        <v>1</v>
      </c>
      <c r="J1707" s="9">
        <v>41540</v>
      </c>
      <c r="K1707" s="8">
        <v>6</v>
      </c>
      <c r="L1707" s="6">
        <v>70</v>
      </c>
      <c r="M1707" s="5">
        <v>6</v>
      </c>
      <c r="N1707" s="5">
        <v>69</v>
      </c>
      <c r="O1707" s="5">
        <v>2</v>
      </c>
      <c r="P1707" s="5">
        <v>3</v>
      </c>
      <c r="Q1707" s="5">
        <v>3</v>
      </c>
      <c r="R1707" s="8">
        <v>3</v>
      </c>
      <c r="S1707" s="8">
        <v>3</v>
      </c>
      <c r="T1707" s="8">
        <v>1</v>
      </c>
      <c r="U1707" s="8">
        <v>4</v>
      </c>
      <c r="V1707" s="8">
        <v>7</v>
      </c>
      <c r="W1707" t="s">
        <v>473</v>
      </c>
      <c r="X1707" t="s">
        <v>473</v>
      </c>
      <c r="Y1707" t="s">
        <v>473</v>
      </c>
      <c r="Z1707" t="s">
        <v>473</v>
      </c>
      <c r="AA1707" t="s">
        <v>473</v>
      </c>
      <c r="AB1707" t="s">
        <v>473</v>
      </c>
      <c r="AC1707" s="10">
        <v>3</v>
      </c>
      <c r="AD1707" s="10">
        <v>11</v>
      </c>
      <c r="AE1707" t="s">
        <v>473</v>
      </c>
    </row>
    <row r="1708" spans="1:31" x14ac:dyDescent="0.25">
      <c r="A1708">
        <v>1351</v>
      </c>
      <c r="B1708">
        <v>1956</v>
      </c>
      <c r="C1708" t="s">
        <v>36</v>
      </c>
      <c r="D1708" t="s">
        <v>31</v>
      </c>
      <c r="E1708" t="str">
        <f>IF(OR(Table1[[#This Row],[marital_status]]="Married", Table1[[#This Row],[marital_status]]="Together"), "Partnered", "Single")</f>
        <v>Partnered</v>
      </c>
      <c r="F1708" s="7">
        <v>58656</v>
      </c>
      <c r="G1708" s="8">
        <v>0</v>
      </c>
      <c r="H1708" s="8">
        <v>1</v>
      </c>
      <c r="I1708" s="8">
        <f>Table1[[#This Row],[kids]]+Table1[[#This Row],[teens]]</f>
        <v>1</v>
      </c>
      <c r="J1708" s="9">
        <v>41172</v>
      </c>
      <c r="K1708" s="8">
        <v>25</v>
      </c>
      <c r="L1708" s="6">
        <v>962</v>
      </c>
      <c r="M1708" s="5">
        <v>12</v>
      </c>
      <c r="N1708" s="5">
        <v>194</v>
      </c>
      <c r="O1708" s="5">
        <v>16</v>
      </c>
      <c r="P1708" s="5">
        <v>24</v>
      </c>
      <c r="Q1708" s="5">
        <v>12</v>
      </c>
      <c r="R1708" s="8">
        <v>4</v>
      </c>
      <c r="S1708" s="8">
        <v>7</v>
      </c>
      <c r="T1708" s="8">
        <v>8</v>
      </c>
      <c r="U1708" s="8">
        <v>13</v>
      </c>
      <c r="V1708" s="8">
        <v>6</v>
      </c>
      <c r="W1708" t="s">
        <v>473</v>
      </c>
      <c r="X1708" t="s">
        <v>473</v>
      </c>
      <c r="Y1708" t="s">
        <v>474</v>
      </c>
      <c r="Z1708" t="s">
        <v>473</v>
      </c>
      <c r="AA1708" t="s">
        <v>473</v>
      </c>
      <c r="AB1708" t="s">
        <v>473</v>
      </c>
      <c r="AC1708" s="10">
        <v>3</v>
      </c>
      <c r="AD1708" s="10">
        <v>11</v>
      </c>
      <c r="AE1708" t="s">
        <v>473</v>
      </c>
    </row>
    <row r="1709" spans="1:31" x14ac:dyDescent="0.25">
      <c r="A1709">
        <v>1045</v>
      </c>
      <c r="B1709">
        <v>1965</v>
      </c>
      <c r="C1709" t="s">
        <v>466</v>
      </c>
      <c r="D1709" t="s">
        <v>31</v>
      </c>
      <c r="E1709" t="str">
        <f>IF(OR(Table1[[#This Row],[marital_status]]="Married", Table1[[#This Row],[marital_status]]="Together"), "Partnered", "Single")</f>
        <v>Partnered</v>
      </c>
      <c r="F1709" s="7">
        <v>52117</v>
      </c>
      <c r="G1709" s="8">
        <v>0</v>
      </c>
      <c r="H1709" s="8">
        <v>1</v>
      </c>
      <c r="I1709" s="8">
        <f>Table1[[#This Row],[kids]]+Table1[[#This Row],[teens]]</f>
        <v>1</v>
      </c>
      <c r="J1709" s="9">
        <v>41137</v>
      </c>
      <c r="K1709" s="8">
        <v>55</v>
      </c>
      <c r="L1709" s="6">
        <v>112</v>
      </c>
      <c r="M1709" s="5">
        <v>10</v>
      </c>
      <c r="N1709" s="5">
        <v>107</v>
      </c>
      <c r="O1709" s="5">
        <v>30</v>
      </c>
      <c r="P1709" s="5">
        <v>0</v>
      </c>
      <c r="Q1709" s="5">
        <v>20</v>
      </c>
      <c r="R1709" s="8">
        <v>2</v>
      </c>
      <c r="S1709" s="8">
        <v>5</v>
      </c>
      <c r="T1709" s="8">
        <v>2</v>
      </c>
      <c r="U1709" s="8">
        <v>4</v>
      </c>
      <c r="V1709" s="8">
        <v>7</v>
      </c>
      <c r="W1709" t="s">
        <v>473</v>
      </c>
      <c r="X1709" t="s">
        <v>473</v>
      </c>
      <c r="Y1709" t="s">
        <v>473</v>
      </c>
      <c r="Z1709" t="s">
        <v>473</v>
      </c>
      <c r="AA1709" t="s">
        <v>473</v>
      </c>
      <c r="AB1709" t="s">
        <v>473</v>
      </c>
      <c r="AC1709" s="10">
        <v>3</v>
      </c>
      <c r="AD1709" s="10">
        <v>11</v>
      </c>
      <c r="AE1709" t="s">
        <v>473</v>
      </c>
    </row>
    <row r="1710" spans="1:31" x14ac:dyDescent="0.25">
      <c r="A1710">
        <v>7732</v>
      </c>
      <c r="B1710">
        <v>1978</v>
      </c>
      <c r="C1710" t="s">
        <v>466</v>
      </c>
      <c r="D1710" t="s">
        <v>34</v>
      </c>
      <c r="E1710" t="str">
        <f>IF(OR(Table1[[#This Row],[marital_status]]="Married", Table1[[#This Row],[marital_status]]="Together"), "Partnered", "Single")</f>
        <v>Partnered</v>
      </c>
      <c r="F1710" s="7">
        <v>64813</v>
      </c>
      <c r="G1710" s="8">
        <v>1</v>
      </c>
      <c r="H1710" s="8">
        <v>0</v>
      </c>
      <c r="I1710" s="8">
        <f>Table1[[#This Row],[kids]]+Table1[[#This Row],[teens]]</f>
        <v>1</v>
      </c>
      <c r="J1710" s="9">
        <v>41641</v>
      </c>
      <c r="K1710" s="8">
        <v>81</v>
      </c>
      <c r="L1710" s="6">
        <v>293</v>
      </c>
      <c r="M1710" s="5">
        <v>0</v>
      </c>
      <c r="N1710" s="5">
        <v>124</v>
      </c>
      <c r="O1710" s="5">
        <v>179</v>
      </c>
      <c r="P1710" s="5">
        <v>97</v>
      </c>
      <c r="Q1710" s="5">
        <v>52</v>
      </c>
      <c r="R1710" s="8">
        <v>1</v>
      </c>
      <c r="S1710" s="8">
        <v>7</v>
      </c>
      <c r="T1710" s="8">
        <v>2</v>
      </c>
      <c r="U1710" s="8">
        <v>10</v>
      </c>
      <c r="V1710" s="8">
        <v>5</v>
      </c>
      <c r="W1710" t="s">
        <v>473</v>
      </c>
      <c r="X1710" t="s">
        <v>473</v>
      </c>
      <c r="Y1710" t="s">
        <v>473</v>
      </c>
      <c r="Z1710" t="s">
        <v>473</v>
      </c>
      <c r="AA1710" t="s">
        <v>473</v>
      </c>
      <c r="AB1710" t="s">
        <v>473</v>
      </c>
      <c r="AC1710" s="10">
        <v>3</v>
      </c>
      <c r="AD1710" s="10">
        <v>11</v>
      </c>
      <c r="AE1710" t="s">
        <v>473</v>
      </c>
    </row>
    <row r="1711" spans="1:31" x14ac:dyDescent="0.25">
      <c r="A1711">
        <v>8070</v>
      </c>
      <c r="B1711">
        <v>1973</v>
      </c>
      <c r="C1711" t="s">
        <v>33</v>
      </c>
      <c r="D1711" t="s">
        <v>34</v>
      </c>
      <c r="E1711" t="str">
        <f>IF(OR(Table1[[#This Row],[marital_status]]="Married", Table1[[#This Row],[marital_status]]="Together"), "Partnered", "Single")</f>
        <v>Partnered</v>
      </c>
      <c r="F1711" s="7">
        <v>54222</v>
      </c>
      <c r="G1711" s="8">
        <v>0</v>
      </c>
      <c r="H1711" s="8">
        <v>1</v>
      </c>
      <c r="I1711" s="8">
        <f>Table1[[#This Row],[kids]]+Table1[[#This Row],[teens]]</f>
        <v>1</v>
      </c>
      <c r="J1711" s="9">
        <v>41699</v>
      </c>
      <c r="K1711" s="8">
        <v>98</v>
      </c>
      <c r="L1711" s="6">
        <v>199</v>
      </c>
      <c r="M1711" s="5">
        <v>12</v>
      </c>
      <c r="N1711" s="5">
        <v>31</v>
      </c>
      <c r="O1711" s="5">
        <v>3</v>
      </c>
      <c r="P1711" s="5">
        <v>12</v>
      </c>
      <c r="Q1711" s="5">
        <v>7</v>
      </c>
      <c r="R1711" s="8">
        <v>1</v>
      </c>
      <c r="S1711" s="8">
        <v>3</v>
      </c>
      <c r="T1711" s="8">
        <v>3</v>
      </c>
      <c r="U1711" s="8">
        <v>5</v>
      </c>
      <c r="V1711" s="8">
        <v>3</v>
      </c>
      <c r="W1711" t="s">
        <v>473</v>
      </c>
      <c r="X1711" t="s">
        <v>473</v>
      </c>
      <c r="Y1711" t="s">
        <v>473</v>
      </c>
      <c r="Z1711" t="s">
        <v>473</v>
      </c>
      <c r="AA1711" t="s">
        <v>473</v>
      </c>
      <c r="AB1711" t="s">
        <v>473</v>
      </c>
      <c r="AC1711" s="10">
        <v>3</v>
      </c>
      <c r="AD1711" s="10">
        <v>11</v>
      </c>
      <c r="AE1711" t="s">
        <v>473</v>
      </c>
    </row>
    <row r="1712" spans="1:31" x14ac:dyDescent="0.25">
      <c r="A1712">
        <v>477</v>
      </c>
      <c r="B1712">
        <v>1986</v>
      </c>
      <c r="C1712" t="s">
        <v>466</v>
      </c>
      <c r="D1712" t="s">
        <v>34</v>
      </c>
      <c r="E1712" t="str">
        <f>IF(OR(Table1[[#This Row],[marital_status]]="Married", Table1[[#This Row],[marital_status]]="Together"), "Partnered", "Single")</f>
        <v>Partnered</v>
      </c>
      <c r="F1712" s="7">
        <v>83512</v>
      </c>
      <c r="G1712" s="8">
        <v>0</v>
      </c>
      <c r="H1712" s="8">
        <v>0</v>
      </c>
      <c r="I1712" s="8">
        <f>Table1[[#This Row],[kids]]+Table1[[#This Row],[teens]]</f>
        <v>0</v>
      </c>
      <c r="J1712" s="9">
        <v>41807</v>
      </c>
      <c r="K1712" s="8">
        <v>31</v>
      </c>
      <c r="L1712" s="6">
        <v>1060</v>
      </c>
      <c r="M1712" s="5">
        <v>61</v>
      </c>
      <c r="N1712" s="5">
        <v>835</v>
      </c>
      <c r="O1712" s="5">
        <v>80</v>
      </c>
      <c r="P1712" s="5">
        <v>20</v>
      </c>
      <c r="Q1712" s="5">
        <v>101</v>
      </c>
      <c r="R1712" s="8">
        <v>1</v>
      </c>
      <c r="S1712" s="8">
        <v>4</v>
      </c>
      <c r="T1712" s="8">
        <v>7</v>
      </c>
      <c r="U1712" s="8">
        <v>10</v>
      </c>
      <c r="V1712" s="8">
        <v>1</v>
      </c>
      <c r="W1712" t="s">
        <v>474</v>
      </c>
      <c r="X1712" t="s">
        <v>473</v>
      </c>
      <c r="Y1712" t="s">
        <v>474</v>
      </c>
      <c r="Z1712" t="s">
        <v>474</v>
      </c>
      <c r="AA1712" t="s">
        <v>474</v>
      </c>
      <c r="AB1712" t="s">
        <v>473</v>
      </c>
      <c r="AC1712" s="10">
        <v>3</v>
      </c>
      <c r="AD1712" s="10">
        <v>11</v>
      </c>
      <c r="AE1712" t="s">
        <v>474</v>
      </c>
    </row>
    <row r="1713" spans="1:31" x14ac:dyDescent="0.25">
      <c r="A1713">
        <v>7832</v>
      </c>
      <c r="B1713">
        <v>1959</v>
      </c>
      <c r="C1713" t="s">
        <v>36</v>
      </c>
      <c r="D1713" t="s">
        <v>34</v>
      </c>
      <c r="E1713" t="str">
        <f>IF(OR(Table1[[#This Row],[marital_status]]="Married", Table1[[#This Row],[marital_status]]="Together"), "Partnered", "Single")</f>
        <v>Partnered</v>
      </c>
      <c r="F1713" s="7">
        <v>77520</v>
      </c>
      <c r="G1713" s="8">
        <v>0</v>
      </c>
      <c r="H1713" s="8">
        <v>1</v>
      </c>
      <c r="I1713" s="8">
        <f>Table1[[#This Row],[kids]]+Table1[[#This Row],[teens]]</f>
        <v>1</v>
      </c>
      <c r="J1713" s="9">
        <v>41514</v>
      </c>
      <c r="K1713" s="8">
        <v>30</v>
      </c>
      <c r="L1713" s="6">
        <v>940</v>
      </c>
      <c r="M1713" s="5">
        <v>44</v>
      </c>
      <c r="N1713" s="5">
        <v>396</v>
      </c>
      <c r="O1713" s="5">
        <v>0</v>
      </c>
      <c r="P1713" s="5">
        <v>88</v>
      </c>
      <c r="Q1713" s="5">
        <v>58</v>
      </c>
      <c r="R1713" s="8">
        <v>1</v>
      </c>
      <c r="S1713" s="8">
        <v>8</v>
      </c>
      <c r="T1713" s="8">
        <v>7</v>
      </c>
      <c r="U1713" s="8">
        <v>7</v>
      </c>
      <c r="V1713" s="8">
        <v>4</v>
      </c>
      <c r="W1713" t="s">
        <v>474</v>
      </c>
      <c r="X1713" t="s">
        <v>473</v>
      </c>
      <c r="Y1713" t="s">
        <v>474</v>
      </c>
      <c r="Z1713" t="s">
        <v>474</v>
      </c>
      <c r="AA1713" t="s">
        <v>473</v>
      </c>
      <c r="AB1713" t="s">
        <v>473</v>
      </c>
      <c r="AC1713" s="10">
        <v>3</v>
      </c>
      <c r="AD1713" s="10">
        <v>11</v>
      </c>
      <c r="AE1713" t="s">
        <v>474</v>
      </c>
    </row>
    <row r="1714" spans="1:31" x14ac:dyDescent="0.25">
      <c r="A1714">
        <v>2202</v>
      </c>
      <c r="B1714">
        <v>1978</v>
      </c>
      <c r="C1714" t="s">
        <v>466</v>
      </c>
      <c r="D1714" t="s">
        <v>31</v>
      </c>
      <c r="E1714" t="str">
        <f>IF(OR(Table1[[#This Row],[marital_status]]="Married", Table1[[#This Row],[marital_status]]="Together"), "Partnered", "Single")</f>
        <v>Partnered</v>
      </c>
      <c r="F1714" s="7">
        <v>41154</v>
      </c>
      <c r="G1714" s="8">
        <v>0</v>
      </c>
      <c r="H1714" s="8">
        <v>1</v>
      </c>
      <c r="I1714" s="8">
        <f>Table1[[#This Row],[kids]]+Table1[[#This Row],[teens]]</f>
        <v>1</v>
      </c>
      <c r="J1714" s="9">
        <v>41373</v>
      </c>
      <c r="K1714" s="8">
        <v>98</v>
      </c>
      <c r="L1714" s="6">
        <v>44</v>
      </c>
      <c r="M1714" s="5">
        <v>2</v>
      </c>
      <c r="N1714" s="5">
        <v>11</v>
      </c>
      <c r="O1714" s="5">
        <v>2</v>
      </c>
      <c r="P1714" s="5">
        <v>3</v>
      </c>
      <c r="Q1714" s="5">
        <v>7</v>
      </c>
      <c r="R1714" s="8">
        <v>1</v>
      </c>
      <c r="S1714" s="8">
        <v>1</v>
      </c>
      <c r="T1714" s="8">
        <v>0</v>
      </c>
      <c r="U1714" s="8">
        <v>4</v>
      </c>
      <c r="V1714" s="8">
        <v>5</v>
      </c>
      <c r="W1714" t="s">
        <v>473</v>
      </c>
      <c r="X1714" t="s">
        <v>473</v>
      </c>
      <c r="Y1714" t="s">
        <v>473</v>
      </c>
      <c r="Z1714" t="s">
        <v>473</v>
      </c>
      <c r="AA1714" t="s">
        <v>473</v>
      </c>
      <c r="AB1714" t="s">
        <v>473</v>
      </c>
      <c r="AC1714" s="10">
        <v>3</v>
      </c>
      <c r="AD1714" s="10">
        <v>11</v>
      </c>
      <c r="AE1714" t="s">
        <v>473</v>
      </c>
    </row>
    <row r="1715" spans="1:31" x14ac:dyDescent="0.25">
      <c r="A1715">
        <v>7396</v>
      </c>
      <c r="B1715">
        <v>1966</v>
      </c>
      <c r="C1715" t="s">
        <v>466</v>
      </c>
      <c r="D1715" t="s">
        <v>34</v>
      </c>
      <c r="E1715" t="str">
        <f>IF(OR(Table1[[#This Row],[marital_status]]="Married", Table1[[#This Row],[marital_status]]="Together"), "Partnered", "Single")</f>
        <v>Partnered</v>
      </c>
      <c r="F1715" s="7">
        <v>80398</v>
      </c>
      <c r="G1715" s="8">
        <v>0</v>
      </c>
      <c r="H1715" s="8">
        <v>0</v>
      </c>
      <c r="I1715" s="8">
        <f>Table1[[#This Row],[kids]]+Table1[[#This Row],[teens]]</f>
        <v>0</v>
      </c>
      <c r="J1715" s="9">
        <v>41223</v>
      </c>
      <c r="K1715" s="8">
        <v>92</v>
      </c>
      <c r="L1715" s="6">
        <v>342</v>
      </c>
      <c r="M1715" s="5">
        <v>51</v>
      </c>
      <c r="N1715" s="5">
        <v>936</v>
      </c>
      <c r="O1715" s="5">
        <v>207</v>
      </c>
      <c r="P1715" s="5">
        <v>35</v>
      </c>
      <c r="Q1715" s="5">
        <v>26</v>
      </c>
      <c r="R1715" s="8">
        <v>1</v>
      </c>
      <c r="S1715" s="8">
        <v>5</v>
      </c>
      <c r="T1715" s="8">
        <v>8</v>
      </c>
      <c r="U1715" s="8">
        <v>12</v>
      </c>
      <c r="V1715" s="8">
        <v>3</v>
      </c>
      <c r="W1715" t="s">
        <v>473</v>
      </c>
      <c r="X1715" t="s">
        <v>473</v>
      </c>
      <c r="Y1715" t="s">
        <v>474</v>
      </c>
      <c r="Z1715" t="s">
        <v>473</v>
      </c>
      <c r="AA1715" t="s">
        <v>473</v>
      </c>
      <c r="AB1715" t="s">
        <v>473</v>
      </c>
      <c r="AC1715" s="10">
        <v>3</v>
      </c>
      <c r="AD1715" s="10">
        <v>11</v>
      </c>
      <c r="AE1715" t="s">
        <v>473</v>
      </c>
    </row>
    <row r="1716" spans="1:31" x14ac:dyDescent="0.25">
      <c r="A1716">
        <v>4055</v>
      </c>
      <c r="B1716">
        <v>1992</v>
      </c>
      <c r="C1716" t="s">
        <v>41</v>
      </c>
      <c r="D1716" t="s">
        <v>30</v>
      </c>
      <c r="E1716" t="str">
        <f>IF(OR(Table1[[#This Row],[marital_status]]="Married", Table1[[#This Row],[marital_status]]="Together"), "Partnered", "Single")</f>
        <v>Single</v>
      </c>
      <c r="F1716" s="7">
        <v>18746</v>
      </c>
      <c r="G1716" s="8">
        <v>1</v>
      </c>
      <c r="H1716" s="8">
        <v>0</v>
      </c>
      <c r="I1716" s="8">
        <f>Table1[[#This Row],[kids]]+Table1[[#This Row],[teens]]</f>
        <v>1</v>
      </c>
      <c r="J1716" s="9">
        <v>41788</v>
      </c>
      <c r="K1716" s="8">
        <v>41</v>
      </c>
      <c r="L1716" s="6">
        <v>2</v>
      </c>
      <c r="M1716" s="5">
        <v>10</v>
      </c>
      <c r="N1716" s="5">
        <v>11</v>
      </c>
      <c r="O1716" s="5">
        <v>12</v>
      </c>
      <c r="P1716" s="5">
        <v>9</v>
      </c>
      <c r="Q1716" s="5">
        <v>20</v>
      </c>
      <c r="R1716" s="8">
        <v>2</v>
      </c>
      <c r="S1716" s="8">
        <v>3</v>
      </c>
      <c r="T1716" s="8">
        <v>0</v>
      </c>
      <c r="U1716" s="8">
        <v>3</v>
      </c>
      <c r="V1716" s="8">
        <v>6</v>
      </c>
      <c r="W1716" t="s">
        <v>473</v>
      </c>
      <c r="X1716" t="s">
        <v>473</v>
      </c>
      <c r="Y1716" t="s">
        <v>473</v>
      </c>
      <c r="Z1716" t="s">
        <v>473</v>
      </c>
      <c r="AA1716" t="s">
        <v>473</v>
      </c>
      <c r="AB1716" t="s">
        <v>473</v>
      </c>
      <c r="AC1716" s="10">
        <v>3</v>
      </c>
      <c r="AD1716" s="10">
        <v>11</v>
      </c>
      <c r="AE1716" t="s">
        <v>473</v>
      </c>
    </row>
    <row r="1717" spans="1:31" x14ac:dyDescent="0.25">
      <c r="A1717">
        <v>10340</v>
      </c>
      <c r="B1717">
        <v>1984</v>
      </c>
      <c r="C1717" t="s">
        <v>466</v>
      </c>
      <c r="D1717" t="s">
        <v>31</v>
      </c>
      <c r="E1717" t="str">
        <f>IF(OR(Table1[[#This Row],[marital_status]]="Married", Table1[[#This Row],[marital_status]]="Together"), "Partnered", "Single")</f>
        <v>Partnered</v>
      </c>
      <c r="F1717" s="7">
        <v>35196</v>
      </c>
      <c r="G1717" s="8">
        <v>1</v>
      </c>
      <c r="H1717" s="8">
        <v>0</v>
      </c>
      <c r="I1717" s="8">
        <f>Table1[[#This Row],[kids]]+Table1[[#This Row],[teens]]</f>
        <v>1</v>
      </c>
      <c r="J1717" s="9">
        <v>41226</v>
      </c>
      <c r="K1717" s="8">
        <v>68</v>
      </c>
      <c r="L1717" s="6">
        <v>75</v>
      </c>
      <c r="M1717" s="5">
        <v>12</v>
      </c>
      <c r="N1717" s="5">
        <v>141</v>
      </c>
      <c r="O1717" s="5">
        <v>43</v>
      </c>
      <c r="P1717" s="5">
        <v>39</v>
      </c>
      <c r="Q1717" s="5">
        <v>187</v>
      </c>
      <c r="R1717" s="8">
        <v>6</v>
      </c>
      <c r="S1717" s="8">
        <v>6</v>
      </c>
      <c r="T1717" s="8">
        <v>1</v>
      </c>
      <c r="U1717" s="8">
        <v>5</v>
      </c>
      <c r="V1717" s="8">
        <v>8</v>
      </c>
      <c r="W1717" t="s">
        <v>473</v>
      </c>
      <c r="X1717" t="s">
        <v>473</v>
      </c>
      <c r="Y1717" t="s">
        <v>473</v>
      </c>
      <c r="Z1717" t="s">
        <v>473</v>
      </c>
      <c r="AA1717" t="s">
        <v>473</v>
      </c>
      <c r="AB1717" t="s">
        <v>473</v>
      </c>
      <c r="AC1717" s="10">
        <v>3</v>
      </c>
      <c r="AD1717" s="10">
        <v>11</v>
      </c>
      <c r="AE1717" t="s">
        <v>473</v>
      </c>
    </row>
    <row r="1718" spans="1:31" x14ac:dyDescent="0.25">
      <c r="A1718">
        <v>10091</v>
      </c>
      <c r="B1718">
        <v>1956</v>
      </c>
      <c r="C1718" t="s">
        <v>466</v>
      </c>
      <c r="D1718" t="s">
        <v>30</v>
      </c>
      <c r="E1718" t="str">
        <f>IF(OR(Table1[[#This Row],[marital_status]]="Married", Table1[[#This Row],[marital_status]]="Together"), "Partnered", "Single")</f>
        <v>Single</v>
      </c>
      <c r="F1718" s="7">
        <v>60230</v>
      </c>
      <c r="G1718" s="8">
        <v>0</v>
      </c>
      <c r="H1718" s="8">
        <v>1</v>
      </c>
      <c r="I1718" s="8">
        <f>Table1[[#This Row],[kids]]+Table1[[#This Row],[teens]]</f>
        <v>1</v>
      </c>
      <c r="J1718" s="9">
        <v>41414</v>
      </c>
      <c r="K1718" s="8">
        <v>78</v>
      </c>
      <c r="L1718" s="6">
        <v>520</v>
      </c>
      <c r="M1718" s="5">
        <v>20</v>
      </c>
      <c r="N1718" s="5">
        <v>367</v>
      </c>
      <c r="O1718" s="5">
        <v>39</v>
      </c>
      <c r="P1718" s="5">
        <v>81</v>
      </c>
      <c r="Q1718" s="5">
        <v>40</v>
      </c>
      <c r="R1718" s="8">
        <v>2</v>
      </c>
      <c r="S1718" s="8">
        <v>6</v>
      </c>
      <c r="T1718" s="8">
        <v>3</v>
      </c>
      <c r="U1718" s="8">
        <v>6</v>
      </c>
      <c r="V1718" s="8">
        <v>5</v>
      </c>
      <c r="W1718" t="s">
        <v>473</v>
      </c>
      <c r="X1718" t="s">
        <v>473</v>
      </c>
      <c r="Y1718" t="s">
        <v>473</v>
      </c>
      <c r="Z1718" t="s">
        <v>473</v>
      </c>
      <c r="AA1718" t="s">
        <v>473</v>
      </c>
      <c r="AB1718" t="s">
        <v>473</v>
      </c>
      <c r="AC1718" s="10">
        <v>3</v>
      </c>
      <c r="AD1718" s="10">
        <v>11</v>
      </c>
      <c r="AE1718" t="s">
        <v>473</v>
      </c>
    </row>
    <row r="1719" spans="1:31" x14ac:dyDescent="0.25">
      <c r="A1719">
        <v>7629</v>
      </c>
      <c r="B1719">
        <v>1977</v>
      </c>
      <c r="C1719" t="s">
        <v>466</v>
      </c>
      <c r="D1719" t="s">
        <v>34</v>
      </c>
      <c r="E1719" t="str">
        <f>IF(OR(Table1[[#This Row],[marital_status]]="Married", Table1[[#This Row],[marital_status]]="Together"), "Partnered", "Single")</f>
        <v>Partnered</v>
      </c>
      <c r="F1719" s="7">
        <v>22108</v>
      </c>
      <c r="G1719" s="8">
        <v>1</v>
      </c>
      <c r="H1719" s="8">
        <v>1</v>
      </c>
      <c r="I1719" s="8">
        <f>Table1[[#This Row],[kids]]+Table1[[#This Row],[teens]]</f>
        <v>2</v>
      </c>
      <c r="J1719" s="9">
        <v>41767</v>
      </c>
      <c r="K1719" s="8">
        <v>46</v>
      </c>
      <c r="L1719" s="6">
        <v>5</v>
      </c>
      <c r="M1719" s="5">
        <v>3</v>
      </c>
      <c r="N1719" s="5">
        <v>9</v>
      </c>
      <c r="O1719" s="5">
        <v>6</v>
      </c>
      <c r="P1719" s="5">
        <v>2</v>
      </c>
      <c r="Q1719" s="5">
        <v>6</v>
      </c>
      <c r="R1719" s="8">
        <v>2</v>
      </c>
      <c r="S1719" s="8">
        <v>2</v>
      </c>
      <c r="T1719" s="8">
        <v>0</v>
      </c>
      <c r="U1719" s="8">
        <v>3</v>
      </c>
      <c r="V1719" s="8">
        <v>7</v>
      </c>
      <c r="W1719" t="s">
        <v>473</v>
      </c>
      <c r="X1719" t="s">
        <v>473</v>
      </c>
      <c r="Y1719" t="s">
        <v>473</v>
      </c>
      <c r="Z1719" t="s">
        <v>473</v>
      </c>
      <c r="AA1719" t="s">
        <v>473</v>
      </c>
      <c r="AB1719" t="s">
        <v>473</v>
      </c>
      <c r="AC1719" s="10">
        <v>3</v>
      </c>
      <c r="AD1719" s="10">
        <v>11</v>
      </c>
      <c r="AE1719" t="s">
        <v>473</v>
      </c>
    </row>
    <row r="1720" spans="1:31" x14ac:dyDescent="0.25">
      <c r="A1720">
        <v>10640</v>
      </c>
      <c r="B1720">
        <v>1974</v>
      </c>
      <c r="C1720" t="s">
        <v>466</v>
      </c>
      <c r="D1720" t="s">
        <v>31</v>
      </c>
      <c r="E1720" t="str">
        <f>IF(OR(Table1[[#This Row],[marital_status]]="Married", Table1[[#This Row],[marital_status]]="Together"), "Partnered", "Single")</f>
        <v>Partnered</v>
      </c>
      <c r="F1720" s="7">
        <v>44392</v>
      </c>
      <c r="G1720" s="8">
        <v>1</v>
      </c>
      <c r="H1720" s="8">
        <v>1</v>
      </c>
      <c r="I1720" s="8">
        <f>Table1[[#This Row],[kids]]+Table1[[#This Row],[teens]]</f>
        <v>2</v>
      </c>
      <c r="J1720" s="9">
        <v>41522</v>
      </c>
      <c r="K1720" s="8">
        <v>71</v>
      </c>
      <c r="L1720" s="6">
        <v>87</v>
      </c>
      <c r="M1720" s="5">
        <v>5</v>
      </c>
      <c r="N1720" s="5">
        <v>71</v>
      </c>
      <c r="O1720" s="5">
        <v>7</v>
      </c>
      <c r="P1720" s="5">
        <v>12</v>
      </c>
      <c r="Q1720" s="5">
        <v>29</v>
      </c>
      <c r="R1720" s="8">
        <v>5</v>
      </c>
      <c r="S1720" s="8">
        <v>4</v>
      </c>
      <c r="T1720" s="8">
        <v>1</v>
      </c>
      <c r="U1720" s="8">
        <v>4</v>
      </c>
      <c r="V1720" s="8">
        <v>7</v>
      </c>
      <c r="W1720" t="s">
        <v>473</v>
      </c>
      <c r="X1720" t="s">
        <v>473</v>
      </c>
      <c r="Y1720" t="s">
        <v>473</v>
      </c>
      <c r="Z1720" t="s">
        <v>473</v>
      </c>
      <c r="AA1720" t="s">
        <v>473</v>
      </c>
      <c r="AB1720" t="s">
        <v>473</v>
      </c>
      <c r="AC1720" s="10">
        <v>3</v>
      </c>
      <c r="AD1720" s="10">
        <v>11</v>
      </c>
      <c r="AE1720" t="s">
        <v>473</v>
      </c>
    </row>
    <row r="1721" spans="1:31" x14ac:dyDescent="0.25">
      <c r="A1721">
        <v>3498</v>
      </c>
      <c r="B1721">
        <v>1976</v>
      </c>
      <c r="C1721" t="s">
        <v>33</v>
      </c>
      <c r="D1721" t="s">
        <v>34</v>
      </c>
      <c r="E1721" t="str">
        <f>IF(OR(Table1[[#This Row],[marital_status]]="Married", Table1[[#This Row],[marital_status]]="Together"), "Partnered", "Single")</f>
        <v>Partnered</v>
      </c>
      <c r="F1721" s="7">
        <v>55424</v>
      </c>
      <c r="G1721" s="8">
        <v>0</v>
      </c>
      <c r="H1721" s="8">
        <v>1</v>
      </c>
      <c r="I1721" s="8">
        <f>Table1[[#This Row],[kids]]+Table1[[#This Row],[teens]]</f>
        <v>1</v>
      </c>
      <c r="J1721" s="9">
        <v>41238</v>
      </c>
      <c r="K1721" s="8">
        <v>6</v>
      </c>
      <c r="L1721" s="6">
        <v>462</v>
      </c>
      <c r="M1721" s="5">
        <v>61</v>
      </c>
      <c r="N1721" s="5">
        <v>184</v>
      </c>
      <c r="O1721" s="5">
        <v>10</v>
      </c>
      <c r="P1721" s="5">
        <v>53</v>
      </c>
      <c r="Q1721" s="5">
        <v>107</v>
      </c>
      <c r="R1721" s="8">
        <v>4</v>
      </c>
      <c r="S1721" s="8">
        <v>7</v>
      </c>
      <c r="T1721" s="8">
        <v>5</v>
      </c>
      <c r="U1721" s="8">
        <v>9</v>
      </c>
      <c r="V1721" s="8">
        <v>6</v>
      </c>
      <c r="W1721" t="s">
        <v>474</v>
      </c>
      <c r="X1721" t="s">
        <v>473</v>
      </c>
      <c r="Y1721" t="s">
        <v>473</v>
      </c>
      <c r="Z1721" t="s">
        <v>473</v>
      </c>
      <c r="AA1721" t="s">
        <v>473</v>
      </c>
      <c r="AB1721" t="s">
        <v>473</v>
      </c>
      <c r="AC1721" s="10">
        <v>3</v>
      </c>
      <c r="AD1721" s="10">
        <v>11</v>
      </c>
      <c r="AE1721" t="s">
        <v>474</v>
      </c>
    </row>
    <row r="1722" spans="1:31" x14ac:dyDescent="0.25">
      <c r="A1722">
        <v>6742</v>
      </c>
      <c r="B1722">
        <v>1979</v>
      </c>
      <c r="C1722" t="s">
        <v>466</v>
      </c>
      <c r="D1722" t="s">
        <v>34</v>
      </c>
      <c r="E1722" t="str">
        <f>IF(OR(Table1[[#This Row],[marital_status]]="Married", Table1[[#This Row],[marital_status]]="Together"), "Partnered", "Single")</f>
        <v>Partnered</v>
      </c>
      <c r="F1722" s="7">
        <v>17688</v>
      </c>
      <c r="G1722" s="8">
        <v>1</v>
      </c>
      <c r="H1722" s="8">
        <v>0</v>
      </c>
      <c r="I1722" s="8">
        <f>Table1[[#This Row],[kids]]+Table1[[#This Row],[teens]]</f>
        <v>1</v>
      </c>
      <c r="J1722" s="9">
        <v>41287</v>
      </c>
      <c r="K1722" s="8">
        <v>82</v>
      </c>
      <c r="L1722" s="6">
        <v>2</v>
      </c>
      <c r="M1722" s="5">
        <v>2</v>
      </c>
      <c r="N1722" s="5">
        <v>1</v>
      </c>
      <c r="O1722" s="5">
        <v>3</v>
      </c>
      <c r="P1722" s="5">
        <v>1</v>
      </c>
      <c r="Q1722" s="5">
        <v>2</v>
      </c>
      <c r="R1722" s="8">
        <v>1</v>
      </c>
      <c r="S1722" s="8">
        <v>1</v>
      </c>
      <c r="T1722" s="8">
        <v>0</v>
      </c>
      <c r="U1722" s="8">
        <v>2</v>
      </c>
      <c r="V1722" s="8">
        <v>8</v>
      </c>
      <c r="W1722" t="s">
        <v>473</v>
      </c>
      <c r="X1722" t="s">
        <v>473</v>
      </c>
      <c r="Y1722" t="s">
        <v>473</v>
      </c>
      <c r="Z1722" t="s">
        <v>473</v>
      </c>
      <c r="AA1722" t="s">
        <v>473</v>
      </c>
      <c r="AB1722" t="s">
        <v>474</v>
      </c>
      <c r="AC1722" s="10">
        <v>3</v>
      </c>
      <c r="AD1722" s="10">
        <v>11</v>
      </c>
      <c r="AE1722" t="s">
        <v>473</v>
      </c>
    </row>
    <row r="1723" spans="1:31" x14ac:dyDescent="0.25">
      <c r="A1723">
        <v>1172</v>
      </c>
      <c r="B1723">
        <v>1983</v>
      </c>
      <c r="C1723" t="s">
        <v>33</v>
      </c>
      <c r="D1723" t="s">
        <v>34</v>
      </c>
      <c r="E1723" t="str">
        <f>IF(OR(Table1[[#This Row],[marital_status]]="Married", Table1[[#This Row],[marital_status]]="Together"), "Partnered", "Single")</f>
        <v>Partnered</v>
      </c>
      <c r="F1723" s="7">
        <v>92491</v>
      </c>
      <c r="G1723" s="8">
        <v>0</v>
      </c>
      <c r="H1723" s="8">
        <v>0</v>
      </c>
      <c r="I1723" s="8">
        <f>Table1[[#This Row],[kids]]+Table1[[#This Row],[teens]]</f>
        <v>0</v>
      </c>
      <c r="J1723" s="9">
        <v>41395</v>
      </c>
      <c r="K1723" s="8">
        <v>71</v>
      </c>
      <c r="L1723" s="6">
        <v>979</v>
      </c>
      <c r="M1723" s="5">
        <v>44</v>
      </c>
      <c r="N1723" s="5">
        <v>935</v>
      </c>
      <c r="O1723" s="5">
        <v>29</v>
      </c>
      <c r="P1723" s="5">
        <v>25</v>
      </c>
      <c r="Q1723" s="5">
        <v>22</v>
      </c>
      <c r="R1723" s="8">
        <v>1</v>
      </c>
      <c r="S1723" s="8">
        <v>7</v>
      </c>
      <c r="T1723" s="8">
        <v>5</v>
      </c>
      <c r="U1723" s="8">
        <v>12</v>
      </c>
      <c r="V1723" s="8">
        <v>3</v>
      </c>
      <c r="W1723" t="s">
        <v>473</v>
      </c>
      <c r="X1723" t="s">
        <v>474</v>
      </c>
      <c r="Y1723" t="s">
        <v>474</v>
      </c>
      <c r="Z1723" t="s">
        <v>474</v>
      </c>
      <c r="AA1723" t="s">
        <v>473</v>
      </c>
      <c r="AB1723" t="s">
        <v>473</v>
      </c>
      <c r="AC1723" s="10">
        <v>3</v>
      </c>
      <c r="AD1723" s="10">
        <v>11</v>
      </c>
      <c r="AE1723" t="s">
        <v>474</v>
      </c>
    </row>
    <row r="1724" spans="1:31" x14ac:dyDescent="0.25">
      <c r="A1724">
        <v>569</v>
      </c>
      <c r="B1724">
        <v>1991</v>
      </c>
      <c r="C1724" t="s">
        <v>466</v>
      </c>
      <c r="D1724" t="s">
        <v>30</v>
      </c>
      <c r="E1724" t="str">
        <f>IF(OR(Table1[[#This Row],[marital_status]]="Married", Table1[[#This Row],[marital_status]]="Together"), "Partnered", "Single")</f>
        <v>Single</v>
      </c>
      <c r="F1724" s="7">
        <v>90273</v>
      </c>
      <c r="G1724" s="8">
        <v>0</v>
      </c>
      <c r="H1724" s="8">
        <v>0</v>
      </c>
      <c r="I1724" s="8">
        <f>Table1[[#This Row],[kids]]+Table1[[#This Row],[teens]]</f>
        <v>0</v>
      </c>
      <c r="J1724" s="9">
        <v>41622</v>
      </c>
      <c r="K1724" s="8">
        <v>32</v>
      </c>
      <c r="L1724" s="6">
        <v>704</v>
      </c>
      <c r="M1724" s="5">
        <v>129</v>
      </c>
      <c r="N1724" s="5">
        <v>853</v>
      </c>
      <c r="O1724" s="5">
        <v>120</v>
      </c>
      <c r="P1724" s="5">
        <v>74</v>
      </c>
      <c r="Q1724" s="5">
        <v>111</v>
      </c>
      <c r="R1724" s="8">
        <v>1</v>
      </c>
      <c r="S1724" s="8">
        <v>5</v>
      </c>
      <c r="T1724" s="8">
        <v>6</v>
      </c>
      <c r="U1724" s="8">
        <v>7</v>
      </c>
      <c r="V1724" s="8">
        <v>2</v>
      </c>
      <c r="W1724" t="s">
        <v>473</v>
      </c>
      <c r="X1724" t="s">
        <v>474</v>
      </c>
      <c r="Y1724" t="s">
        <v>474</v>
      </c>
      <c r="Z1724" t="s">
        <v>474</v>
      </c>
      <c r="AA1724" t="s">
        <v>473</v>
      </c>
      <c r="AB1724" t="s">
        <v>473</v>
      </c>
      <c r="AC1724" s="10">
        <v>3</v>
      </c>
      <c r="AD1724" s="10">
        <v>11</v>
      </c>
      <c r="AE1724" t="s">
        <v>474</v>
      </c>
    </row>
    <row r="1725" spans="1:31" x14ac:dyDescent="0.25">
      <c r="A1725">
        <v>4686</v>
      </c>
      <c r="B1725">
        <v>1962</v>
      </c>
      <c r="C1725" t="s">
        <v>33</v>
      </c>
      <c r="D1725" t="s">
        <v>57</v>
      </c>
      <c r="E1725" t="str">
        <f>IF(OR(Table1[[#This Row],[marital_status]]="Married", Table1[[#This Row],[marital_status]]="Together"), "Partnered", "Single")</f>
        <v>Single</v>
      </c>
      <c r="F1725" s="7">
        <v>82571</v>
      </c>
      <c r="G1725" s="8">
        <v>0</v>
      </c>
      <c r="H1725" s="8">
        <v>0</v>
      </c>
      <c r="I1725" s="8">
        <f>Table1[[#This Row],[kids]]+Table1[[#This Row],[teens]]</f>
        <v>0</v>
      </c>
      <c r="J1725" s="9">
        <v>41731</v>
      </c>
      <c r="K1725" s="8">
        <v>28</v>
      </c>
      <c r="L1725" s="6">
        <v>861</v>
      </c>
      <c r="M1725" s="5">
        <v>31</v>
      </c>
      <c r="N1725" s="5">
        <v>558</v>
      </c>
      <c r="O1725" s="5">
        <v>62</v>
      </c>
      <c r="P1725" s="5">
        <v>95</v>
      </c>
      <c r="Q1725" s="5">
        <v>79</v>
      </c>
      <c r="R1725" s="8">
        <v>0</v>
      </c>
      <c r="S1725" s="8">
        <v>6</v>
      </c>
      <c r="T1725" s="8">
        <v>5</v>
      </c>
      <c r="U1725" s="8">
        <v>13</v>
      </c>
      <c r="V1725" s="8">
        <v>2</v>
      </c>
      <c r="W1725" t="s">
        <v>473</v>
      </c>
      <c r="X1725" t="s">
        <v>473</v>
      </c>
      <c r="Y1725" t="s">
        <v>474</v>
      </c>
      <c r="Z1725" t="s">
        <v>473</v>
      </c>
      <c r="AA1725" t="s">
        <v>473</v>
      </c>
      <c r="AB1725" t="s">
        <v>473</v>
      </c>
      <c r="AC1725" s="10">
        <v>3</v>
      </c>
      <c r="AD1725" s="10">
        <v>11</v>
      </c>
      <c r="AE1725" t="s">
        <v>473</v>
      </c>
    </row>
    <row r="1726" spans="1:31" x14ac:dyDescent="0.25">
      <c r="A1726">
        <v>1381</v>
      </c>
      <c r="B1726">
        <v>1982</v>
      </c>
      <c r="C1726" t="s">
        <v>33</v>
      </c>
      <c r="D1726" t="s">
        <v>30</v>
      </c>
      <c r="E1726" t="str">
        <f>IF(OR(Table1[[#This Row],[marital_status]]="Married", Table1[[#This Row],[marital_status]]="Together"), "Partnered", "Single")</f>
        <v>Single</v>
      </c>
      <c r="F1726" s="7">
        <v>38513</v>
      </c>
      <c r="G1726" s="8">
        <v>1</v>
      </c>
      <c r="H1726" s="8">
        <v>0</v>
      </c>
      <c r="I1726" s="8">
        <f>Table1[[#This Row],[kids]]+Table1[[#This Row],[teens]]</f>
        <v>1</v>
      </c>
      <c r="J1726" s="9">
        <v>41667</v>
      </c>
      <c r="K1726" s="8">
        <v>20</v>
      </c>
      <c r="L1726" s="6">
        <v>172</v>
      </c>
      <c r="M1726" s="5">
        <v>3</v>
      </c>
      <c r="N1726" s="5">
        <v>115</v>
      </c>
      <c r="O1726" s="5">
        <v>16</v>
      </c>
      <c r="P1726" s="5">
        <v>0</v>
      </c>
      <c r="Q1726" s="5">
        <v>18</v>
      </c>
      <c r="R1726" s="8">
        <v>5</v>
      </c>
      <c r="S1726" s="8">
        <v>6</v>
      </c>
      <c r="T1726" s="8">
        <v>1</v>
      </c>
      <c r="U1726" s="8">
        <v>5</v>
      </c>
      <c r="V1726" s="8">
        <v>8</v>
      </c>
      <c r="W1726" t="s">
        <v>473</v>
      </c>
      <c r="X1726" t="s">
        <v>473</v>
      </c>
      <c r="Y1726" t="s">
        <v>473</v>
      </c>
      <c r="Z1726" t="s">
        <v>473</v>
      </c>
      <c r="AA1726" t="s">
        <v>473</v>
      </c>
      <c r="AB1726" t="s">
        <v>473</v>
      </c>
      <c r="AC1726" s="10">
        <v>3</v>
      </c>
      <c r="AD1726" s="10">
        <v>11</v>
      </c>
      <c r="AE1726" t="s">
        <v>474</v>
      </c>
    </row>
    <row r="1727" spans="1:31" x14ac:dyDescent="0.25">
      <c r="A1727">
        <v>2634</v>
      </c>
      <c r="B1727">
        <v>1979</v>
      </c>
      <c r="C1727" t="s">
        <v>36</v>
      </c>
      <c r="D1727" t="s">
        <v>30</v>
      </c>
      <c r="E1727" t="str">
        <f>IF(OR(Table1[[#This Row],[marital_status]]="Married", Table1[[#This Row],[marital_status]]="Together"), "Partnered", "Single")</f>
        <v>Single</v>
      </c>
      <c r="F1727" s="7">
        <v>16653</v>
      </c>
      <c r="G1727" s="8">
        <v>1</v>
      </c>
      <c r="H1727" s="8">
        <v>0</v>
      </c>
      <c r="I1727" s="8">
        <f>Table1[[#This Row],[kids]]+Table1[[#This Row],[teens]]</f>
        <v>1</v>
      </c>
      <c r="J1727" s="9">
        <v>41747</v>
      </c>
      <c r="K1727" s="8">
        <v>10</v>
      </c>
      <c r="L1727" s="6">
        <v>5</v>
      </c>
      <c r="M1727" s="5">
        <v>7</v>
      </c>
      <c r="N1727" s="5">
        <v>31</v>
      </c>
      <c r="O1727" s="5">
        <v>15</v>
      </c>
      <c r="P1727" s="5">
        <v>4</v>
      </c>
      <c r="Q1727" s="5">
        <v>7</v>
      </c>
      <c r="R1727" s="8">
        <v>3</v>
      </c>
      <c r="S1727" s="8">
        <v>2</v>
      </c>
      <c r="T1727" s="8">
        <v>1</v>
      </c>
      <c r="U1727" s="8">
        <v>3</v>
      </c>
      <c r="V1727" s="8">
        <v>6</v>
      </c>
      <c r="W1727" t="s">
        <v>473</v>
      </c>
      <c r="X1727" t="s">
        <v>473</v>
      </c>
      <c r="Y1727" t="s">
        <v>473</v>
      </c>
      <c r="Z1727" t="s">
        <v>473</v>
      </c>
      <c r="AA1727" t="s">
        <v>473</v>
      </c>
      <c r="AB1727" t="s">
        <v>473</v>
      </c>
      <c r="AC1727" s="10">
        <v>3</v>
      </c>
      <c r="AD1727" s="10">
        <v>11</v>
      </c>
      <c r="AE1727" t="s">
        <v>474</v>
      </c>
    </row>
    <row r="1728" spans="1:31" x14ac:dyDescent="0.25">
      <c r="A1728">
        <v>10905</v>
      </c>
      <c r="B1728">
        <v>1955</v>
      </c>
      <c r="C1728" t="s">
        <v>466</v>
      </c>
      <c r="D1728" t="s">
        <v>31</v>
      </c>
      <c r="E1728" t="str">
        <f>IF(OR(Table1[[#This Row],[marital_status]]="Married", Table1[[#This Row],[marital_status]]="Together"), "Partnered", "Single")</f>
        <v>Partnered</v>
      </c>
      <c r="F1728" s="7">
        <v>42586</v>
      </c>
      <c r="G1728" s="8">
        <v>1</v>
      </c>
      <c r="H1728" s="8">
        <v>1</v>
      </c>
      <c r="I1728" s="8">
        <f>Table1[[#This Row],[kids]]+Table1[[#This Row],[teens]]</f>
        <v>2</v>
      </c>
      <c r="J1728" s="9">
        <v>41211</v>
      </c>
      <c r="K1728" s="8">
        <v>7</v>
      </c>
      <c r="L1728" s="6">
        <v>194</v>
      </c>
      <c r="M1728" s="5">
        <v>2</v>
      </c>
      <c r="N1728" s="5">
        <v>56</v>
      </c>
      <c r="O1728" s="5">
        <v>0</v>
      </c>
      <c r="P1728" s="5">
        <v>0</v>
      </c>
      <c r="Q1728" s="5">
        <v>0</v>
      </c>
      <c r="R1728" s="8">
        <v>5</v>
      </c>
      <c r="S1728" s="8">
        <v>4</v>
      </c>
      <c r="T1728" s="8">
        <v>1</v>
      </c>
      <c r="U1728" s="8">
        <v>6</v>
      </c>
      <c r="V1728" s="8">
        <v>8</v>
      </c>
      <c r="W1728" t="s">
        <v>473</v>
      </c>
      <c r="X1728" t="s">
        <v>473</v>
      </c>
      <c r="Y1728" t="s">
        <v>473</v>
      </c>
      <c r="Z1728" t="s">
        <v>473</v>
      </c>
      <c r="AA1728" t="s">
        <v>473</v>
      </c>
      <c r="AB1728" t="s">
        <v>473</v>
      </c>
      <c r="AC1728" s="10">
        <v>3</v>
      </c>
      <c r="AD1728" s="10">
        <v>11</v>
      </c>
      <c r="AE1728" t="s">
        <v>474</v>
      </c>
    </row>
    <row r="1729" spans="1:31" x14ac:dyDescent="0.25">
      <c r="A1729">
        <v>1744</v>
      </c>
      <c r="B1729">
        <v>1965</v>
      </c>
      <c r="C1729" t="s">
        <v>41</v>
      </c>
      <c r="D1729" t="s">
        <v>30</v>
      </c>
      <c r="E1729" t="str">
        <f>IF(OR(Table1[[#This Row],[marital_status]]="Married", Table1[[#This Row],[marital_status]]="Together"), "Partnered", "Single")</f>
        <v>Single</v>
      </c>
      <c r="F1729" s="7">
        <v>23529</v>
      </c>
      <c r="G1729" s="8">
        <v>0</v>
      </c>
      <c r="H1729" s="8">
        <v>1</v>
      </c>
      <c r="I1729" s="8">
        <f>Table1[[#This Row],[kids]]+Table1[[#This Row],[teens]]</f>
        <v>1</v>
      </c>
      <c r="J1729" s="9">
        <v>41281</v>
      </c>
      <c r="K1729" s="8">
        <v>67</v>
      </c>
      <c r="L1729" s="6">
        <v>9</v>
      </c>
      <c r="M1729" s="5">
        <v>7</v>
      </c>
      <c r="N1729" s="5">
        <v>13</v>
      </c>
      <c r="O1729" s="5">
        <v>3</v>
      </c>
      <c r="P1729" s="5">
        <v>2</v>
      </c>
      <c r="Q1729" s="5">
        <v>20</v>
      </c>
      <c r="R1729" s="8">
        <v>1</v>
      </c>
      <c r="S1729" s="8">
        <v>1</v>
      </c>
      <c r="T1729" s="8">
        <v>1</v>
      </c>
      <c r="U1729" s="8">
        <v>2</v>
      </c>
      <c r="V1729" s="8">
        <v>6</v>
      </c>
      <c r="W1729" t="s">
        <v>473</v>
      </c>
      <c r="X1729" t="s">
        <v>473</v>
      </c>
      <c r="Y1729" t="s">
        <v>473</v>
      </c>
      <c r="Z1729" t="s">
        <v>473</v>
      </c>
      <c r="AA1729" t="s">
        <v>473</v>
      </c>
      <c r="AB1729" t="s">
        <v>473</v>
      </c>
      <c r="AC1729" s="10">
        <v>3</v>
      </c>
      <c r="AD1729" s="10">
        <v>11</v>
      </c>
      <c r="AE1729" t="s">
        <v>473</v>
      </c>
    </row>
    <row r="1730" spans="1:31" x14ac:dyDescent="0.25">
      <c r="A1730">
        <v>1000</v>
      </c>
      <c r="B1730">
        <v>1961</v>
      </c>
      <c r="C1730" t="s">
        <v>36</v>
      </c>
      <c r="D1730" t="s">
        <v>31</v>
      </c>
      <c r="E1730" t="str">
        <f>IF(OR(Table1[[#This Row],[marital_status]]="Married", Table1[[#This Row],[marital_status]]="Together"), "Partnered", "Single")</f>
        <v>Partnered</v>
      </c>
      <c r="F1730" s="7">
        <v>74881</v>
      </c>
      <c r="G1730" s="8">
        <v>1</v>
      </c>
      <c r="H1730" s="8">
        <v>1</v>
      </c>
      <c r="I1730" s="8">
        <f>Table1[[#This Row],[kids]]+Table1[[#This Row],[teens]]</f>
        <v>2</v>
      </c>
      <c r="J1730" s="9">
        <v>41341</v>
      </c>
      <c r="K1730" s="8">
        <v>48</v>
      </c>
      <c r="L1730" s="6">
        <v>505</v>
      </c>
      <c r="M1730" s="5">
        <v>72</v>
      </c>
      <c r="N1730" s="5">
        <v>270</v>
      </c>
      <c r="O1730" s="5">
        <v>36</v>
      </c>
      <c r="P1730" s="5">
        <v>27</v>
      </c>
      <c r="Q1730" s="5">
        <v>54</v>
      </c>
      <c r="R1730" s="8">
        <v>4</v>
      </c>
      <c r="S1730" s="8">
        <v>9</v>
      </c>
      <c r="T1730" s="8">
        <v>2</v>
      </c>
      <c r="U1730" s="8">
        <v>12</v>
      </c>
      <c r="V1730" s="8">
        <v>5</v>
      </c>
      <c r="W1730" t="s">
        <v>473</v>
      </c>
      <c r="X1730" t="s">
        <v>473</v>
      </c>
      <c r="Y1730" t="s">
        <v>473</v>
      </c>
      <c r="Z1730" t="s">
        <v>473</v>
      </c>
      <c r="AA1730" t="s">
        <v>473</v>
      </c>
      <c r="AB1730" t="s">
        <v>473</v>
      </c>
      <c r="AC1730" s="10">
        <v>3</v>
      </c>
      <c r="AD1730" s="10">
        <v>11</v>
      </c>
      <c r="AE1730" t="s">
        <v>473</v>
      </c>
    </row>
    <row r="1731" spans="1:31" x14ac:dyDescent="0.25">
      <c r="A1731">
        <v>3828</v>
      </c>
      <c r="B1731">
        <v>1951</v>
      </c>
      <c r="C1731" t="s">
        <v>466</v>
      </c>
      <c r="D1731" t="s">
        <v>34</v>
      </c>
      <c r="E1731" t="str">
        <f>IF(OR(Table1[[#This Row],[marital_status]]="Married", Table1[[#This Row],[marital_status]]="Together"), "Partnered", "Single")</f>
        <v>Partnered</v>
      </c>
      <c r="F1731" s="7">
        <v>71107</v>
      </c>
      <c r="G1731" s="8">
        <v>0</v>
      </c>
      <c r="H1731" s="8">
        <v>1</v>
      </c>
      <c r="I1731" s="8">
        <f>Table1[[#This Row],[kids]]+Table1[[#This Row],[teens]]</f>
        <v>1</v>
      </c>
      <c r="J1731" s="9">
        <v>41322</v>
      </c>
      <c r="K1731" s="8">
        <v>61</v>
      </c>
      <c r="L1731" s="6">
        <v>533</v>
      </c>
      <c r="M1731" s="5">
        <v>10</v>
      </c>
      <c r="N1731" s="5">
        <v>217</v>
      </c>
      <c r="O1731" s="5">
        <v>198</v>
      </c>
      <c r="P1731" s="5">
        <v>174</v>
      </c>
      <c r="Q1731" s="5">
        <v>195</v>
      </c>
      <c r="R1731" s="8">
        <v>2</v>
      </c>
      <c r="S1731" s="8">
        <v>7</v>
      </c>
      <c r="T1731" s="8">
        <v>6</v>
      </c>
      <c r="U1731" s="8">
        <v>13</v>
      </c>
      <c r="V1731" s="8">
        <v>4</v>
      </c>
      <c r="W1731" t="s">
        <v>473</v>
      </c>
      <c r="X1731" t="s">
        <v>473</v>
      </c>
      <c r="Y1731" t="s">
        <v>473</v>
      </c>
      <c r="Z1731" t="s">
        <v>473</v>
      </c>
      <c r="AA1731" t="s">
        <v>473</v>
      </c>
      <c r="AB1731" t="s">
        <v>473</v>
      </c>
      <c r="AC1731" s="10">
        <v>3</v>
      </c>
      <c r="AD1731" s="10">
        <v>11</v>
      </c>
      <c r="AE1731" t="s">
        <v>473</v>
      </c>
    </row>
    <row r="1732" spans="1:31" x14ac:dyDescent="0.25">
      <c r="A1732">
        <v>8605</v>
      </c>
      <c r="B1732">
        <v>1964</v>
      </c>
      <c r="C1732" t="s">
        <v>33</v>
      </c>
      <c r="D1732" t="s">
        <v>31</v>
      </c>
      <c r="E1732" t="str">
        <f>IF(OR(Table1[[#This Row],[marital_status]]="Married", Table1[[#This Row],[marital_status]]="Together"), "Partnered", "Single")</f>
        <v>Partnered</v>
      </c>
      <c r="F1732" s="7">
        <v>46910</v>
      </c>
      <c r="G1732" s="8">
        <v>1</v>
      </c>
      <c r="H1732" s="8">
        <v>1</v>
      </c>
      <c r="I1732" s="8">
        <f>Table1[[#This Row],[kids]]+Table1[[#This Row],[teens]]</f>
        <v>2</v>
      </c>
      <c r="J1732" s="9">
        <v>41721</v>
      </c>
      <c r="K1732" s="8">
        <v>36</v>
      </c>
      <c r="L1732" s="6">
        <v>48</v>
      </c>
      <c r="M1732" s="5">
        <v>0</v>
      </c>
      <c r="N1732" s="5">
        <v>14</v>
      </c>
      <c r="O1732" s="5">
        <v>0</v>
      </c>
      <c r="P1732" s="5">
        <v>0</v>
      </c>
      <c r="Q1732" s="5">
        <v>6</v>
      </c>
      <c r="R1732" s="8">
        <v>2</v>
      </c>
      <c r="S1732" s="8">
        <v>2</v>
      </c>
      <c r="T1732" s="8">
        <v>0</v>
      </c>
      <c r="U1732" s="8">
        <v>3</v>
      </c>
      <c r="V1732" s="8">
        <v>6</v>
      </c>
      <c r="W1732" t="s">
        <v>473</v>
      </c>
      <c r="X1732" t="s">
        <v>473</v>
      </c>
      <c r="Y1732" t="s">
        <v>473</v>
      </c>
      <c r="Z1732" t="s">
        <v>473</v>
      </c>
      <c r="AA1732" t="s">
        <v>473</v>
      </c>
      <c r="AB1732" t="s">
        <v>473</v>
      </c>
      <c r="AC1732" s="10">
        <v>3</v>
      </c>
      <c r="AD1732" s="10">
        <v>11</v>
      </c>
      <c r="AE1732" t="s">
        <v>473</v>
      </c>
    </row>
    <row r="1733" spans="1:31" x14ac:dyDescent="0.25">
      <c r="A1733">
        <v>10304</v>
      </c>
      <c r="B1733">
        <v>1959</v>
      </c>
      <c r="C1733" t="s">
        <v>466</v>
      </c>
      <c r="D1733" t="s">
        <v>34</v>
      </c>
      <c r="E1733" t="str">
        <f>IF(OR(Table1[[#This Row],[marital_status]]="Married", Table1[[#This Row],[marital_status]]="Together"), "Partnered", "Single")</f>
        <v>Partnered</v>
      </c>
      <c r="F1733" s="7">
        <v>18690</v>
      </c>
      <c r="G1733" s="8">
        <v>0</v>
      </c>
      <c r="H1733" s="8">
        <v>0</v>
      </c>
      <c r="I1733" s="8">
        <f>Table1[[#This Row],[kids]]+Table1[[#This Row],[teens]]</f>
        <v>0</v>
      </c>
      <c r="J1733" s="9">
        <v>41271</v>
      </c>
      <c r="K1733" s="8">
        <v>77</v>
      </c>
      <c r="L1733" s="6">
        <v>6</v>
      </c>
      <c r="M1733" s="5">
        <v>1</v>
      </c>
      <c r="N1733" s="5">
        <v>7</v>
      </c>
      <c r="O1733" s="5">
        <v>23</v>
      </c>
      <c r="P1733" s="5">
        <v>4</v>
      </c>
      <c r="Q1733" s="5">
        <v>19</v>
      </c>
      <c r="R1733" s="8">
        <v>1</v>
      </c>
      <c r="S1733" s="8">
        <v>1</v>
      </c>
      <c r="T1733" s="8">
        <v>1</v>
      </c>
      <c r="U1733" s="8">
        <v>2</v>
      </c>
      <c r="V1733" s="8">
        <v>8</v>
      </c>
      <c r="W1733" t="s">
        <v>473</v>
      </c>
      <c r="X1733" t="s">
        <v>473</v>
      </c>
      <c r="Y1733" t="s">
        <v>473</v>
      </c>
      <c r="Z1733" t="s">
        <v>473</v>
      </c>
      <c r="AA1733" t="s">
        <v>473</v>
      </c>
      <c r="AB1733" t="s">
        <v>473</v>
      </c>
      <c r="AC1733" s="10">
        <v>3</v>
      </c>
      <c r="AD1733" s="10">
        <v>11</v>
      </c>
      <c r="AE1733" t="s">
        <v>473</v>
      </c>
    </row>
    <row r="1734" spans="1:31" x14ac:dyDescent="0.25">
      <c r="A1734">
        <v>4351</v>
      </c>
      <c r="B1734">
        <v>1955</v>
      </c>
      <c r="C1734" t="s">
        <v>466</v>
      </c>
      <c r="D1734" t="s">
        <v>37</v>
      </c>
      <c r="E1734" t="str">
        <f>IF(OR(Table1[[#This Row],[marital_status]]="Married", Table1[[#This Row],[marital_status]]="Together"), "Partnered", "Single")</f>
        <v>Single</v>
      </c>
      <c r="F1734" s="7">
        <v>37244</v>
      </c>
      <c r="G1734" s="8">
        <v>1</v>
      </c>
      <c r="H1734" s="8">
        <v>1</v>
      </c>
      <c r="I1734" s="8">
        <f>Table1[[#This Row],[kids]]+Table1[[#This Row],[teens]]</f>
        <v>2</v>
      </c>
      <c r="J1734" s="9">
        <v>41391</v>
      </c>
      <c r="K1734" s="8">
        <v>90</v>
      </c>
      <c r="L1734" s="6">
        <v>18</v>
      </c>
      <c r="M1734" s="5">
        <v>2</v>
      </c>
      <c r="N1734" s="5">
        <v>10</v>
      </c>
      <c r="O1734" s="5">
        <v>0</v>
      </c>
      <c r="P1734" s="5">
        <v>0</v>
      </c>
      <c r="Q1734" s="5">
        <v>25</v>
      </c>
      <c r="R1734" s="8">
        <v>1</v>
      </c>
      <c r="S1734" s="8">
        <v>1</v>
      </c>
      <c r="T1734" s="8">
        <v>1</v>
      </c>
      <c r="U1734" s="8">
        <v>2</v>
      </c>
      <c r="V1734" s="8">
        <v>7</v>
      </c>
      <c r="W1734" t="s">
        <v>474</v>
      </c>
      <c r="X1734" t="s">
        <v>473</v>
      </c>
      <c r="Y1734" t="s">
        <v>473</v>
      </c>
      <c r="Z1734" t="s">
        <v>473</v>
      </c>
      <c r="AA1734" t="s">
        <v>473</v>
      </c>
      <c r="AB1734" t="s">
        <v>473</v>
      </c>
      <c r="AC1734" s="10">
        <v>3</v>
      </c>
      <c r="AD1734" s="10">
        <v>11</v>
      </c>
      <c r="AE1734" t="s">
        <v>473</v>
      </c>
    </row>
    <row r="1735" spans="1:31" x14ac:dyDescent="0.25">
      <c r="A1735">
        <v>10129</v>
      </c>
      <c r="B1735">
        <v>1966</v>
      </c>
      <c r="C1735" t="s">
        <v>466</v>
      </c>
      <c r="D1735" t="s">
        <v>31</v>
      </c>
      <c r="E1735" t="str">
        <f>IF(OR(Table1[[#This Row],[marital_status]]="Married", Table1[[#This Row],[marital_status]]="Together"), "Partnered", "Single")</f>
        <v>Partnered</v>
      </c>
      <c r="F1735" s="7">
        <v>82427</v>
      </c>
      <c r="G1735" s="8">
        <v>0</v>
      </c>
      <c r="H1735" s="8">
        <v>0</v>
      </c>
      <c r="I1735" s="8">
        <f>Table1[[#This Row],[kids]]+Table1[[#This Row],[teens]]</f>
        <v>0</v>
      </c>
      <c r="J1735" s="9">
        <v>41710</v>
      </c>
      <c r="K1735" s="8">
        <v>35</v>
      </c>
      <c r="L1735" s="6">
        <v>482</v>
      </c>
      <c r="M1735" s="5">
        <v>147</v>
      </c>
      <c r="N1735" s="5">
        <v>509</v>
      </c>
      <c r="O1735" s="5">
        <v>104</v>
      </c>
      <c r="P1735" s="5">
        <v>107</v>
      </c>
      <c r="Q1735" s="5">
        <v>107</v>
      </c>
      <c r="R1735" s="8">
        <v>1</v>
      </c>
      <c r="S1735" s="8">
        <v>3</v>
      </c>
      <c r="T1735" s="8">
        <v>5</v>
      </c>
      <c r="U1735" s="8">
        <v>12</v>
      </c>
      <c r="V1735" s="8">
        <v>1</v>
      </c>
      <c r="W1735" t="s">
        <v>473</v>
      </c>
      <c r="X1735" t="s">
        <v>473</v>
      </c>
      <c r="Y1735" t="s">
        <v>474</v>
      </c>
      <c r="Z1735" t="s">
        <v>473</v>
      </c>
      <c r="AA1735" t="s">
        <v>473</v>
      </c>
      <c r="AB1735" t="s">
        <v>473</v>
      </c>
      <c r="AC1735" s="10">
        <v>3</v>
      </c>
      <c r="AD1735" s="10">
        <v>11</v>
      </c>
      <c r="AE1735" t="s">
        <v>473</v>
      </c>
    </row>
    <row r="1736" spans="1:31" x14ac:dyDescent="0.25">
      <c r="A1736">
        <v>2499</v>
      </c>
      <c r="B1736">
        <v>1958</v>
      </c>
      <c r="C1736" t="s">
        <v>46</v>
      </c>
      <c r="D1736" t="s">
        <v>30</v>
      </c>
      <c r="E1736" t="str">
        <f>IF(OR(Table1[[#This Row],[marital_status]]="Married", Table1[[#This Row],[marital_status]]="Together"), "Partnered", "Single")</f>
        <v>Single</v>
      </c>
      <c r="F1736" s="7">
        <v>75342</v>
      </c>
      <c r="G1736" s="8">
        <v>0</v>
      </c>
      <c r="H1736" s="8">
        <v>1</v>
      </c>
      <c r="I1736" s="8">
        <f>Table1[[#This Row],[kids]]+Table1[[#This Row],[teens]]</f>
        <v>1</v>
      </c>
      <c r="J1736" s="9">
        <v>41400</v>
      </c>
      <c r="K1736" s="8">
        <v>38</v>
      </c>
      <c r="L1736" s="6">
        <v>204</v>
      </c>
      <c r="M1736" s="5">
        <v>97</v>
      </c>
      <c r="N1736" s="5">
        <v>97</v>
      </c>
      <c r="O1736" s="5">
        <v>21</v>
      </c>
      <c r="P1736" s="5">
        <v>118</v>
      </c>
      <c r="Q1736" s="5">
        <v>26</v>
      </c>
      <c r="R1736" s="8">
        <v>1</v>
      </c>
      <c r="S1736" s="8">
        <v>5</v>
      </c>
      <c r="T1736" s="8">
        <v>2</v>
      </c>
      <c r="U1736" s="8">
        <v>10</v>
      </c>
      <c r="V1736" s="8">
        <v>4</v>
      </c>
      <c r="W1736" t="s">
        <v>473</v>
      </c>
      <c r="X1736" t="s">
        <v>473</v>
      </c>
      <c r="Y1736" t="s">
        <v>473</v>
      </c>
      <c r="Z1736" t="s">
        <v>473</v>
      </c>
      <c r="AA1736" t="s">
        <v>473</v>
      </c>
      <c r="AB1736" t="s">
        <v>473</v>
      </c>
      <c r="AC1736" s="10">
        <v>3</v>
      </c>
      <c r="AD1736" s="10">
        <v>11</v>
      </c>
      <c r="AE1736" t="s">
        <v>473</v>
      </c>
    </row>
    <row r="1737" spans="1:31" x14ac:dyDescent="0.25">
      <c r="A1737">
        <v>10092</v>
      </c>
      <c r="B1737">
        <v>1954</v>
      </c>
      <c r="C1737" t="s">
        <v>466</v>
      </c>
      <c r="D1737" t="s">
        <v>37</v>
      </c>
      <c r="E1737" t="str">
        <f>IF(OR(Table1[[#This Row],[marital_status]]="Married", Table1[[#This Row],[marital_status]]="Together"), "Partnered", "Single")</f>
        <v>Single</v>
      </c>
      <c r="F1737" s="7">
        <v>70044</v>
      </c>
      <c r="G1737" s="8">
        <v>0</v>
      </c>
      <c r="H1737" s="8">
        <v>1</v>
      </c>
      <c r="I1737" s="8">
        <f>Table1[[#This Row],[kids]]+Table1[[#This Row],[teens]]</f>
        <v>1</v>
      </c>
      <c r="J1737" s="9">
        <v>41323</v>
      </c>
      <c r="K1737" s="8">
        <v>46</v>
      </c>
      <c r="L1737" s="6">
        <v>1073</v>
      </c>
      <c r="M1737" s="5">
        <v>0</v>
      </c>
      <c r="N1737" s="5">
        <v>250</v>
      </c>
      <c r="O1737" s="5">
        <v>153</v>
      </c>
      <c r="P1737" s="5">
        <v>14</v>
      </c>
      <c r="Q1737" s="5">
        <v>14</v>
      </c>
      <c r="R1737" s="8">
        <v>4</v>
      </c>
      <c r="S1737" s="8">
        <v>7</v>
      </c>
      <c r="T1737" s="8">
        <v>10</v>
      </c>
      <c r="U1737" s="8">
        <v>5</v>
      </c>
      <c r="V1737" s="8">
        <v>5</v>
      </c>
      <c r="W1737" t="s">
        <v>473</v>
      </c>
      <c r="X1737" t="s">
        <v>473</v>
      </c>
      <c r="Y1737" t="s">
        <v>473</v>
      </c>
      <c r="Z1737" t="s">
        <v>473</v>
      </c>
      <c r="AA1737" t="s">
        <v>473</v>
      </c>
      <c r="AB1737" t="s">
        <v>473</v>
      </c>
      <c r="AC1737" s="10">
        <v>3</v>
      </c>
      <c r="AD1737" s="10">
        <v>11</v>
      </c>
      <c r="AE1737" t="s">
        <v>473</v>
      </c>
    </row>
    <row r="1738" spans="1:31" x14ac:dyDescent="0.25">
      <c r="A1738">
        <v>7500</v>
      </c>
      <c r="B1738">
        <v>1967</v>
      </c>
      <c r="C1738" t="s">
        <v>466</v>
      </c>
      <c r="D1738" t="s">
        <v>30</v>
      </c>
      <c r="E1738" t="str">
        <f>IF(OR(Table1[[#This Row],[marital_status]]="Married", Table1[[#This Row],[marital_status]]="Together"), "Partnered", "Single")</f>
        <v>Single</v>
      </c>
      <c r="F1738" s="7">
        <v>79146</v>
      </c>
      <c r="G1738" s="8">
        <v>1</v>
      </c>
      <c r="H1738" s="8">
        <v>1</v>
      </c>
      <c r="I1738" s="8">
        <f>Table1[[#This Row],[kids]]+Table1[[#This Row],[teens]]</f>
        <v>2</v>
      </c>
      <c r="J1738" s="9">
        <v>41753</v>
      </c>
      <c r="K1738" s="8">
        <v>33</v>
      </c>
      <c r="L1738" s="6">
        <v>245</v>
      </c>
      <c r="M1738" s="5">
        <v>16</v>
      </c>
      <c r="N1738" s="5">
        <v>223</v>
      </c>
      <c r="O1738" s="5">
        <v>21</v>
      </c>
      <c r="P1738" s="5">
        <v>43</v>
      </c>
      <c r="Q1738" s="5">
        <v>16</v>
      </c>
      <c r="R1738" s="8">
        <v>2</v>
      </c>
      <c r="S1738" s="8">
        <v>8</v>
      </c>
      <c r="T1738" s="8">
        <v>1</v>
      </c>
      <c r="U1738" s="8">
        <v>8</v>
      </c>
      <c r="V1738" s="8">
        <v>6</v>
      </c>
      <c r="W1738" t="s">
        <v>473</v>
      </c>
      <c r="X1738" t="s">
        <v>473</v>
      </c>
      <c r="Y1738" t="s">
        <v>473</v>
      </c>
      <c r="Z1738" t="s">
        <v>473</v>
      </c>
      <c r="AA1738" t="s">
        <v>473</v>
      </c>
      <c r="AB1738" t="s">
        <v>473</v>
      </c>
      <c r="AC1738" s="10">
        <v>3</v>
      </c>
      <c r="AD1738" s="10">
        <v>11</v>
      </c>
      <c r="AE1738" t="s">
        <v>473</v>
      </c>
    </row>
    <row r="1739" spans="1:31" x14ac:dyDescent="0.25">
      <c r="A1739">
        <v>5796</v>
      </c>
      <c r="B1739">
        <v>1963</v>
      </c>
      <c r="C1739" t="s">
        <v>466</v>
      </c>
      <c r="D1739" t="s">
        <v>34</v>
      </c>
      <c r="E1739" t="str">
        <f>IF(OR(Table1[[#This Row],[marital_status]]="Married", Table1[[#This Row],[marital_status]]="Together"), "Partnered", "Single")</f>
        <v>Partnered</v>
      </c>
      <c r="F1739" s="7">
        <v>77437</v>
      </c>
      <c r="G1739" s="8">
        <v>0</v>
      </c>
      <c r="H1739" s="8">
        <v>0</v>
      </c>
      <c r="I1739" s="8">
        <f>Table1[[#This Row],[kids]]+Table1[[#This Row],[teens]]</f>
        <v>0</v>
      </c>
      <c r="J1739" s="9">
        <v>41604</v>
      </c>
      <c r="K1739" s="8">
        <v>70</v>
      </c>
      <c r="L1739" s="6">
        <v>560</v>
      </c>
      <c r="M1739" s="5">
        <v>21</v>
      </c>
      <c r="N1739" s="5">
        <v>442</v>
      </c>
      <c r="O1739" s="5">
        <v>29</v>
      </c>
      <c r="P1739" s="5">
        <v>44</v>
      </c>
      <c r="Q1739" s="5">
        <v>29</v>
      </c>
      <c r="R1739" s="8">
        <v>1</v>
      </c>
      <c r="S1739" s="8">
        <v>4</v>
      </c>
      <c r="T1739" s="8">
        <v>5</v>
      </c>
      <c r="U1739" s="8">
        <v>13</v>
      </c>
      <c r="V1739" s="8">
        <v>1</v>
      </c>
      <c r="W1739" t="s">
        <v>473</v>
      </c>
      <c r="X1739" t="s">
        <v>473</v>
      </c>
      <c r="Y1739" t="s">
        <v>474</v>
      </c>
      <c r="Z1739" t="s">
        <v>473</v>
      </c>
      <c r="AA1739" t="s">
        <v>473</v>
      </c>
      <c r="AB1739" t="s">
        <v>473</v>
      </c>
      <c r="AC1739" s="10">
        <v>3</v>
      </c>
      <c r="AD1739" s="10">
        <v>11</v>
      </c>
      <c r="AE1739" t="s">
        <v>473</v>
      </c>
    </row>
    <row r="1740" spans="1:31" x14ac:dyDescent="0.25">
      <c r="A1740">
        <v>10556</v>
      </c>
      <c r="B1740">
        <v>1959</v>
      </c>
      <c r="C1740" t="s">
        <v>466</v>
      </c>
      <c r="D1740" t="s">
        <v>34</v>
      </c>
      <c r="E1740" t="str">
        <f>IF(OR(Table1[[#This Row],[marital_status]]="Married", Table1[[#This Row],[marital_status]]="Together"), "Partnered", "Single")</f>
        <v>Partnered</v>
      </c>
      <c r="F1740" s="7">
        <v>54984</v>
      </c>
      <c r="G1740" s="8">
        <v>0</v>
      </c>
      <c r="H1740" s="8">
        <v>1</v>
      </c>
      <c r="I1740" s="8">
        <f>Table1[[#This Row],[kids]]+Table1[[#This Row],[teens]]</f>
        <v>1</v>
      </c>
      <c r="J1740" s="9">
        <v>41783</v>
      </c>
      <c r="K1740" s="8">
        <v>51</v>
      </c>
      <c r="L1740" s="6">
        <v>173</v>
      </c>
      <c r="M1740" s="5">
        <v>13</v>
      </c>
      <c r="N1740" s="5">
        <v>131</v>
      </c>
      <c r="O1740" s="5">
        <v>32</v>
      </c>
      <c r="P1740" s="5">
        <v>3</v>
      </c>
      <c r="Q1740" s="5">
        <v>6</v>
      </c>
      <c r="R1740" s="8">
        <v>4</v>
      </c>
      <c r="S1740" s="8">
        <v>6</v>
      </c>
      <c r="T1740" s="8">
        <v>1</v>
      </c>
      <c r="U1740" s="8">
        <v>6</v>
      </c>
      <c r="V1740" s="8">
        <v>7</v>
      </c>
      <c r="W1740" t="s">
        <v>473</v>
      </c>
      <c r="X1740" t="s">
        <v>473</v>
      </c>
      <c r="Y1740" t="s">
        <v>473</v>
      </c>
      <c r="Z1740" t="s">
        <v>474</v>
      </c>
      <c r="AA1740" t="s">
        <v>473</v>
      </c>
      <c r="AB1740" t="s">
        <v>473</v>
      </c>
      <c r="AC1740" s="10">
        <v>3</v>
      </c>
      <c r="AD1740" s="10">
        <v>11</v>
      </c>
      <c r="AE1740" t="s">
        <v>473</v>
      </c>
    </row>
    <row r="1741" spans="1:31" x14ac:dyDescent="0.25">
      <c r="A1741">
        <v>1064</v>
      </c>
      <c r="B1741">
        <v>1971</v>
      </c>
      <c r="C1741" t="s">
        <v>33</v>
      </c>
      <c r="D1741" t="s">
        <v>34</v>
      </c>
      <c r="E1741" t="str">
        <f>IF(OR(Table1[[#This Row],[marital_status]]="Married", Table1[[#This Row],[marital_status]]="Together"), "Partnered", "Single")</f>
        <v>Partnered</v>
      </c>
      <c r="F1741" s="7">
        <v>42403</v>
      </c>
      <c r="G1741" s="8">
        <v>1</v>
      </c>
      <c r="H1741" s="8">
        <v>0</v>
      </c>
      <c r="I1741" s="8">
        <f>Table1[[#This Row],[kids]]+Table1[[#This Row],[teens]]</f>
        <v>1</v>
      </c>
      <c r="J1741" s="9">
        <v>41619</v>
      </c>
      <c r="K1741" s="8">
        <v>18</v>
      </c>
      <c r="L1741" s="6">
        <v>22</v>
      </c>
      <c r="M1741" s="5">
        <v>1</v>
      </c>
      <c r="N1741" s="5">
        <v>11</v>
      </c>
      <c r="O1741" s="5">
        <v>0</v>
      </c>
      <c r="P1741" s="5">
        <v>5</v>
      </c>
      <c r="Q1741" s="5">
        <v>3</v>
      </c>
      <c r="R1741" s="8">
        <v>1</v>
      </c>
      <c r="S1741" s="8">
        <v>1</v>
      </c>
      <c r="T1741" s="8">
        <v>0</v>
      </c>
      <c r="U1741" s="8">
        <v>3</v>
      </c>
      <c r="V1741" s="8">
        <v>8</v>
      </c>
      <c r="W1741" t="s">
        <v>473</v>
      </c>
      <c r="X1741" t="s">
        <v>473</v>
      </c>
      <c r="Y1741" t="s">
        <v>473</v>
      </c>
      <c r="Z1741" t="s">
        <v>473</v>
      </c>
      <c r="AA1741" t="s">
        <v>473</v>
      </c>
      <c r="AB1741" t="s">
        <v>473</v>
      </c>
      <c r="AC1741" s="10">
        <v>3</v>
      </c>
      <c r="AD1741" s="10">
        <v>11</v>
      </c>
      <c r="AE1741" t="s">
        <v>473</v>
      </c>
    </row>
    <row r="1742" spans="1:31" x14ac:dyDescent="0.25">
      <c r="A1742">
        <v>48</v>
      </c>
      <c r="B1742">
        <v>1964</v>
      </c>
      <c r="C1742" t="s">
        <v>466</v>
      </c>
      <c r="D1742" t="s">
        <v>31</v>
      </c>
      <c r="E1742" t="str">
        <f>IF(OR(Table1[[#This Row],[marital_status]]="Married", Table1[[#This Row],[marital_status]]="Together"), "Partnered", "Single")</f>
        <v>Partnered</v>
      </c>
      <c r="F1742" s="7">
        <v>55761</v>
      </c>
      <c r="G1742" s="8">
        <v>0</v>
      </c>
      <c r="H1742" s="8">
        <v>1</v>
      </c>
      <c r="I1742" s="8">
        <f>Table1[[#This Row],[kids]]+Table1[[#This Row],[teens]]</f>
        <v>1</v>
      </c>
      <c r="J1742" s="9">
        <v>41753</v>
      </c>
      <c r="K1742" s="8">
        <v>97</v>
      </c>
      <c r="L1742" s="6">
        <v>136</v>
      </c>
      <c r="M1742" s="5">
        <v>1</v>
      </c>
      <c r="N1742" s="5">
        <v>12</v>
      </c>
      <c r="O1742" s="5">
        <v>0</v>
      </c>
      <c r="P1742" s="5">
        <v>3</v>
      </c>
      <c r="Q1742" s="5">
        <v>32</v>
      </c>
      <c r="R1742" s="8">
        <v>2</v>
      </c>
      <c r="S1742" s="8">
        <v>4</v>
      </c>
      <c r="T1742" s="8">
        <v>1</v>
      </c>
      <c r="U1742" s="8">
        <v>3</v>
      </c>
      <c r="V1742" s="8">
        <v>6</v>
      </c>
      <c r="W1742" t="s">
        <v>473</v>
      </c>
      <c r="X1742" t="s">
        <v>474</v>
      </c>
      <c r="Y1742" t="s">
        <v>473</v>
      </c>
      <c r="Z1742" t="s">
        <v>473</v>
      </c>
      <c r="AA1742" t="s">
        <v>473</v>
      </c>
      <c r="AB1742" t="s">
        <v>473</v>
      </c>
      <c r="AC1742" s="10">
        <v>3</v>
      </c>
      <c r="AD1742" s="10">
        <v>11</v>
      </c>
      <c r="AE1742" t="s">
        <v>473</v>
      </c>
    </row>
    <row r="1743" spans="1:31" x14ac:dyDescent="0.25">
      <c r="A1743">
        <v>7610</v>
      </c>
      <c r="B1743">
        <v>1983</v>
      </c>
      <c r="C1743" t="s">
        <v>466</v>
      </c>
      <c r="D1743" t="s">
        <v>31</v>
      </c>
      <c r="E1743" t="str">
        <f>IF(OR(Table1[[#This Row],[marital_status]]="Married", Table1[[#This Row],[marital_status]]="Together"), "Partnered", "Single")</f>
        <v>Partnered</v>
      </c>
      <c r="F1743" s="7">
        <v>37292</v>
      </c>
      <c r="G1743" s="8">
        <v>1</v>
      </c>
      <c r="H1743" s="8">
        <v>0</v>
      </c>
      <c r="I1743" s="8">
        <f>Table1[[#This Row],[kids]]+Table1[[#This Row],[teens]]</f>
        <v>1</v>
      </c>
      <c r="J1743" s="9">
        <v>41382</v>
      </c>
      <c r="K1743" s="8">
        <v>32</v>
      </c>
      <c r="L1743" s="6">
        <v>275</v>
      </c>
      <c r="M1743" s="5">
        <v>0</v>
      </c>
      <c r="N1743" s="5">
        <v>86</v>
      </c>
      <c r="O1743" s="5">
        <v>10</v>
      </c>
      <c r="P1743" s="5">
        <v>23</v>
      </c>
      <c r="Q1743" s="5">
        <v>66</v>
      </c>
      <c r="R1743" s="8">
        <v>5</v>
      </c>
      <c r="S1743" s="8">
        <v>6</v>
      </c>
      <c r="T1743" s="8">
        <v>3</v>
      </c>
      <c r="U1743" s="8">
        <v>5</v>
      </c>
      <c r="V1743" s="8">
        <v>8</v>
      </c>
      <c r="W1743" t="s">
        <v>473</v>
      </c>
      <c r="X1743" t="s">
        <v>473</v>
      </c>
      <c r="Y1743" t="s">
        <v>473</v>
      </c>
      <c r="Z1743" t="s">
        <v>473</v>
      </c>
      <c r="AA1743" t="s">
        <v>473</v>
      </c>
      <c r="AB1743" t="s">
        <v>473</v>
      </c>
      <c r="AC1743" s="10">
        <v>3</v>
      </c>
      <c r="AD1743" s="10">
        <v>11</v>
      </c>
      <c r="AE1743" t="s">
        <v>473</v>
      </c>
    </row>
    <row r="1744" spans="1:31" x14ac:dyDescent="0.25">
      <c r="A1744">
        <v>263</v>
      </c>
      <c r="B1744">
        <v>1945</v>
      </c>
      <c r="C1744" t="s">
        <v>33</v>
      </c>
      <c r="D1744" t="s">
        <v>30</v>
      </c>
      <c r="E1744" t="str">
        <f>IF(OR(Table1[[#This Row],[marital_status]]="Married", Table1[[#This Row],[marital_status]]="Together"), "Partnered", "Single")</f>
        <v>Single</v>
      </c>
      <c r="F1744" s="7">
        <v>45576</v>
      </c>
      <c r="G1744" s="8">
        <v>0</v>
      </c>
      <c r="H1744" s="8">
        <v>0</v>
      </c>
      <c r="I1744" s="8">
        <f>Table1[[#This Row],[kids]]+Table1[[#This Row],[teens]]</f>
        <v>0</v>
      </c>
      <c r="J1744" s="9">
        <v>41787</v>
      </c>
      <c r="K1744" s="8">
        <v>9</v>
      </c>
      <c r="L1744" s="6">
        <v>56</v>
      </c>
      <c r="M1744" s="5">
        <v>19</v>
      </c>
      <c r="N1744" s="5">
        <v>29</v>
      </c>
      <c r="O1744" s="5">
        <v>2</v>
      </c>
      <c r="P1744" s="5">
        <v>14</v>
      </c>
      <c r="Q1744" s="5">
        <v>25</v>
      </c>
      <c r="R1744" s="8">
        <v>1</v>
      </c>
      <c r="S1744" s="8">
        <v>3</v>
      </c>
      <c r="T1744" s="8">
        <v>1</v>
      </c>
      <c r="U1744" s="8">
        <v>3</v>
      </c>
      <c r="V1744" s="8">
        <v>8</v>
      </c>
      <c r="W1744" t="s">
        <v>473</v>
      </c>
      <c r="X1744" t="s">
        <v>473</v>
      </c>
      <c r="Y1744" t="s">
        <v>473</v>
      </c>
      <c r="Z1744" t="s">
        <v>473</v>
      </c>
      <c r="AA1744" t="s">
        <v>473</v>
      </c>
      <c r="AB1744" t="s">
        <v>473</v>
      </c>
      <c r="AC1744" s="10">
        <v>3</v>
      </c>
      <c r="AD1744" s="10">
        <v>11</v>
      </c>
      <c r="AE1744" t="s">
        <v>474</v>
      </c>
    </row>
    <row r="1745" spans="1:31" x14ac:dyDescent="0.25">
      <c r="A1745">
        <v>10814</v>
      </c>
      <c r="B1745">
        <v>1947</v>
      </c>
      <c r="C1745" t="s">
        <v>466</v>
      </c>
      <c r="D1745" t="s">
        <v>31</v>
      </c>
      <c r="E1745" t="str">
        <f>IF(OR(Table1[[#This Row],[marital_status]]="Married", Table1[[#This Row],[marital_status]]="Together"), "Partnered", "Single")</f>
        <v>Partnered</v>
      </c>
      <c r="F1745" s="7">
        <v>70321</v>
      </c>
      <c r="G1745" s="8">
        <v>0</v>
      </c>
      <c r="H1745" s="8">
        <v>0</v>
      </c>
      <c r="I1745" s="8">
        <f>Table1[[#This Row],[kids]]+Table1[[#This Row],[teens]]</f>
        <v>0</v>
      </c>
      <c r="J1745" s="9">
        <v>41290</v>
      </c>
      <c r="K1745" s="8">
        <v>6</v>
      </c>
      <c r="L1745" s="6">
        <v>303</v>
      </c>
      <c r="M1745" s="5">
        <v>23</v>
      </c>
      <c r="N1745" s="5">
        <v>751</v>
      </c>
      <c r="O1745" s="5">
        <v>82</v>
      </c>
      <c r="P1745" s="5">
        <v>26</v>
      </c>
      <c r="Q1745" s="5">
        <v>191</v>
      </c>
      <c r="R1745" s="8">
        <v>1</v>
      </c>
      <c r="S1745" s="8">
        <v>6</v>
      </c>
      <c r="T1745" s="8">
        <v>5</v>
      </c>
      <c r="U1745" s="8">
        <v>13</v>
      </c>
      <c r="V1745" s="8">
        <v>4</v>
      </c>
      <c r="W1745" t="s">
        <v>473</v>
      </c>
      <c r="X1745" t="s">
        <v>473</v>
      </c>
      <c r="Y1745" t="s">
        <v>473</v>
      </c>
      <c r="Z1745" t="s">
        <v>473</v>
      </c>
      <c r="AA1745" t="s">
        <v>473</v>
      </c>
      <c r="AB1745" t="s">
        <v>473</v>
      </c>
      <c r="AC1745" s="10">
        <v>3</v>
      </c>
      <c r="AD1745" s="10">
        <v>11</v>
      </c>
      <c r="AE1745" t="s">
        <v>474</v>
      </c>
    </row>
    <row r="1746" spans="1:31" x14ac:dyDescent="0.25">
      <c r="A1746">
        <v>9710</v>
      </c>
      <c r="B1746">
        <v>1969</v>
      </c>
      <c r="C1746" t="s">
        <v>33</v>
      </c>
      <c r="D1746" t="s">
        <v>37</v>
      </c>
      <c r="E1746" t="str">
        <f>IF(OR(Table1[[#This Row],[marital_status]]="Married", Table1[[#This Row],[marital_status]]="Together"), "Partnered", "Single")</f>
        <v>Single</v>
      </c>
      <c r="F1746" s="7">
        <v>58086</v>
      </c>
      <c r="G1746" s="8">
        <v>0</v>
      </c>
      <c r="H1746" s="8">
        <v>1</v>
      </c>
      <c r="I1746" s="8">
        <f>Table1[[#This Row],[kids]]+Table1[[#This Row],[teens]]</f>
        <v>1</v>
      </c>
      <c r="J1746" s="9">
        <v>41294</v>
      </c>
      <c r="K1746" s="8">
        <v>80</v>
      </c>
      <c r="L1746" s="6">
        <v>708</v>
      </c>
      <c r="M1746" s="5">
        <v>7</v>
      </c>
      <c r="N1746" s="5">
        <v>62</v>
      </c>
      <c r="O1746" s="5">
        <v>0</v>
      </c>
      <c r="P1746" s="5">
        <v>0</v>
      </c>
      <c r="Q1746" s="5">
        <v>15</v>
      </c>
      <c r="R1746" s="8">
        <v>2</v>
      </c>
      <c r="S1746" s="8">
        <v>11</v>
      </c>
      <c r="T1746" s="8">
        <v>3</v>
      </c>
      <c r="U1746" s="8">
        <v>7</v>
      </c>
      <c r="V1746" s="8">
        <v>8</v>
      </c>
      <c r="W1746" t="s">
        <v>473</v>
      </c>
      <c r="X1746" t="s">
        <v>473</v>
      </c>
      <c r="Y1746" t="s">
        <v>473</v>
      </c>
      <c r="Z1746" t="s">
        <v>473</v>
      </c>
      <c r="AA1746" t="s">
        <v>473</v>
      </c>
      <c r="AB1746" t="s">
        <v>473</v>
      </c>
      <c r="AC1746" s="10">
        <v>3</v>
      </c>
      <c r="AD1746" s="10">
        <v>11</v>
      </c>
      <c r="AE1746" t="s">
        <v>473</v>
      </c>
    </row>
    <row r="1747" spans="1:31" x14ac:dyDescent="0.25">
      <c r="A1747">
        <v>9292</v>
      </c>
      <c r="B1747">
        <v>1952</v>
      </c>
      <c r="C1747" t="s">
        <v>466</v>
      </c>
      <c r="D1747" t="s">
        <v>34</v>
      </c>
      <c r="E1747" t="str">
        <f>IF(OR(Table1[[#This Row],[marital_status]]="Married", Table1[[#This Row],[marital_status]]="Together"), "Partnered", "Single")</f>
        <v>Partnered</v>
      </c>
      <c r="F1747" s="7">
        <v>81795</v>
      </c>
      <c r="G1747" s="8">
        <v>0</v>
      </c>
      <c r="H1747" s="8">
        <v>0</v>
      </c>
      <c r="I1747" s="8">
        <f>Table1[[#This Row],[kids]]+Table1[[#This Row],[teens]]</f>
        <v>0</v>
      </c>
      <c r="J1747" s="9">
        <v>41208</v>
      </c>
      <c r="K1747" s="8">
        <v>74</v>
      </c>
      <c r="L1747" s="6">
        <v>324</v>
      </c>
      <c r="M1747" s="5">
        <v>132</v>
      </c>
      <c r="N1747" s="5">
        <v>693</v>
      </c>
      <c r="O1747" s="5">
        <v>27</v>
      </c>
      <c r="P1747" s="5">
        <v>118</v>
      </c>
      <c r="Q1747" s="5">
        <v>88</v>
      </c>
      <c r="R1747" s="8">
        <v>1</v>
      </c>
      <c r="S1747" s="8">
        <v>4</v>
      </c>
      <c r="T1747" s="8">
        <v>11</v>
      </c>
      <c r="U1747" s="8">
        <v>7</v>
      </c>
      <c r="V1747" s="8">
        <v>2</v>
      </c>
      <c r="W1747" t="s">
        <v>473</v>
      </c>
      <c r="X1747" t="s">
        <v>473</v>
      </c>
      <c r="Y1747" t="s">
        <v>473</v>
      </c>
      <c r="Z1747" t="s">
        <v>473</v>
      </c>
      <c r="AA1747" t="s">
        <v>473</v>
      </c>
      <c r="AB1747" t="s">
        <v>473</v>
      </c>
      <c r="AC1747" s="10">
        <v>3</v>
      </c>
      <c r="AD1747" s="10">
        <v>11</v>
      </c>
      <c r="AE1747" t="s">
        <v>473</v>
      </c>
    </row>
    <row r="1748" spans="1:31" x14ac:dyDescent="0.25">
      <c r="A1748">
        <v>10250</v>
      </c>
      <c r="B1748">
        <v>1947</v>
      </c>
      <c r="C1748" t="s">
        <v>41</v>
      </c>
      <c r="D1748" t="s">
        <v>31</v>
      </c>
      <c r="E1748" t="str">
        <f>IF(OR(Table1[[#This Row],[marital_status]]="Married", Table1[[#This Row],[marital_status]]="Together"), "Partnered", "Single")</f>
        <v>Partnered</v>
      </c>
      <c r="F1748" s="7">
        <v>28389</v>
      </c>
      <c r="G1748" s="8">
        <v>0</v>
      </c>
      <c r="H1748" s="8">
        <v>0</v>
      </c>
      <c r="I1748" s="8">
        <f>Table1[[#This Row],[kids]]+Table1[[#This Row],[teens]]</f>
        <v>0</v>
      </c>
      <c r="J1748" s="9">
        <v>41233</v>
      </c>
      <c r="K1748" s="8">
        <v>49</v>
      </c>
      <c r="L1748" s="6">
        <v>1</v>
      </c>
      <c r="M1748" s="5">
        <v>5</v>
      </c>
      <c r="N1748" s="5">
        <v>3</v>
      </c>
      <c r="O1748" s="5">
        <v>7</v>
      </c>
      <c r="P1748" s="5">
        <v>4</v>
      </c>
      <c r="Q1748" s="5">
        <v>8</v>
      </c>
      <c r="R1748" s="8">
        <v>1</v>
      </c>
      <c r="S1748" s="8">
        <v>1</v>
      </c>
      <c r="T1748" s="8">
        <v>0</v>
      </c>
      <c r="U1748" s="8">
        <v>2</v>
      </c>
      <c r="V1748" s="8">
        <v>7</v>
      </c>
      <c r="W1748" t="s">
        <v>473</v>
      </c>
      <c r="X1748" t="s">
        <v>473</v>
      </c>
      <c r="Y1748" t="s">
        <v>473</v>
      </c>
      <c r="Z1748" t="s">
        <v>473</v>
      </c>
      <c r="AA1748" t="s">
        <v>473</v>
      </c>
      <c r="AB1748" t="s">
        <v>473</v>
      </c>
      <c r="AC1748" s="10">
        <v>3</v>
      </c>
      <c r="AD1748" s="10">
        <v>11</v>
      </c>
      <c r="AE1748" t="s">
        <v>473</v>
      </c>
    </row>
    <row r="1749" spans="1:31" x14ac:dyDescent="0.25">
      <c r="A1749">
        <v>7881</v>
      </c>
      <c r="B1749">
        <v>1946</v>
      </c>
      <c r="C1749" t="s">
        <v>36</v>
      </c>
      <c r="D1749" t="s">
        <v>34</v>
      </c>
      <c r="E1749" t="str">
        <f>IF(OR(Table1[[#This Row],[marital_status]]="Married", Table1[[#This Row],[marital_status]]="Together"), "Partnered", "Single")</f>
        <v>Partnered</v>
      </c>
      <c r="F1749" s="7">
        <v>66835</v>
      </c>
      <c r="G1749" s="8">
        <v>0</v>
      </c>
      <c r="H1749" s="8">
        <v>0</v>
      </c>
      <c r="I1749" s="8">
        <f>Table1[[#This Row],[kids]]+Table1[[#This Row],[teens]]</f>
        <v>0</v>
      </c>
      <c r="J1749" s="9">
        <v>41545</v>
      </c>
      <c r="K1749" s="8">
        <v>21</v>
      </c>
      <c r="L1749" s="6">
        <v>620</v>
      </c>
      <c r="M1749" s="5">
        <v>26</v>
      </c>
      <c r="N1749" s="5">
        <v>195</v>
      </c>
      <c r="O1749" s="5">
        <v>34</v>
      </c>
      <c r="P1749" s="5">
        <v>17</v>
      </c>
      <c r="Q1749" s="5">
        <v>141</v>
      </c>
      <c r="R1749" s="8">
        <v>1</v>
      </c>
      <c r="S1749" s="8">
        <v>6</v>
      </c>
      <c r="T1749" s="8">
        <v>4</v>
      </c>
      <c r="U1749" s="8">
        <v>13</v>
      </c>
      <c r="V1749" s="8">
        <v>2</v>
      </c>
      <c r="W1749" t="s">
        <v>473</v>
      </c>
      <c r="X1749" t="s">
        <v>473</v>
      </c>
      <c r="Y1749" t="s">
        <v>473</v>
      </c>
      <c r="Z1749" t="s">
        <v>473</v>
      </c>
      <c r="AA1749" t="s">
        <v>473</v>
      </c>
      <c r="AB1749" t="s">
        <v>473</v>
      </c>
      <c r="AC1749" s="10">
        <v>3</v>
      </c>
      <c r="AD1749" s="10">
        <v>11</v>
      </c>
      <c r="AE1749" t="s">
        <v>473</v>
      </c>
    </row>
    <row r="1750" spans="1:31" x14ac:dyDescent="0.25">
      <c r="A1750">
        <v>5847</v>
      </c>
      <c r="B1750">
        <v>1969</v>
      </c>
      <c r="C1750" t="s">
        <v>466</v>
      </c>
      <c r="D1750" t="s">
        <v>37</v>
      </c>
      <c r="E1750" t="str">
        <f>IF(OR(Table1[[#This Row],[marital_status]]="Married", Table1[[#This Row],[marital_status]]="Together"), "Partnered", "Single")</f>
        <v>Single</v>
      </c>
      <c r="F1750" s="7">
        <v>69901</v>
      </c>
      <c r="G1750" s="8">
        <v>0</v>
      </c>
      <c r="H1750" s="8">
        <v>1</v>
      </c>
      <c r="I1750" s="8">
        <f>Table1[[#This Row],[kids]]+Table1[[#This Row],[teens]]</f>
        <v>1</v>
      </c>
      <c r="J1750" s="9">
        <v>41423</v>
      </c>
      <c r="K1750" s="8">
        <v>95</v>
      </c>
      <c r="L1750" s="6">
        <v>312</v>
      </c>
      <c r="M1750" s="5">
        <v>21</v>
      </c>
      <c r="N1750" s="5">
        <v>206</v>
      </c>
      <c r="O1750" s="5">
        <v>102</v>
      </c>
      <c r="P1750" s="5">
        <v>92</v>
      </c>
      <c r="Q1750" s="5">
        <v>149</v>
      </c>
      <c r="R1750" s="8">
        <v>3</v>
      </c>
      <c r="S1750" s="8">
        <v>7</v>
      </c>
      <c r="T1750" s="8">
        <v>3</v>
      </c>
      <c r="U1750" s="8">
        <v>10</v>
      </c>
      <c r="V1750" s="8">
        <v>5</v>
      </c>
      <c r="W1750" t="s">
        <v>473</v>
      </c>
      <c r="X1750" t="s">
        <v>473</v>
      </c>
      <c r="Y1750" t="s">
        <v>473</v>
      </c>
      <c r="Z1750" t="s">
        <v>473</v>
      </c>
      <c r="AA1750" t="s">
        <v>473</v>
      </c>
      <c r="AB1750" t="s">
        <v>473</v>
      </c>
      <c r="AC1750" s="10">
        <v>3</v>
      </c>
      <c r="AD1750" s="10">
        <v>11</v>
      </c>
      <c r="AE1750" t="s">
        <v>473</v>
      </c>
    </row>
    <row r="1751" spans="1:31" x14ac:dyDescent="0.25">
      <c r="A1751">
        <v>737</v>
      </c>
      <c r="B1751">
        <v>1949</v>
      </c>
      <c r="C1751" t="s">
        <v>33</v>
      </c>
      <c r="D1751" t="s">
        <v>34</v>
      </c>
      <c r="E1751" t="str">
        <f>IF(OR(Table1[[#This Row],[marital_status]]="Married", Table1[[#This Row],[marital_status]]="Together"), "Partnered", "Single")</f>
        <v>Partnered</v>
      </c>
      <c r="F1751" s="7">
        <v>80360</v>
      </c>
      <c r="G1751" s="8">
        <v>0</v>
      </c>
      <c r="H1751" s="8">
        <v>0</v>
      </c>
      <c r="I1751" s="8">
        <f>Table1[[#This Row],[kids]]+Table1[[#This Row],[teens]]</f>
        <v>0</v>
      </c>
      <c r="J1751" s="9">
        <v>41336</v>
      </c>
      <c r="K1751" s="8">
        <v>56</v>
      </c>
      <c r="L1751" s="6">
        <v>1493</v>
      </c>
      <c r="M1751" s="5">
        <v>86</v>
      </c>
      <c r="N1751" s="5">
        <v>454</v>
      </c>
      <c r="O1751" s="5">
        <v>112</v>
      </c>
      <c r="P1751" s="5">
        <v>43</v>
      </c>
      <c r="Q1751" s="5">
        <v>43</v>
      </c>
      <c r="R1751" s="8">
        <v>2</v>
      </c>
      <c r="S1751" s="8">
        <v>4</v>
      </c>
      <c r="T1751" s="8">
        <v>4</v>
      </c>
      <c r="U1751" s="8">
        <v>5</v>
      </c>
      <c r="V1751" s="8">
        <v>2</v>
      </c>
      <c r="W1751" t="s">
        <v>473</v>
      </c>
      <c r="X1751" t="s">
        <v>474</v>
      </c>
      <c r="Y1751" t="s">
        <v>474</v>
      </c>
      <c r="Z1751" t="s">
        <v>474</v>
      </c>
      <c r="AA1751" t="s">
        <v>473</v>
      </c>
      <c r="AB1751" t="s">
        <v>473</v>
      </c>
      <c r="AC1751" s="10">
        <v>3</v>
      </c>
      <c r="AD1751" s="10">
        <v>11</v>
      </c>
      <c r="AE1751" t="s">
        <v>473</v>
      </c>
    </row>
    <row r="1752" spans="1:31" x14ac:dyDescent="0.25">
      <c r="A1752">
        <v>3571</v>
      </c>
      <c r="B1752">
        <v>1961</v>
      </c>
      <c r="C1752" t="s">
        <v>33</v>
      </c>
      <c r="D1752" t="s">
        <v>31</v>
      </c>
      <c r="E1752" t="str">
        <f>IF(OR(Table1[[#This Row],[marital_status]]="Married", Table1[[#This Row],[marital_status]]="Together"), "Partnered", "Single")</f>
        <v>Partnered</v>
      </c>
      <c r="F1752" s="7">
        <v>63342</v>
      </c>
      <c r="G1752" s="8">
        <v>0</v>
      </c>
      <c r="H1752" s="8">
        <v>1</v>
      </c>
      <c r="I1752" s="8">
        <f>Table1[[#This Row],[kids]]+Table1[[#This Row],[teens]]</f>
        <v>1</v>
      </c>
      <c r="J1752" s="9">
        <v>41198</v>
      </c>
      <c r="K1752" s="8">
        <v>48</v>
      </c>
      <c r="L1752" s="6">
        <v>918</v>
      </c>
      <c r="M1752" s="5">
        <v>21</v>
      </c>
      <c r="N1752" s="5">
        <v>118</v>
      </c>
      <c r="O1752" s="5">
        <v>13</v>
      </c>
      <c r="P1752" s="5">
        <v>10</v>
      </c>
      <c r="Q1752" s="5">
        <v>21</v>
      </c>
      <c r="R1752" s="8">
        <v>3</v>
      </c>
      <c r="S1752" s="8">
        <v>8</v>
      </c>
      <c r="T1752" s="8">
        <v>3</v>
      </c>
      <c r="U1752" s="8">
        <v>5</v>
      </c>
      <c r="V1752" s="8">
        <v>6</v>
      </c>
      <c r="W1752" t="s">
        <v>473</v>
      </c>
      <c r="X1752" t="s">
        <v>474</v>
      </c>
      <c r="Y1752" t="s">
        <v>473</v>
      </c>
      <c r="Z1752" t="s">
        <v>473</v>
      </c>
      <c r="AA1752" t="s">
        <v>473</v>
      </c>
      <c r="AB1752" t="s">
        <v>473</v>
      </c>
      <c r="AC1752" s="10">
        <v>3</v>
      </c>
      <c r="AD1752" s="10">
        <v>11</v>
      </c>
      <c r="AE1752" t="s">
        <v>474</v>
      </c>
    </row>
    <row r="1753" spans="1:31" x14ac:dyDescent="0.25">
      <c r="A1753">
        <v>7807</v>
      </c>
      <c r="B1753">
        <v>1974</v>
      </c>
      <c r="C1753" t="s">
        <v>466</v>
      </c>
      <c r="D1753" t="s">
        <v>34</v>
      </c>
      <c r="E1753" t="str">
        <f>IF(OR(Table1[[#This Row],[marital_status]]="Married", Table1[[#This Row],[marital_status]]="Together"), "Partnered", "Single")</f>
        <v>Partnered</v>
      </c>
      <c r="F1753" s="7">
        <v>44989</v>
      </c>
      <c r="G1753" s="8">
        <v>0</v>
      </c>
      <c r="H1753" s="8">
        <v>1</v>
      </c>
      <c r="I1753" s="8">
        <f>Table1[[#This Row],[kids]]+Table1[[#This Row],[teens]]</f>
        <v>1</v>
      </c>
      <c r="J1753" s="9">
        <v>41164</v>
      </c>
      <c r="K1753" s="8">
        <v>26</v>
      </c>
      <c r="L1753" s="6">
        <v>98</v>
      </c>
      <c r="M1753" s="5">
        <v>0</v>
      </c>
      <c r="N1753" s="5">
        <v>106</v>
      </c>
      <c r="O1753" s="5">
        <v>49</v>
      </c>
      <c r="P1753" s="5">
        <v>10</v>
      </c>
      <c r="Q1753" s="5">
        <v>106</v>
      </c>
      <c r="R1753" s="8">
        <v>5</v>
      </c>
      <c r="S1753" s="8">
        <v>5</v>
      </c>
      <c r="T1753" s="8">
        <v>1</v>
      </c>
      <c r="U1753" s="8">
        <v>5</v>
      </c>
      <c r="V1753" s="8">
        <v>6</v>
      </c>
      <c r="W1753" t="s">
        <v>473</v>
      </c>
      <c r="X1753" t="s">
        <v>473</v>
      </c>
      <c r="Y1753" t="s">
        <v>473</v>
      </c>
      <c r="Z1753" t="s">
        <v>473</v>
      </c>
      <c r="AA1753" t="s">
        <v>473</v>
      </c>
      <c r="AB1753" t="s">
        <v>473</v>
      </c>
      <c r="AC1753" s="10">
        <v>3</v>
      </c>
      <c r="AD1753" s="10">
        <v>11</v>
      </c>
      <c r="AE1753" t="s">
        <v>473</v>
      </c>
    </row>
    <row r="1754" spans="1:31" x14ac:dyDescent="0.25">
      <c r="A1754">
        <v>3878</v>
      </c>
      <c r="B1754">
        <v>1980</v>
      </c>
      <c r="C1754" t="s">
        <v>46</v>
      </c>
      <c r="D1754" t="s">
        <v>30</v>
      </c>
      <c r="E1754" t="str">
        <f>IF(OR(Table1[[#This Row],[marital_status]]="Married", Table1[[#This Row],[marital_status]]="Together"), "Partnered", "Single")</f>
        <v>Single</v>
      </c>
      <c r="F1754" s="7">
        <v>31859</v>
      </c>
      <c r="G1754" s="8">
        <v>1</v>
      </c>
      <c r="H1754" s="8">
        <v>0</v>
      </c>
      <c r="I1754" s="8">
        <f>Table1[[#This Row],[kids]]+Table1[[#This Row],[teens]]</f>
        <v>1</v>
      </c>
      <c r="J1754" s="9">
        <v>41697</v>
      </c>
      <c r="K1754" s="8">
        <v>3</v>
      </c>
      <c r="L1754" s="6">
        <v>3</v>
      </c>
      <c r="M1754" s="5">
        <v>4</v>
      </c>
      <c r="N1754" s="5">
        <v>7</v>
      </c>
      <c r="O1754" s="5">
        <v>15</v>
      </c>
      <c r="P1754" s="5">
        <v>8</v>
      </c>
      <c r="Q1754" s="5">
        <v>11</v>
      </c>
      <c r="R1754" s="8">
        <v>1</v>
      </c>
      <c r="S1754" s="8">
        <v>1</v>
      </c>
      <c r="T1754" s="8">
        <v>0</v>
      </c>
      <c r="U1754" s="8">
        <v>3</v>
      </c>
      <c r="V1754" s="8">
        <v>7</v>
      </c>
      <c r="W1754" t="s">
        <v>473</v>
      </c>
      <c r="X1754" t="s">
        <v>473</v>
      </c>
      <c r="Y1754" t="s">
        <v>473</v>
      </c>
      <c r="Z1754" t="s">
        <v>473</v>
      </c>
      <c r="AA1754" t="s">
        <v>473</v>
      </c>
      <c r="AB1754" t="s">
        <v>473</v>
      </c>
      <c r="AC1754" s="10">
        <v>3</v>
      </c>
      <c r="AD1754" s="10">
        <v>11</v>
      </c>
      <c r="AE1754" t="s">
        <v>473</v>
      </c>
    </row>
    <row r="1755" spans="1:31" x14ac:dyDescent="0.25">
      <c r="A1755">
        <v>5092</v>
      </c>
      <c r="B1755">
        <v>1949</v>
      </c>
      <c r="C1755" t="s">
        <v>33</v>
      </c>
      <c r="D1755" t="s">
        <v>57</v>
      </c>
      <c r="E1755" t="str">
        <f>IF(OR(Table1[[#This Row],[marital_status]]="Married", Table1[[#This Row],[marital_status]]="Together"), "Partnered", "Single")</f>
        <v>Single</v>
      </c>
      <c r="F1755" s="7">
        <v>51569</v>
      </c>
      <c r="G1755" s="8">
        <v>0</v>
      </c>
      <c r="H1755" s="8">
        <v>1</v>
      </c>
      <c r="I1755" s="8">
        <f>Table1[[#This Row],[kids]]+Table1[[#This Row],[teens]]</f>
        <v>1</v>
      </c>
      <c r="J1755" s="9">
        <v>41317</v>
      </c>
      <c r="K1755" s="8">
        <v>39</v>
      </c>
      <c r="L1755" s="6">
        <v>380</v>
      </c>
      <c r="M1755" s="5">
        <v>0</v>
      </c>
      <c r="N1755" s="5">
        <v>47</v>
      </c>
      <c r="O1755" s="5">
        <v>6</v>
      </c>
      <c r="P1755" s="5">
        <v>0</v>
      </c>
      <c r="Q1755" s="5">
        <v>34</v>
      </c>
      <c r="R1755" s="8">
        <v>4</v>
      </c>
      <c r="S1755" s="8">
        <v>7</v>
      </c>
      <c r="T1755" s="8">
        <v>1</v>
      </c>
      <c r="U1755" s="8">
        <v>7</v>
      </c>
      <c r="V1755" s="8">
        <v>8</v>
      </c>
      <c r="W1755" t="s">
        <v>473</v>
      </c>
      <c r="X1755" t="s">
        <v>474</v>
      </c>
      <c r="Y1755" t="s">
        <v>473</v>
      </c>
      <c r="Z1755" t="s">
        <v>473</v>
      </c>
      <c r="AA1755" t="s">
        <v>473</v>
      </c>
      <c r="AB1755" t="s">
        <v>473</v>
      </c>
      <c r="AC1755" s="10">
        <v>3</v>
      </c>
      <c r="AD1755" s="10">
        <v>11</v>
      </c>
      <c r="AE1755" t="s">
        <v>474</v>
      </c>
    </row>
    <row r="1756" spans="1:31" x14ac:dyDescent="0.25">
      <c r="A1756">
        <v>2154</v>
      </c>
      <c r="B1756">
        <v>1971</v>
      </c>
      <c r="C1756" t="s">
        <v>466</v>
      </c>
      <c r="D1756" t="s">
        <v>57</v>
      </c>
      <c r="E1756" t="str">
        <f>IF(OR(Table1[[#This Row],[marital_status]]="Married", Table1[[#This Row],[marital_status]]="Together"), "Partnered", "Single")</f>
        <v>Single</v>
      </c>
      <c r="F1756" s="7">
        <v>30372</v>
      </c>
      <c r="G1756" s="8">
        <v>1</v>
      </c>
      <c r="H1756" s="8">
        <v>1</v>
      </c>
      <c r="I1756" s="8">
        <f>Table1[[#This Row],[kids]]+Table1[[#This Row],[teens]]</f>
        <v>2</v>
      </c>
      <c r="J1756" s="9">
        <v>41268</v>
      </c>
      <c r="K1756" s="8">
        <v>33</v>
      </c>
      <c r="L1756" s="6">
        <v>15</v>
      </c>
      <c r="M1756" s="5">
        <v>0</v>
      </c>
      <c r="N1756" s="5">
        <v>12</v>
      </c>
      <c r="O1756" s="5">
        <v>7</v>
      </c>
      <c r="P1756" s="5">
        <v>3</v>
      </c>
      <c r="Q1756" s="5">
        <v>7</v>
      </c>
      <c r="R1756" s="8">
        <v>3</v>
      </c>
      <c r="S1756" s="8">
        <v>2</v>
      </c>
      <c r="T1756" s="8">
        <v>0</v>
      </c>
      <c r="U1756" s="8">
        <v>3</v>
      </c>
      <c r="V1756" s="8">
        <v>7</v>
      </c>
      <c r="W1756" t="s">
        <v>473</v>
      </c>
      <c r="X1756" t="s">
        <v>473</v>
      </c>
      <c r="Y1756" t="s">
        <v>473</v>
      </c>
      <c r="Z1756" t="s">
        <v>473</v>
      </c>
      <c r="AA1756" t="s">
        <v>473</v>
      </c>
      <c r="AB1756" t="s">
        <v>473</v>
      </c>
      <c r="AC1756" s="10">
        <v>3</v>
      </c>
      <c r="AD1756" s="10">
        <v>11</v>
      </c>
      <c r="AE1756" t="s">
        <v>473</v>
      </c>
    </row>
    <row r="1757" spans="1:31" x14ac:dyDescent="0.25">
      <c r="A1757">
        <v>5394</v>
      </c>
      <c r="B1757">
        <v>1979</v>
      </c>
      <c r="C1757" t="s">
        <v>41</v>
      </c>
      <c r="D1757" t="s">
        <v>30</v>
      </c>
      <c r="E1757" t="str">
        <f>IF(OR(Table1[[#This Row],[marital_status]]="Married", Table1[[#This Row],[marital_status]]="Together"), "Partnered", "Single")</f>
        <v>Single</v>
      </c>
      <c r="F1757" s="7">
        <v>16014</v>
      </c>
      <c r="G1757" s="8">
        <v>1</v>
      </c>
      <c r="H1757" s="8">
        <v>1</v>
      </c>
      <c r="I1757" s="8">
        <f>Table1[[#This Row],[kids]]+Table1[[#This Row],[teens]]</f>
        <v>2</v>
      </c>
      <c r="J1757" s="9">
        <v>41350</v>
      </c>
      <c r="K1757" s="8">
        <v>42</v>
      </c>
      <c r="L1757" s="6">
        <v>3</v>
      </c>
      <c r="M1757" s="5">
        <v>9</v>
      </c>
      <c r="N1757" s="5">
        <v>4</v>
      </c>
      <c r="O1757" s="5">
        <v>7</v>
      </c>
      <c r="P1757" s="5">
        <v>8</v>
      </c>
      <c r="Q1757" s="5">
        <v>7</v>
      </c>
      <c r="R1757" s="8">
        <v>4</v>
      </c>
      <c r="S1757" s="8">
        <v>1</v>
      </c>
      <c r="T1757" s="8">
        <v>1</v>
      </c>
      <c r="U1757" s="8">
        <v>4</v>
      </c>
      <c r="V1757" s="8">
        <v>3</v>
      </c>
      <c r="W1757" t="s">
        <v>473</v>
      </c>
      <c r="X1757" t="s">
        <v>473</v>
      </c>
      <c r="Y1757" t="s">
        <v>473</v>
      </c>
      <c r="Z1757" t="s">
        <v>473</v>
      </c>
      <c r="AA1757" t="s">
        <v>473</v>
      </c>
      <c r="AB1757" t="s">
        <v>473</v>
      </c>
      <c r="AC1757" s="10">
        <v>3</v>
      </c>
      <c r="AD1757" s="10">
        <v>11</v>
      </c>
      <c r="AE1757" t="s">
        <v>473</v>
      </c>
    </row>
    <row r="1758" spans="1:31" x14ac:dyDescent="0.25">
      <c r="A1758">
        <v>3798</v>
      </c>
      <c r="B1758">
        <v>1968</v>
      </c>
      <c r="C1758" t="s">
        <v>466</v>
      </c>
      <c r="D1758" t="s">
        <v>34</v>
      </c>
      <c r="E1758" t="str">
        <f>IF(OR(Table1[[#This Row],[marital_status]]="Married", Table1[[#This Row],[marital_status]]="Together"), "Partnered", "Single")</f>
        <v>Partnered</v>
      </c>
      <c r="F1758" s="7">
        <v>41120</v>
      </c>
      <c r="G1758" s="8">
        <v>1</v>
      </c>
      <c r="H1758" s="8">
        <v>1</v>
      </c>
      <c r="I1758" s="8">
        <f>Table1[[#This Row],[kids]]+Table1[[#This Row],[teens]]</f>
        <v>2</v>
      </c>
      <c r="J1758" s="9">
        <v>41584</v>
      </c>
      <c r="K1758" s="8">
        <v>80</v>
      </c>
      <c r="L1758" s="6">
        <v>24</v>
      </c>
      <c r="M1758" s="5">
        <v>2</v>
      </c>
      <c r="N1758" s="5">
        <v>23</v>
      </c>
      <c r="O1758" s="5">
        <v>0</v>
      </c>
      <c r="P1758" s="5">
        <v>8</v>
      </c>
      <c r="Q1758" s="5">
        <v>24</v>
      </c>
      <c r="R1758" s="8">
        <v>3</v>
      </c>
      <c r="S1758" s="8">
        <v>2</v>
      </c>
      <c r="T1758" s="8">
        <v>1</v>
      </c>
      <c r="U1758" s="8">
        <v>3</v>
      </c>
      <c r="V1758" s="8">
        <v>6</v>
      </c>
      <c r="W1758" t="s">
        <v>473</v>
      </c>
      <c r="X1758" t="s">
        <v>473</v>
      </c>
      <c r="Y1758" t="s">
        <v>473</v>
      </c>
      <c r="Z1758" t="s">
        <v>473</v>
      </c>
      <c r="AA1758" t="s">
        <v>473</v>
      </c>
      <c r="AB1758" t="s">
        <v>473</v>
      </c>
      <c r="AC1758" s="10">
        <v>3</v>
      </c>
      <c r="AD1758" s="10">
        <v>11</v>
      </c>
      <c r="AE1758" t="s">
        <v>473</v>
      </c>
    </row>
    <row r="1759" spans="1:31" x14ac:dyDescent="0.25">
      <c r="A1759">
        <v>3524</v>
      </c>
      <c r="B1759">
        <v>1971</v>
      </c>
      <c r="C1759" t="s">
        <v>36</v>
      </c>
      <c r="D1759" t="s">
        <v>30</v>
      </c>
      <c r="E1759" t="str">
        <f>IF(OR(Table1[[#This Row],[marital_status]]="Married", Table1[[#This Row],[marital_status]]="Together"), "Partnered", "Single")</f>
        <v>Single</v>
      </c>
      <c r="F1759" s="7">
        <v>39763</v>
      </c>
      <c r="G1759" s="8">
        <v>1</v>
      </c>
      <c r="H1759" s="8">
        <v>0</v>
      </c>
      <c r="I1759" s="8">
        <f>Table1[[#This Row],[kids]]+Table1[[#This Row],[teens]]</f>
        <v>1</v>
      </c>
      <c r="J1759" s="9">
        <v>41490</v>
      </c>
      <c r="K1759" s="8">
        <v>9</v>
      </c>
      <c r="L1759" s="6">
        <v>80</v>
      </c>
      <c r="M1759" s="5">
        <v>1</v>
      </c>
      <c r="N1759" s="5">
        <v>60</v>
      </c>
      <c r="O1759" s="5">
        <v>4</v>
      </c>
      <c r="P1759" s="5">
        <v>6</v>
      </c>
      <c r="Q1759" s="5">
        <v>16</v>
      </c>
      <c r="R1759" s="8">
        <v>2</v>
      </c>
      <c r="S1759" s="8">
        <v>5</v>
      </c>
      <c r="T1759" s="8">
        <v>1</v>
      </c>
      <c r="U1759" s="8">
        <v>2</v>
      </c>
      <c r="V1759" s="8">
        <v>9</v>
      </c>
      <c r="W1759" t="s">
        <v>473</v>
      </c>
      <c r="X1759" t="s">
        <v>473</v>
      </c>
      <c r="Y1759" t="s">
        <v>473</v>
      </c>
      <c r="Z1759" t="s">
        <v>473</v>
      </c>
      <c r="AA1759" t="s">
        <v>473</v>
      </c>
      <c r="AB1759" t="s">
        <v>473</v>
      </c>
      <c r="AC1759" s="10">
        <v>3</v>
      </c>
      <c r="AD1759" s="10">
        <v>11</v>
      </c>
      <c r="AE1759" t="s">
        <v>474</v>
      </c>
    </row>
    <row r="1760" spans="1:31" x14ac:dyDescent="0.25">
      <c r="A1760">
        <v>5247</v>
      </c>
      <c r="B1760">
        <v>1955</v>
      </c>
      <c r="C1760" t="s">
        <v>33</v>
      </c>
      <c r="D1760" t="s">
        <v>34</v>
      </c>
      <c r="E1760" t="str">
        <f>IF(OR(Table1[[#This Row],[marital_status]]="Married", Table1[[#This Row],[marital_status]]="Together"), "Partnered", "Single")</f>
        <v>Partnered</v>
      </c>
      <c r="F1760" s="7">
        <v>38725</v>
      </c>
      <c r="G1760" s="8">
        <v>1</v>
      </c>
      <c r="H1760" s="8">
        <v>1</v>
      </c>
      <c r="I1760" s="8">
        <f>Table1[[#This Row],[kids]]+Table1[[#This Row],[teens]]</f>
        <v>2</v>
      </c>
      <c r="J1760" s="9">
        <v>41769</v>
      </c>
      <c r="K1760" s="8">
        <v>52</v>
      </c>
      <c r="L1760" s="6">
        <v>31</v>
      </c>
      <c r="M1760" s="5">
        <v>0</v>
      </c>
      <c r="N1760" s="5">
        <v>6</v>
      </c>
      <c r="O1760" s="5">
        <v>2</v>
      </c>
      <c r="P1760" s="5">
        <v>1</v>
      </c>
      <c r="Q1760" s="5">
        <v>5</v>
      </c>
      <c r="R1760" s="8">
        <v>2</v>
      </c>
      <c r="S1760" s="8">
        <v>1</v>
      </c>
      <c r="T1760" s="8">
        <v>0</v>
      </c>
      <c r="U1760" s="8">
        <v>4</v>
      </c>
      <c r="V1760" s="8">
        <v>4</v>
      </c>
      <c r="W1760" t="s">
        <v>473</v>
      </c>
      <c r="X1760" t="s">
        <v>473</v>
      </c>
      <c r="Y1760" t="s">
        <v>473</v>
      </c>
      <c r="Z1760" t="s">
        <v>473</v>
      </c>
      <c r="AA1760" t="s">
        <v>473</v>
      </c>
      <c r="AB1760" t="s">
        <v>473</v>
      </c>
      <c r="AC1760" s="10">
        <v>3</v>
      </c>
      <c r="AD1760" s="10">
        <v>11</v>
      </c>
      <c r="AE1760" t="s">
        <v>473</v>
      </c>
    </row>
    <row r="1761" spans="1:31" x14ac:dyDescent="0.25">
      <c r="A1761">
        <v>5883</v>
      </c>
      <c r="B1761">
        <v>1972</v>
      </c>
      <c r="C1761" t="s">
        <v>466</v>
      </c>
      <c r="D1761" t="s">
        <v>34</v>
      </c>
      <c r="E1761" t="str">
        <f>IF(OR(Table1[[#This Row],[marital_status]]="Married", Table1[[#This Row],[marital_status]]="Together"), "Partnered", "Single")</f>
        <v>Partnered</v>
      </c>
      <c r="F1761" s="7">
        <v>77981</v>
      </c>
      <c r="G1761" s="8">
        <v>1</v>
      </c>
      <c r="H1761" s="8">
        <v>0</v>
      </c>
      <c r="I1761" s="8">
        <f>Table1[[#This Row],[kids]]+Table1[[#This Row],[teens]]</f>
        <v>1</v>
      </c>
      <c r="J1761" s="9">
        <v>41420</v>
      </c>
      <c r="K1761" s="8">
        <v>78</v>
      </c>
      <c r="L1761" s="6">
        <v>138</v>
      </c>
      <c r="M1761" s="5">
        <v>120</v>
      </c>
      <c r="N1761" s="5">
        <v>204</v>
      </c>
      <c r="O1761" s="5">
        <v>16</v>
      </c>
      <c r="P1761" s="5">
        <v>126</v>
      </c>
      <c r="Q1761" s="5">
        <v>60</v>
      </c>
      <c r="R1761" s="8">
        <v>3</v>
      </c>
      <c r="S1761" s="8">
        <v>7</v>
      </c>
      <c r="T1761" s="8">
        <v>4</v>
      </c>
      <c r="U1761" s="8">
        <v>7</v>
      </c>
      <c r="V1761" s="8">
        <v>5</v>
      </c>
      <c r="W1761" t="s">
        <v>473</v>
      </c>
      <c r="X1761" t="s">
        <v>473</v>
      </c>
      <c r="Y1761" t="s">
        <v>473</v>
      </c>
      <c r="Z1761" t="s">
        <v>473</v>
      </c>
      <c r="AA1761" t="s">
        <v>473</v>
      </c>
      <c r="AB1761" t="s">
        <v>473</v>
      </c>
      <c r="AC1761" s="10">
        <v>3</v>
      </c>
      <c r="AD1761" s="10">
        <v>11</v>
      </c>
      <c r="AE1761" t="s">
        <v>473</v>
      </c>
    </row>
    <row r="1762" spans="1:31" x14ac:dyDescent="0.25">
      <c r="A1762">
        <v>2118</v>
      </c>
      <c r="B1762">
        <v>1964</v>
      </c>
      <c r="C1762" t="s">
        <v>46</v>
      </c>
      <c r="D1762" t="s">
        <v>34</v>
      </c>
      <c r="E1762" t="str">
        <f>IF(OR(Table1[[#This Row],[marital_status]]="Married", Table1[[#This Row],[marital_status]]="Together"), "Partnered", "Single")</f>
        <v>Partnered</v>
      </c>
      <c r="F1762" s="7">
        <v>62905</v>
      </c>
      <c r="G1762" s="8">
        <v>0</v>
      </c>
      <c r="H1762" s="8">
        <v>1</v>
      </c>
      <c r="I1762" s="8">
        <f>Table1[[#This Row],[kids]]+Table1[[#This Row],[teens]]</f>
        <v>1</v>
      </c>
      <c r="J1762" s="9">
        <v>41527</v>
      </c>
      <c r="K1762" s="8">
        <v>68</v>
      </c>
      <c r="L1762" s="6">
        <v>166</v>
      </c>
      <c r="M1762" s="5">
        <v>75</v>
      </c>
      <c r="N1762" s="5">
        <v>96</v>
      </c>
      <c r="O1762" s="5">
        <v>119</v>
      </c>
      <c r="P1762" s="5">
        <v>107</v>
      </c>
      <c r="Q1762" s="5">
        <v>59</v>
      </c>
      <c r="R1762" s="8">
        <v>3</v>
      </c>
      <c r="S1762" s="8">
        <v>7</v>
      </c>
      <c r="T1762" s="8">
        <v>2</v>
      </c>
      <c r="U1762" s="8">
        <v>8</v>
      </c>
      <c r="V1762" s="8">
        <v>4</v>
      </c>
      <c r="W1762" t="s">
        <v>473</v>
      </c>
      <c r="X1762" t="s">
        <v>473</v>
      </c>
      <c r="Y1762" t="s">
        <v>473</v>
      </c>
      <c r="Z1762" t="s">
        <v>473</v>
      </c>
      <c r="AA1762" t="s">
        <v>473</v>
      </c>
      <c r="AB1762" t="s">
        <v>473</v>
      </c>
      <c r="AC1762" s="10">
        <v>3</v>
      </c>
      <c r="AD1762" s="10">
        <v>11</v>
      </c>
      <c r="AE1762" t="s">
        <v>473</v>
      </c>
    </row>
    <row r="1763" spans="1:31" x14ac:dyDescent="0.25">
      <c r="A1763">
        <v>8812</v>
      </c>
      <c r="B1763">
        <v>1979</v>
      </c>
      <c r="C1763" t="s">
        <v>46</v>
      </c>
      <c r="D1763" t="s">
        <v>37</v>
      </c>
      <c r="E1763" t="str">
        <f>IF(OR(Table1[[#This Row],[marital_status]]="Married", Table1[[#This Row],[marital_status]]="Together"), "Partnered", "Single")</f>
        <v>Single</v>
      </c>
      <c r="F1763" s="7">
        <v>13533</v>
      </c>
      <c r="G1763" s="8">
        <v>1</v>
      </c>
      <c r="H1763" s="8">
        <v>0</v>
      </c>
      <c r="I1763" s="8">
        <f>Table1[[#This Row],[kids]]+Table1[[#This Row],[teens]]</f>
        <v>1</v>
      </c>
      <c r="J1763" s="9">
        <v>41343</v>
      </c>
      <c r="K1763" s="8">
        <v>45</v>
      </c>
      <c r="L1763" s="6">
        <v>12</v>
      </c>
      <c r="M1763" s="5">
        <v>3</v>
      </c>
      <c r="N1763" s="5">
        <v>8</v>
      </c>
      <c r="O1763" s="5">
        <v>8</v>
      </c>
      <c r="P1763" s="5">
        <v>0</v>
      </c>
      <c r="Q1763" s="5">
        <v>17</v>
      </c>
      <c r="R1763" s="8">
        <v>2</v>
      </c>
      <c r="S1763" s="8">
        <v>2</v>
      </c>
      <c r="T1763" s="8">
        <v>0</v>
      </c>
      <c r="U1763" s="8">
        <v>3</v>
      </c>
      <c r="V1763" s="8">
        <v>7</v>
      </c>
      <c r="W1763" t="s">
        <v>473</v>
      </c>
      <c r="X1763" t="s">
        <v>473</v>
      </c>
      <c r="Y1763" t="s">
        <v>473</v>
      </c>
      <c r="Z1763" t="s">
        <v>473</v>
      </c>
      <c r="AA1763" t="s">
        <v>473</v>
      </c>
      <c r="AB1763" t="s">
        <v>473</v>
      </c>
      <c r="AC1763" s="10">
        <v>3</v>
      </c>
      <c r="AD1763" s="10">
        <v>11</v>
      </c>
      <c r="AE1763" t="s">
        <v>473</v>
      </c>
    </row>
    <row r="1764" spans="1:31" x14ac:dyDescent="0.25">
      <c r="A1764">
        <v>6616</v>
      </c>
      <c r="B1764">
        <v>1975</v>
      </c>
      <c r="C1764" t="s">
        <v>466</v>
      </c>
      <c r="D1764" t="s">
        <v>31</v>
      </c>
      <c r="E1764" t="str">
        <f>IF(OR(Table1[[#This Row],[marital_status]]="Married", Table1[[#This Row],[marital_status]]="Together"), "Partnered", "Single")</f>
        <v>Partnered</v>
      </c>
      <c r="F1764" s="7">
        <v>59481</v>
      </c>
      <c r="G1764" s="8">
        <v>0</v>
      </c>
      <c r="H1764" s="8">
        <v>1</v>
      </c>
      <c r="I1764" s="8">
        <f>Table1[[#This Row],[kids]]+Table1[[#This Row],[teens]]</f>
        <v>1</v>
      </c>
      <c r="J1764" s="9">
        <v>41570</v>
      </c>
      <c r="K1764" s="8">
        <v>47</v>
      </c>
      <c r="L1764" s="6">
        <v>178</v>
      </c>
      <c r="M1764" s="5">
        <v>3</v>
      </c>
      <c r="N1764" s="5">
        <v>85</v>
      </c>
      <c r="O1764" s="5">
        <v>71</v>
      </c>
      <c r="P1764" s="5">
        <v>66</v>
      </c>
      <c r="Q1764" s="5">
        <v>58</v>
      </c>
      <c r="R1764" s="8">
        <v>2</v>
      </c>
      <c r="S1764" s="8">
        <v>3</v>
      </c>
      <c r="T1764" s="8">
        <v>3</v>
      </c>
      <c r="U1764" s="8">
        <v>8</v>
      </c>
      <c r="V1764" s="8">
        <v>2</v>
      </c>
      <c r="W1764" t="s">
        <v>473</v>
      </c>
      <c r="X1764" t="s">
        <v>473</v>
      </c>
      <c r="Y1764" t="s">
        <v>473</v>
      </c>
      <c r="Z1764" t="s">
        <v>473</v>
      </c>
      <c r="AA1764" t="s">
        <v>473</v>
      </c>
      <c r="AB1764" t="s">
        <v>473</v>
      </c>
      <c r="AC1764" s="10">
        <v>3</v>
      </c>
      <c r="AD1764" s="10">
        <v>11</v>
      </c>
      <c r="AE1764" t="s">
        <v>473</v>
      </c>
    </row>
    <row r="1765" spans="1:31" x14ac:dyDescent="0.25">
      <c r="A1765">
        <v>2797</v>
      </c>
      <c r="B1765">
        <v>1977</v>
      </c>
      <c r="C1765" t="s">
        <v>466</v>
      </c>
      <c r="D1765" t="s">
        <v>34</v>
      </c>
      <c r="E1765" t="str">
        <f>IF(OR(Table1[[#This Row],[marital_status]]="Married", Table1[[#This Row],[marital_status]]="Together"), "Partnered", "Single")</f>
        <v>Partnered</v>
      </c>
      <c r="F1765" s="7">
        <v>72117</v>
      </c>
      <c r="G1765" s="8">
        <v>0</v>
      </c>
      <c r="H1765" s="8">
        <v>1</v>
      </c>
      <c r="I1765" s="8">
        <f>Table1[[#This Row],[kids]]+Table1[[#This Row],[teens]]</f>
        <v>1</v>
      </c>
      <c r="J1765" s="9">
        <v>41506</v>
      </c>
      <c r="K1765" s="8">
        <v>34</v>
      </c>
      <c r="L1765" s="6">
        <v>707</v>
      </c>
      <c r="M1765" s="5">
        <v>20</v>
      </c>
      <c r="N1765" s="5">
        <v>171</v>
      </c>
      <c r="O1765" s="5">
        <v>65</v>
      </c>
      <c r="P1765" s="5">
        <v>60</v>
      </c>
      <c r="Q1765" s="5">
        <v>50</v>
      </c>
      <c r="R1765" s="8">
        <v>1</v>
      </c>
      <c r="S1765" s="8">
        <v>9</v>
      </c>
      <c r="T1765" s="8">
        <v>7</v>
      </c>
      <c r="U1765" s="8">
        <v>9</v>
      </c>
      <c r="V1765" s="8">
        <v>5</v>
      </c>
      <c r="W1765" t="s">
        <v>473</v>
      </c>
      <c r="X1765" t="s">
        <v>473</v>
      </c>
      <c r="Y1765" t="s">
        <v>473</v>
      </c>
      <c r="Z1765" t="s">
        <v>473</v>
      </c>
      <c r="AA1765" t="s">
        <v>473</v>
      </c>
      <c r="AB1765" t="s">
        <v>473</v>
      </c>
      <c r="AC1765" s="10">
        <v>3</v>
      </c>
      <c r="AD1765" s="10">
        <v>11</v>
      </c>
      <c r="AE1765" t="s">
        <v>473</v>
      </c>
    </row>
    <row r="1766" spans="1:31" x14ac:dyDescent="0.25">
      <c r="A1766">
        <v>4328</v>
      </c>
      <c r="B1766">
        <v>1986</v>
      </c>
      <c r="C1766" t="s">
        <v>46</v>
      </c>
      <c r="D1766" t="s">
        <v>34</v>
      </c>
      <c r="E1766" t="str">
        <f>IF(OR(Table1[[#This Row],[marital_status]]="Married", Table1[[#This Row],[marital_status]]="Together"), "Partnered", "Single")</f>
        <v>Partnered</v>
      </c>
      <c r="F1766" s="7">
        <v>21955</v>
      </c>
      <c r="G1766" s="8">
        <v>1</v>
      </c>
      <c r="H1766" s="8">
        <v>0</v>
      </c>
      <c r="I1766" s="8">
        <f>Table1[[#This Row],[kids]]+Table1[[#This Row],[teens]]</f>
        <v>1</v>
      </c>
      <c r="J1766" s="9">
        <v>41524</v>
      </c>
      <c r="K1766" s="8">
        <v>81</v>
      </c>
      <c r="L1766" s="6">
        <v>5</v>
      </c>
      <c r="M1766" s="5">
        <v>1</v>
      </c>
      <c r="N1766" s="5">
        <v>7</v>
      </c>
      <c r="O1766" s="5">
        <v>17</v>
      </c>
      <c r="P1766" s="5">
        <v>14</v>
      </c>
      <c r="Q1766" s="5">
        <v>11</v>
      </c>
      <c r="R1766" s="8">
        <v>2</v>
      </c>
      <c r="S1766" s="8">
        <v>2</v>
      </c>
      <c r="T1766" s="8">
        <v>1</v>
      </c>
      <c r="U1766" s="8">
        <v>3</v>
      </c>
      <c r="V1766" s="8">
        <v>6</v>
      </c>
      <c r="W1766" t="s">
        <v>473</v>
      </c>
      <c r="X1766" t="s">
        <v>473</v>
      </c>
      <c r="Y1766" t="s">
        <v>473</v>
      </c>
      <c r="Z1766" t="s">
        <v>473</v>
      </c>
      <c r="AA1766" t="s">
        <v>473</v>
      </c>
      <c r="AB1766" t="s">
        <v>473</v>
      </c>
      <c r="AC1766" s="10">
        <v>3</v>
      </c>
      <c r="AD1766" s="10">
        <v>11</v>
      </c>
      <c r="AE1766" t="s">
        <v>473</v>
      </c>
    </row>
    <row r="1767" spans="1:31" x14ac:dyDescent="0.25">
      <c r="A1767">
        <v>9167</v>
      </c>
      <c r="B1767">
        <v>1956</v>
      </c>
      <c r="C1767" t="s">
        <v>466</v>
      </c>
      <c r="D1767" t="s">
        <v>34</v>
      </c>
      <c r="E1767" t="str">
        <f>IF(OR(Table1[[#This Row],[marital_status]]="Married", Table1[[#This Row],[marital_status]]="Together"), "Partnered", "Single")</f>
        <v>Partnered</v>
      </c>
      <c r="F1767" s="7">
        <v>67131</v>
      </c>
      <c r="G1767" s="8">
        <v>0</v>
      </c>
      <c r="H1767" s="8">
        <v>1</v>
      </c>
      <c r="I1767" s="8">
        <f>Table1[[#This Row],[kids]]+Table1[[#This Row],[teens]]</f>
        <v>1</v>
      </c>
      <c r="J1767" s="9">
        <v>41359</v>
      </c>
      <c r="K1767" s="8">
        <v>72</v>
      </c>
      <c r="L1767" s="6">
        <v>465</v>
      </c>
      <c r="M1767" s="5">
        <v>71</v>
      </c>
      <c r="N1767" s="5">
        <v>250</v>
      </c>
      <c r="O1767" s="5">
        <v>93</v>
      </c>
      <c r="P1767" s="5">
        <v>35</v>
      </c>
      <c r="Q1767" s="5">
        <v>62</v>
      </c>
      <c r="R1767" s="8">
        <v>3</v>
      </c>
      <c r="S1767" s="8">
        <v>9</v>
      </c>
      <c r="T1767" s="8">
        <v>2</v>
      </c>
      <c r="U1767" s="8">
        <v>12</v>
      </c>
      <c r="V1767" s="8">
        <v>6</v>
      </c>
      <c r="W1767" t="s">
        <v>473</v>
      </c>
      <c r="X1767" t="s">
        <v>473</v>
      </c>
      <c r="Y1767" t="s">
        <v>473</v>
      </c>
      <c r="Z1767" t="s">
        <v>473</v>
      </c>
      <c r="AA1767" t="s">
        <v>473</v>
      </c>
      <c r="AB1767" t="s">
        <v>473</v>
      </c>
      <c r="AC1767" s="10">
        <v>3</v>
      </c>
      <c r="AD1767" s="10">
        <v>11</v>
      </c>
      <c r="AE1767" t="s">
        <v>473</v>
      </c>
    </row>
    <row r="1768" spans="1:31" x14ac:dyDescent="0.25">
      <c r="A1768">
        <v>10560</v>
      </c>
      <c r="B1768">
        <v>1980</v>
      </c>
      <c r="C1768" t="s">
        <v>33</v>
      </c>
      <c r="D1768" t="s">
        <v>30</v>
      </c>
      <c r="E1768" t="str">
        <f>IF(OR(Table1[[#This Row],[marital_status]]="Married", Table1[[#This Row],[marital_status]]="Together"), "Partnered", "Single")</f>
        <v>Single</v>
      </c>
      <c r="F1768" s="7">
        <v>36802</v>
      </c>
      <c r="G1768" s="8">
        <v>1</v>
      </c>
      <c r="H1768" s="8">
        <v>0</v>
      </c>
      <c r="I1768" s="8">
        <f>Table1[[#This Row],[kids]]+Table1[[#This Row],[teens]]</f>
        <v>1</v>
      </c>
      <c r="J1768" s="9">
        <v>41806</v>
      </c>
      <c r="K1768" s="8">
        <v>23</v>
      </c>
      <c r="L1768" s="6">
        <v>16</v>
      </c>
      <c r="M1768" s="5">
        <v>1</v>
      </c>
      <c r="N1768" s="5">
        <v>2</v>
      </c>
      <c r="O1768" s="5">
        <v>0</v>
      </c>
      <c r="P1768" s="5">
        <v>0</v>
      </c>
      <c r="Q1768" s="5">
        <v>1</v>
      </c>
      <c r="R1768" s="8">
        <v>1</v>
      </c>
      <c r="S1768" s="8">
        <v>1</v>
      </c>
      <c r="T1768" s="8">
        <v>0</v>
      </c>
      <c r="U1768" s="8">
        <v>3</v>
      </c>
      <c r="V1768" s="8">
        <v>5</v>
      </c>
      <c r="W1768" t="s">
        <v>473</v>
      </c>
      <c r="X1768" t="s">
        <v>473</v>
      </c>
      <c r="Y1768" t="s">
        <v>473</v>
      </c>
      <c r="Z1768" t="s">
        <v>473</v>
      </c>
      <c r="AA1768" t="s">
        <v>473</v>
      </c>
      <c r="AB1768" t="s">
        <v>473</v>
      </c>
      <c r="AC1768" s="10">
        <v>3</v>
      </c>
      <c r="AD1768" s="10">
        <v>11</v>
      </c>
      <c r="AE1768" t="s">
        <v>473</v>
      </c>
    </row>
    <row r="1769" spans="1:31" x14ac:dyDescent="0.25">
      <c r="A1769">
        <v>2631</v>
      </c>
      <c r="B1769">
        <v>1982</v>
      </c>
      <c r="C1769" t="s">
        <v>466</v>
      </c>
      <c r="D1769" t="s">
        <v>31</v>
      </c>
      <c r="E1769" t="str">
        <f>IF(OR(Table1[[#This Row],[marital_status]]="Married", Table1[[#This Row],[marital_status]]="Together"), "Partnered", "Single")</f>
        <v>Partnered</v>
      </c>
      <c r="F1769" s="7">
        <v>71853</v>
      </c>
      <c r="G1769" s="8">
        <v>0</v>
      </c>
      <c r="H1769" s="8">
        <v>0</v>
      </c>
      <c r="I1769" s="8">
        <f>Table1[[#This Row],[kids]]+Table1[[#This Row],[teens]]</f>
        <v>0</v>
      </c>
      <c r="J1769" s="9">
        <v>41402</v>
      </c>
      <c r="K1769" s="8">
        <v>29</v>
      </c>
      <c r="L1769" s="6">
        <v>358</v>
      </c>
      <c r="M1769" s="5">
        <v>108</v>
      </c>
      <c r="N1769" s="5">
        <v>413</v>
      </c>
      <c r="O1769" s="5">
        <v>141</v>
      </c>
      <c r="P1769" s="5">
        <v>97</v>
      </c>
      <c r="Q1769" s="5">
        <v>32</v>
      </c>
      <c r="R1769" s="8">
        <v>1</v>
      </c>
      <c r="S1769" s="8">
        <v>2</v>
      </c>
      <c r="T1769" s="8">
        <v>8</v>
      </c>
      <c r="U1769" s="8">
        <v>6</v>
      </c>
      <c r="V1769" s="8">
        <v>1</v>
      </c>
      <c r="W1769" t="s">
        <v>473</v>
      </c>
      <c r="X1769" t="s">
        <v>473</v>
      </c>
      <c r="Y1769" t="s">
        <v>473</v>
      </c>
      <c r="Z1769" t="s">
        <v>473</v>
      </c>
      <c r="AA1769" t="s">
        <v>473</v>
      </c>
      <c r="AB1769" t="s">
        <v>473</v>
      </c>
      <c r="AC1769" s="10">
        <v>3</v>
      </c>
      <c r="AD1769" s="10">
        <v>11</v>
      </c>
      <c r="AE1769" t="s">
        <v>473</v>
      </c>
    </row>
    <row r="1770" spans="1:31" x14ac:dyDescent="0.25">
      <c r="A1770">
        <v>8312</v>
      </c>
      <c r="B1770">
        <v>1961</v>
      </c>
      <c r="C1770" t="s">
        <v>41</v>
      </c>
      <c r="D1770" t="s">
        <v>34</v>
      </c>
      <c r="E1770" t="str">
        <f>IF(OR(Table1[[#This Row],[marital_status]]="Married", Table1[[#This Row],[marital_status]]="Together"), "Partnered", "Single")</f>
        <v>Partnered</v>
      </c>
      <c r="F1770" s="7">
        <v>28249</v>
      </c>
      <c r="G1770" s="8">
        <v>0</v>
      </c>
      <c r="H1770" s="8">
        <v>0</v>
      </c>
      <c r="I1770" s="8">
        <f>Table1[[#This Row],[kids]]+Table1[[#This Row],[teens]]</f>
        <v>0</v>
      </c>
      <c r="J1770" s="9">
        <v>41805</v>
      </c>
      <c r="K1770" s="8">
        <v>80</v>
      </c>
      <c r="L1770" s="6">
        <v>1</v>
      </c>
      <c r="M1770" s="5">
        <v>9</v>
      </c>
      <c r="N1770" s="5">
        <v>7</v>
      </c>
      <c r="O1770" s="5">
        <v>2</v>
      </c>
      <c r="P1770" s="5">
        <v>14</v>
      </c>
      <c r="Q1770" s="5">
        <v>10</v>
      </c>
      <c r="R1770" s="8">
        <v>1</v>
      </c>
      <c r="S1770" s="8">
        <v>2</v>
      </c>
      <c r="T1770" s="8">
        <v>0</v>
      </c>
      <c r="U1770" s="8">
        <v>3</v>
      </c>
      <c r="V1770" s="8">
        <v>6</v>
      </c>
      <c r="W1770" t="s">
        <v>473</v>
      </c>
      <c r="X1770" t="s">
        <v>473</v>
      </c>
      <c r="Y1770" t="s">
        <v>473</v>
      </c>
      <c r="Z1770" t="s">
        <v>473</v>
      </c>
      <c r="AA1770" t="s">
        <v>473</v>
      </c>
      <c r="AB1770" t="s">
        <v>473</v>
      </c>
      <c r="AC1770" s="10">
        <v>3</v>
      </c>
      <c r="AD1770" s="10">
        <v>11</v>
      </c>
      <c r="AE1770" t="s">
        <v>473</v>
      </c>
    </row>
    <row r="1771" spans="1:31" x14ac:dyDescent="0.25">
      <c r="A1771">
        <v>5534</v>
      </c>
      <c r="B1771">
        <v>1975</v>
      </c>
      <c r="C1771" t="s">
        <v>36</v>
      </c>
      <c r="D1771" t="s">
        <v>34</v>
      </c>
      <c r="E1771" t="str">
        <f>IF(OR(Table1[[#This Row],[marital_status]]="Married", Table1[[#This Row],[marital_status]]="Together"), "Partnered", "Single")</f>
        <v>Partnered</v>
      </c>
      <c r="F1771" s="7">
        <v>47808</v>
      </c>
      <c r="G1771" s="8">
        <v>0</v>
      </c>
      <c r="H1771" s="8">
        <v>1</v>
      </c>
      <c r="I1771" s="8">
        <f>Table1[[#This Row],[kids]]+Table1[[#This Row],[teens]]</f>
        <v>1</v>
      </c>
      <c r="J1771" s="9">
        <v>41567</v>
      </c>
      <c r="K1771" s="8">
        <v>30</v>
      </c>
      <c r="L1771" s="6">
        <v>123</v>
      </c>
      <c r="M1771" s="5">
        <v>1</v>
      </c>
      <c r="N1771" s="5">
        <v>26</v>
      </c>
      <c r="O1771" s="5">
        <v>2</v>
      </c>
      <c r="P1771" s="5">
        <v>0</v>
      </c>
      <c r="Q1771" s="5">
        <v>72</v>
      </c>
      <c r="R1771" s="8">
        <v>2</v>
      </c>
      <c r="S1771" s="8">
        <v>3</v>
      </c>
      <c r="T1771" s="8">
        <v>2</v>
      </c>
      <c r="U1771" s="8">
        <v>3</v>
      </c>
      <c r="V1771" s="8">
        <v>7</v>
      </c>
      <c r="W1771" t="s">
        <v>474</v>
      </c>
      <c r="X1771" t="s">
        <v>473</v>
      </c>
      <c r="Y1771" t="s">
        <v>473</v>
      </c>
      <c r="Z1771" t="s">
        <v>473</v>
      </c>
      <c r="AA1771" t="s">
        <v>473</v>
      </c>
      <c r="AB1771" t="s">
        <v>473</v>
      </c>
      <c r="AC1771" s="10">
        <v>3</v>
      </c>
      <c r="AD1771" s="10">
        <v>11</v>
      </c>
      <c r="AE1771" t="s">
        <v>473</v>
      </c>
    </row>
    <row r="1772" spans="1:31" x14ac:dyDescent="0.25">
      <c r="A1772">
        <v>5093</v>
      </c>
      <c r="B1772">
        <v>1974</v>
      </c>
      <c r="C1772" t="s">
        <v>33</v>
      </c>
      <c r="D1772" t="s">
        <v>37</v>
      </c>
      <c r="E1772" t="str">
        <f>IF(OR(Table1[[#This Row],[marital_status]]="Married", Table1[[#This Row],[marital_status]]="Together"), "Partnered", "Single")</f>
        <v>Single</v>
      </c>
      <c r="F1772" s="7">
        <v>25509</v>
      </c>
      <c r="G1772" s="8">
        <v>1</v>
      </c>
      <c r="H1772" s="8">
        <v>0</v>
      </c>
      <c r="I1772" s="8">
        <f>Table1[[#This Row],[kids]]+Table1[[#This Row],[teens]]</f>
        <v>1</v>
      </c>
      <c r="J1772" s="9">
        <v>41170</v>
      </c>
      <c r="K1772" s="8">
        <v>15</v>
      </c>
      <c r="L1772" s="6">
        <v>40</v>
      </c>
      <c r="M1772" s="5">
        <v>3</v>
      </c>
      <c r="N1772" s="5">
        <v>30</v>
      </c>
      <c r="O1772" s="5">
        <v>10</v>
      </c>
      <c r="P1772" s="5">
        <v>7</v>
      </c>
      <c r="Q1772" s="5">
        <v>11</v>
      </c>
      <c r="R1772" s="8">
        <v>3</v>
      </c>
      <c r="S1772" s="8">
        <v>3</v>
      </c>
      <c r="T1772" s="8">
        <v>0</v>
      </c>
      <c r="U1772" s="8">
        <v>3</v>
      </c>
      <c r="V1772" s="8">
        <v>9</v>
      </c>
      <c r="W1772" t="s">
        <v>473</v>
      </c>
      <c r="X1772" t="s">
        <v>473</v>
      </c>
      <c r="Y1772" t="s">
        <v>473</v>
      </c>
      <c r="Z1772" t="s">
        <v>473</v>
      </c>
      <c r="AA1772" t="s">
        <v>473</v>
      </c>
      <c r="AB1772" t="s">
        <v>473</v>
      </c>
      <c r="AC1772" s="10">
        <v>3</v>
      </c>
      <c r="AD1772" s="10">
        <v>11</v>
      </c>
      <c r="AE1772" t="s">
        <v>474</v>
      </c>
    </row>
    <row r="1773" spans="1:31" x14ac:dyDescent="0.25">
      <c r="A1773">
        <v>7592</v>
      </c>
      <c r="B1773">
        <v>1946</v>
      </c>
      <c r="C1773" t="s">
        <v>33</v>
      </c>
      <c r="D1773" t="s">
        <v>34</v>
      </c>
      <c r="E1773" t="str">
        <f>IF(OR(Table1[[#This Row],[marital_status]]="Married", Table1[[#This Row],[marital_status]]="Together"), "Partnered", "Single")</f>
        <v>Partnered</v>
      </c>
      <c r="F1773" s="7">
        <v>51012</v>
      </c>
      <c r="G1773" s="8">
        <v>0</v>
      </c>
      <c r="H1773" s="8">
        <v>0</v>
      </c>
      <c r="I1773" s="8">
        <f>Table1[[#This Row],[kids]]+Table1[[#This Row],[teens]]</f>
        <v>0</v>
      </c>
      <c r="J1773" s="9">
        <v>41382</v>
      </c>
      <c r="K1773" s="8">
        <v>86</v>
      </c>
      <c r="L1773" s="6">
        <v>102</v>
      </c>
      <c r="M1773" s="5">
        <v>9</v>
      </c>
      <c r="N1773" s="5">
        <v>63</v>
      </c>
      <c r="O1773" s="5">
        <v>2</v>
      </c>
      <c r="P1773" s="5">
        <v>9</v>
      </c>
      <c r="Q1773" s="5">
        <v>24</v>
      </c>
      <c r="R1773" s="8">
        <v>1</v>
      </c>
      <c r="S1773" s="8">
        <v>4</v>
      </c>
      <c r="T1773" s="8">
        <v>1</v>
      </c>
      <c r="U1773" s="8">
        <v>4</v>
      </c>
      <c r="V1773" s="8">
        <v>6</v>
      </c>
      <c r="W1773" t="s">
        <v>473</v>
      </c>
      <c r="X1773" t="s">
        <v>473</v>
      </c>
      <c r="Y1773" t="s">
        <v>473</v>
      </c>
      <c r="Z1773" t="s">
        <v>473</v>
      </c>
      <c r="AA1773" t="s">
        <v>473</v>
      </c>
      <c r="AB1773" t="s">
        <v>473</v>
      </c>
      <c r="AC1773" s="10">
        <v>3</v>
      </c>
      <c r="AD1773" s="10">
        <v>11</v>
      </c>
      <c r="AE1773" t="s">
        <v>473</v>
      </c>
    </row>
    <row r="1774" spans="1:31" x14ac:dyDescent="0.25">
      <c r="A1774">
        <v>8895</v>
      </c>
      <c r="B1774">
        <v>1985</v>
      </c>
      <c r="C1774" t="s">
        <v>466</v>
      </c>
      <c r="D1774" t="s">
        <v>30</v>
      </c>
      <c r="E1774" t="str">
        <f>IF(OR(Table1[[#This Row],[marital_status]]="Married", Table1[[#This Row],[marital_status]]="Together"), "Partnered", "Single")</f>
        <v>Single</v>
      </c>
      <c r="F1774" s="7">
        <v>70596</v>
      </c>
      <c r="G1774" s="8">
        <v>0</v>
      </c>
      <c r="H1774" s="8">
        <v>0</v>
      </c>
      <c r="I1774" s="8">
        <f>Table1[[#This Row],[kids]]+Table1[[#This Row],[teens]]</f>
        <v>0</v>
      </c>
      <c r="J1774" s="9">
        <v>41187</v>
      </c>
      <c r="K1774" s="8">
        <v>68</v>
      </c>
      <c r="L1774" s="6">
        <v>347</v>
      </c>
      <c r="M1774" s="5">
        <v>44</v>
      </c>
      <c r="N1774" s="5">
        <v>534</v>
      </c>
      <c r="O1774" s="5">
        <v>17</v>
      </c>
      <c r="P1774" s="5">
        <v>0</v>
      </c>
      <c r="Q1774" s="5">
        <v>26</v>
      </c>
      <c r="R1774" s="8">
        <v>1</v>
      </c>
      <c r="S1774" s="8">
        <v>3</v>
      </c>
      <c r="T1774" s="8">
        <v>5</v>
      </c>
      <c r="U1774" s="8">
        <v>12</v>
      </c>
      <c r="V1774" s="8">
        <v>2</v>
      </c>
      <c r="W1774" t="s">
        <v>473</v>
      </c>
      <c r="X1774" t="s">
        <v>473</v>
      </c>
      <c r="Y1774" t="s">
        <v>473</v>
      </c>
      <c r="Z1774" t="s">
        <v>473</v>
      </c>
      <c r="AA1774" t="s">
        <v>473</v>
      </c>
      <c r="AB1774" t="s">
        <v>473</v>
      </c>
      <c r="AC1774" s="10">
        <v>3</v>
      </c>
      <c r="AD1774" s="10">
        <v>11</v>
      </c>
      <c r="AE1774" t="s">
        <v>473</v>
      </c>
    </row>
    <row r="1775" spans="1:31" x14ac:dyDescent="0.25">
      <c r="A1775">
        <v>8584</v>
      </c>
      <c r="B1775">
        <v>1952</v>
      </c>
      <c r="C1775" t="s">
        <v>33</v>
      </c>
      <c r="D1775" t="s">
        <v>31</v>
      </c>
      <c r="E1775" t="str">
        <f>IF(OR(Table1[[#This Row],[marital_status]]="Married", Table1[[#This Row],[marital_status]]="Together"), "Partnered", "Single")</f>
        <v>Partnered</v>
      </c>
      <c r="F1775" s="7">
        <v>85431</v>
      </c>
      <c r="G1775" s="8">
        <v>0</v>
      </c>
      <c r="H1775" s="8">
        <v>0</v>
      </c>
      <c r="I1775" s="8">
        <f>Table1[[#This Row],[kids]]+Table1[[#This Row],[teens]]</f>
        <v>0</v>
      </c>
      <c r="J1775" s="9">
        <v>41433</v>
      </c>
      <c r="K1775" s="8">
        <v>54</v>
      </c>
      <c r="L1775" s="6">
        <v>376</v>
      </c>
      <c r="M1775" s="5">
        <v>53</v>
      </c>
      <c r="N1775" s="5">
        <v>462</v>
      </c>
      <c r="O1775" s="5">
        <v>168</v>
      </c>
      <c r="P1775" s="5">
        <v>53</v>
      </c>
      <c r="Q1775" s="5">
        <v>53</v>
      </c>
      <c r="R1775" s="8">
        <v>1</v>
      </c>
      <c r="S1775" s="8">
        <v>2</v>
      </c>
      <c r="T1775" s="8">
        <v>7</v>
      </c>
      <c r="U1775" s="8">
        <v>7</v>
      </c>
      <c r="V1775" s="8">
        <v>0</v>
      </c>
      <c r="W1775" t="s">
        <v>473</v>
      </c>
      <c r="X1775" t="s">
        <v>473</v>
      </c>
      <c r="Y1775" t="s">
        <v>473</v>
      </c>
      <c r="Z1775" t="s">
        <v>473</v>
      </c>
      <c r="AA1775" t="s">
        <v>473</v>
      </c>
      <c r="AB1775" t="s">
        <v>473</v>
      </c>
      <c r="AC1775" s="10">
        <v>3</v>
      </c>
      <c r="AD1775" s="10">
        <v>11</v>
      </c>
      <c r="AE1775" t="s">
        <v>473</v>
      </c>
    </row>
    <row r="1776" spans="1:31" x14ac:dyDescent="0.25">
      <c r="A1776">
        <v>2694</v>
      </c>
      <c r="B1776">
        <v>1967</v>
      </c>
      <c r="C1776" t="s">
        <v>466</v>
      </c>
      <c r="D1776" t="s">
        <v>34</v>
      </c>
      <c r="E1776" t="str">
        <f>IF(OR(Table1[[#This Row],[marital_status]]="Married", Table1[[#This Row],[marital_status]]="Together"), "Partnered", "Single")</f>
        <v>Partnered</v>
      </c>
      <c r="F1776" s="7">
        <v>42664</v>
      </c>
      <c r="G1776" s="8">
        <v>0</v>
      </c>
      <c r="H1776" s="8">
        <v>1</v>
      </c>
      <c r="I1776" s="8">
        <f>Table1[[#This Row],[kids]]+Table1[[#This Row],[teens]]</f>
        <v>1</v>
      </c>
      <c r="J1776" s="9">
        <v>41716</v>
      </c>
      <c r="K1776" s="8">
        <v>44</v>
      </c>
      <c r="L1776" s="6">
        <v>21</v>
      </c>
      <c r="M1776" s="5">
        <v>0</v>
      </c>
      <c r="N1776" s="5">
        <v>3</v>
      </c>
      <c r="O1776" s="5">
        <v>0</v>
      </c>
      <c r="P1776" s="5">
        <v>0</v>
      </c>
      <c r="Q1776" s="5">
        <v>0</v>
      </c>
      <c r="R1776" s="8">
        <v>1</v>
      </c>
      <c r="S1776" s="8">
        <v>1</v>
      </c>
      <c r="T1776" s="8">
        <v>0</v>
      </c>
      <c r="U1776" s="8">
        <v>3</v>
      </c>
      <c r="V1776" s="8">
        <v>6</v>
      </c>
      <c r="W1776" t="s">
        <v>473</v>
      </c>
      <c r="X1776" t="s">
        <v>473</v>
      </c>
      <c r="Y1776" t="s">
        <v>473</v>
      </c>
      <c r="Z1776" t="s">
        <v>473</v>
      </c>
      <c r="AA1776" t="s">
        <v>473</v>
      </c>
      <c r="AB1776" t="s">
        <v>473</v>
      </c>
      <c r="AC1776" s="10">
        <v>3</v>
      </c>
      <c r="AD1776" s="10">
        <v>11</v>
      </c>
      <c r="AE1776" t="s">
        <v>473</v>
      </c>
    </row>
    <row r="1777" spans="1:31" x14ac:dyDescent="0.25">
      <c r="A1777">
        <v>8910</v>
      </c>
      <c r="B1777">
        <v>1955</v>
      </c>
      <c r="C1777" t="s">
        <v>466</v>
      </c>
      <c r="D1777" t="s">
        <v>31</v>
      </c>
      <c r="E1777" t="str">
        <f>IF(OR(Table1[[#This Row],[marital_status]]="Married", Table1[[#This Row],[marital_status]]="Together"), "Partnered", "Single")</f>
        <v>Partnered</v>
      </c>
      <c r="F1777" s="7">
        <v>42586</v>
      </c>
      <c r="G1777" s="8">
        <v>1</v>
      </c>
      <c r="H1777" s="8">
        <v>1</v>
      </c>
      <c r="I1777" s="8">
        <f>Table1[[#This Row],[kids]]+Table1[[#This Row],[teens]]</f>
        <v>2</v>
      </c>
      <c r="J1777" s="9">
        <v>41211</v>
      </c>
      <c r="K1777" s="8">
        <v>7</v>
      </c>
      <c r="L1777" s="6">
        <v>194</v>
      </c>
      <c r="M1777" s="5">
        <v>2</v>
      </c>
      <c r="N1777" s="5">
        <v>56</v>
      </c>
      <c r="O1777" s="5">
        <v>0</v>
      </c>
      <c r="P1777" s="5">
        <v>0</v>
      </c>
      <c r="Q1777" s="5">
        <v>0</v>
      </c>
      <c r="R1777" s="8">
        <v>5</v>
      </c>
      <c r="S1777" s="8">
        <v>4</v>
      </c>
      <c r="T1777" s="8">
        <v>1</v>
      </c>
      <c r="U1777" s="8">
        <v>6</v>
      </c>
      <c r="V1777" s="8">
        <v>8</v>
      </c>
      <c r="W1777" t="s">
        <v>473</v>
      </c>
      <c r="X1777" t="s">
        <v>473</v>
      </c>
      <c r="Y1777" t="s">
        <v>473</v>
      </c>
      <c r="Z1777" t="s">
        <v>473</v>
      </c>
      <c r="AA1777" t="s">
        <v>473</v>
      </c>
      <c r="AB1777" t="s">
        <v>473</v>
      </c>
      <c r="AC1777" s="10">
        <v>3</v>
      </c>
      <c r="AD1777" s="10">
        <v>11</v>
      </c>
      <c r="AE1777" t="s">
        <v>474</v>
      </c>
    </row>
    <row r="1778" spans="1:31" x14ac:dyDescent="0.25">
      <c r="A1778">
        <v>7433</v>
      </c>
      <c r="B1778">
        <v>1985</v>
      </c>
      <c r="C1778" t="s">
        <v>466</v>
      </c>
      <c r="D1778" t="s">
        <v>30</v>
      </c>
      <c r="E1778" t="str">
        <f>IF(OR(Table1[[#This Row],[marital_status]]="Married", Table1[[#This Row],[marital_status]]="Together"), "Partnered", "Single")</f>
        <v>Single</v>
      </c>
      <c r="F1778" s="7">
        <v>29760</v>
      </c>
      <c r="G1778" s="8">
        <v>1</v>
      </c>
      <c r="H1778" s="8">
        <v>0</v>
      </c>
      <c r="I1778" s="8">
        <f>Table1[[#This Row],[kids]]+Table1[[#This Row],[teens]]</f>
        <v>1</v>
      </c>
      <c r="J1778" s="9">
        <v>41150</v>
      </c>
      <c r="K1778" s="8">
        <v>87</v>
      </c>
      <c r="L1778" s="6">
        <v>64</v>
      </c>
      <c r="M1778" s="5">
        <v>4</v>
      </c>
      <c r="N1778" s="5">
        <v>68</v>
      </c>
      <c r="O1778" s="5">
        <v>7</v>
      </c>
      <c r="P1778" s="5">
        <v>5</v>
      </c>
      <c r="Q1778" s="5">
        <v>17</v>
      </c>
      <c r="R1778" s="8">
        <v>4</v>
      </c>
      <c r="S1778" s="8">
        <v>3</v>
      </c>
      <c r="T1778" s="8">
        <v>1</v>
      </c>
      <c r="U1778" s="8">
        <v>4</v>
      </c>
      <c r="V1778" s="8">
        <v>8</v>
      </c>
      <c r="W1778" t="s">
        <v>473</v>
      </c>
      <c r="X1778" t="s">
        <v>473</v>
      </c>
      <c r="Y1778" t="s">
        <v>473</v>
      </c>
      <c r="Z1778" t="s">
        <v>473</v>
      </c>
      <c r="AA1778" t="s">
        <v>473</v>
      </c>
      <c r="AB1778" t="s">
        <v>473</v>
      </c>
      <c r="AC1778" s="10">
        <v>3</v>
      </c>
      <c r="AD1778" s="10">
        <v>11</v>
      </c>
      <c r="AE1778" t="s">
        <v>473</v>
      </c>
    </row>
    <row r="1779" spans="1:31" x14ac:dyDescent="0.25">
      <c r="A1779">
        <v>164</v>
      </c>
      <c r="B1779">
        <v>1977</v>
      </c>
      <c r="C1779" t="s">
        <v>33</v>
      </c>
      <c r="D1779" t="s">
        <v>34</v>
      </c>
      <c r="E1779" t="str">
        <f>IF(OR(Table1[[#This Row],[marital_status]]="Married", Table1[[#This Row],[marital_status]]="Together"), "Partnered", "Single")</f>
        <v>Partnered</v>
      </c>
      <c r="F1779" s="7">
        <v>28973</v>
      </c>
      <c r="G1779" s="8">
        <v>0</v>
      </c>
      <c r="H1779" s="8">
        <v>0</v>
      </c>
      <c r="I1779" s="8">
        <f>Table1[[#This Row],[kids]]+Table1[[#This Row],[teens]]</f>
        <v>0</v>
      </c>
      <c r="J1779" s="9">
        <v>41195</v>
      </c>
      <c r="K1779" s="8">
        <v>59</v>
      </c>
      <c r="L1779" s="6">
        <v>206</v>
      </c>
      <c r="M1779" s="5">
        <v>0</v>
      </c>
      <c r="N1779" s="5">
        <v>46</v>
      </c>
      <c r="O1779" s="5">
        <v>3</v>
      </c>
      <c r="P1779" s="5">
        <v>2</v>
      </c>
      <c r="Q1779" s="5">
        <v>12</v>
      </c>
      <c r="R1779" s="8">
        <v>2</v>
      </c>
      <c r="S1779" s="8">
        <v>5</v>
      </c>
      <c r="T1779" s="8">
        <v>1</v>
      </c>
      <c r="U1779" s="8">
        <v>5</v>
      </c>
      <c r="V1779" s="8">
        <v>8</v>
      </c>
      <c r="W1779" t="s">
        <v>473</v>
      </c>
      <c r="X1779" t="s">
        <v>473</v>
      </c>
      <c r="Y1779" t="s">
        <v>473</v>
      </c>
      <c r="Z1779" t="s">
        <v>473</v>
      </c>
      <c r="AA1779" t="s">
        <v>473</v>
      </c>
      <c r="AB1779" t="s">
        <v>473</v>
      </c>
      <c r="AC1779" s="10">
        <v>3</v>
      </c>
      <c r="AD1779" s="10">
        <v>11</v>
      </c>
      <c r="AE1779" t="s">
        <v>473</v>
      </c>
    </row>
    <row r="1780" spans="1:31" x14ac:dyDescent="0.25">
      <c r="A1780">
        <v>10477</v>
      </c>
      <c r="B1780">
        <v>1973</v>
      </c>
      <c r="C1780" t="s">
        <v>33</v>
      </c>
      <c r="D1780" t="s">
        <v>31</v>
      </c>
      <c r="E1780" t="str">
        <f>IF(OR(Table1[[#This Row],[marital_status]]="Married", Table1[[#This Row],[marital_status]]="Together"), "Partnered", "Single")</f>
        <v>Partnered</v>
      </c>
      <c r="F1780" s="7">
        <v>39435</v>
      </c>
      <c r="G1780" s="8">
        <v>1</v>
      </c>
      <c r="H1780" s="8">
        <v>0</v>
      </c>
      <c r="I1780" s="8">
        <f>Table1[[#This Row],[kids]]+Table1[[#This Row],[teens]]</f>
        <v>1</v>
      </c>
      <c r="J1780" s="9">
        <v>41492</v>
      </c>
      <c r="K1780" s="8">
        <v>16</v>
      </c>
      <c r="L1780" s="6">
        <v>71</v>
      </c>
      <c r="M1780" s="5">
        <v>0</v>
      </c>
      <c r="N1780" s="5">
        <v>18</v>
      </c>
      <c r="O1780" s="5">
        <v>0</v>
      </c>
      <c r="P1780" s="5">
        <v>0</v>
      </c>
      <c r="Q1780" s="5">
        <v>13</v>
      </c>
      <c r="R1780" s="8">
        <v>1</v>
      </c>
      <c r="S1780" s="8">
        <v>3</v>
      </c>
      <c r="T1780" s="8">
        <v>1</v>
      </c>
      <c r="U1780" s="8">
        <v>2</v>
      </c>
      <c r="V1780" s="8">
        <v>7</v>
      </c>
      <c r="W1780" t="s">
        <v>473</v>
      </c>
      <c r="X1780" t="s">
        <v>473</v>
      </c>
      <c r="Y1780" t="s">
        <v>473</v>
      </c>
      <c r="Z1780" t="s">
        <v>473</v>
      </c>
      <c r="AA1780" t="s">
        <v>473</v>
      </c>
      <c r="AB1780" t="s">
        <v>473</v>
      </c>
      <c r="AC1780" s="10">
        <v>3</v>
      </c>
      <c r="AD1780" s="10">
        <v>11</v>
      </c>
      <c r="AE1780" t="s">
        <v>473</v>
      </c>
    </row>
    <row r="1781" spans="1:31" x14ac:dyDescent="0.25">
      <c r="A1781">
        <v>2681</v>
      </c>
      <c r="B1781">
        <v>1984</v>
      </c>
      <c r="C1781" t="s">
        <v>46</v>
      </c>
      <c r="D1781" t="s">
        <v>34</v>
      </c>
      <c r="E1781" t="str">
        <f>IF(OR(Table1[[#This Row],[marital_status]]="Married", Table1[[#This Row],[marital_status]]="Together"), "Partnered", "Single")</f>
        <v>Partnered</v>
      </c>
      <c r="F1781" s="7">
        <v>65370</v>
      </c>
      <c r="G1781" s="8">
        <v>0</v>
      </c>
      <c r="H1781" s="8">
        <v>0</v>
      </c>
      <c r="I1781" s="8">
        <f>Table1[[#This Row],[kids]]+Table1[[#This Row],[teens]]</f>
        <v>0</v>
      </c>
      <c r="J1781" s="9">
        <v>41487</v>
      </c>
      <c r="K1781" s="8">
        <v>1</v>
      </c>
      <c r="L1781" s="6">
        <v>71</v>
      </c>
      <c r="M1781" s="5">
        <v>22</v>
      </c>
      <c r="N1781" s="5">
        <v>112</v>
      </c>
      <c r="O1781" s="5">
        <v>138</v>
      </c>
      <c r="P1781" s="5">
        <v>89</v>
      </c>
      <c r="Q1781" s="5">
        <v>29</v>
      </c>
      <c r="R1781" s="8">
        <v>1</v>
      </c>
      <c r="S1781" s="8">
        <v>2</v>
      </c>
      <c r="T1781" s="8">
        <v>3</v>
      </c>
      <c r="U1781" s="8">
        <v>13</v>
      </c>
      <c r="V1781" s="8">
        <v>1</v>
      </c>
      <c r="W1781" t="s">
        <v>473</v>
      </c>
      <c r="X1781" t="s">
        <v>473</v>
      </c>
      <c r="Y1781" t="s">
        <v>473</v>
      </c>
      <c r="Z1781" t="s">
        <v>473</v>
      </c>
      <c r="AA1781" t="s">
        <v>473</v>
      </c>
      <c r="AB1781" t="s">
        <v>473</v>
      </c>
      <c r="AC1781" s="10">
        <v>3</v>
      </c>
      <c r="AD1781" s="10">
        <v>11</v>
      </c>
      <c r="AE1781" t="s">
        <v>473</v>
      </c>
    </row>
    <row r="1782" spans="1:31" x14ac:dyDescent="0.25">
      <c r="A1782">
        <v>5150</v>
      </c>
      <c r="B1782">
        <v>1979</v>
      </c>
      <c r="C1782" t="s">
        <v>41</v>
      </c>
      <c r="D1782" t="s">
        <v>30</v>
      </c>
      <c r="E1782" t="str">
        <f>IF(OR(Table1[[#This Row],[marital_status]]="Married", Table1[[#This Row],[marital_status]]="Together"), "Partnered", "Single")</f>
        <v>Single</v>
      </c>
      <c r="F1782" s="7">
        <v>20194</v>
      </c>
      <c r="G1782" s="8">
        <v>1</v>
      </c>
      <c r="H1782" s="8">
        <v>0</v>
      </c>
      <c r="I1782" s="8">
        <f>Table1[[#This Row],[kids]]+Table1[[#This Row],[teens]]</f>
        <v>1</v>
      </c>
      <c r="J1782" s="9">
        <v>41260</v>
      </c>
      <c r="K1782" s="8">
        <v>64</v>
      </c>
      <c r="L1782" s="6">
        <v>0</v>
      </c>
      <c r="M1782" s="5">
        <v>4</v>
      </c>
      <c r="N1782" s="5">
        <v>7</v>
      </c>
      <c r="O1782" s="5">
        <v>11</v>
      </c>
      <c r="P1782" s="5">
        <v>10</v>
      </c>
      <c r="Q1782" s="5">
        <v>15</v>
      </c>
      <c r="R1782" s="8">
        <v>2</v>
      </c>
      <c r="S1782" s="8">
        <v>2</v>
      </c>
      <c r="T1782" s="8">
        <v>0</v>
      </c>
      <c r="U1782" s="8">
        <v>3</v>
      </c>
      <c r="V1782" s="8">
        <v>6</v>
      </c>
      <c r="W1782" t="s">
        <v>473</v>
      </c>
      <c r="X1782" t="s">
        <v>473</v>
      </c>
      <c r="Y1782" t="s">
        <v>473</v>
      </c>
      <c r="Z1782" t="s">
        <v>473</v>
      </c>
      <c r="AA1782" t="s">
        <v>473</v>
      </c>
      <c r="AB1782" t="s">
        <v>473</v>
      </c>
      <c r="AC1782" s="10">
        <v>3</v>
      </c>
      <c r="AD1782" s="10">
        <v>11</v>
      </c>
      <c r="AE1782" t="s">
        <v>473</v>
      </c>
    </row>
    <row r="1783" spans="1:31" x14ac:dyDescent="0.25">
      <c r="A1783">
        <v>5283</v>
      </c>
      <c r="B1783">
        <v>1976</v>
      </c>
      <c r="C1783" t="s">
        <v>33</v>
      </c>
      <c r="D1783" t="s">
        <v>30</v>
      </c>
      <c r="E1783" t="str">
        <f>IF(OR(Table1[[#This Row],[marital_status]]="Married", Table1[[#This Row],[marital_status]]="Together"), "Partnered", "Single")</f>
        <v>Single</v>
      </c>
      <c r="F1783" s="7">
        <v>42473</v>
      </c>
      <c r="G1783" s="8">
        <v>1</v>
      </c>
      <c r="H1783" s="8">
        <v>1</v>
      </c>
      <c r="I1783" s="8">
        <f>Table1[[#This Row],[kids]]+Table1[[#This Row],[teens]]</f>
        <v>2</v>
      </c>
      <c r="J1783" s="9">
        <v>41687</v>
      </c>
      <c r="K1783" s="8">
        <v>72</v>
      </c>
      <c r="L1783" s="6">
        <v>93</v>
      </c>
      <c r="M1783" s="5">
        <v>1</v>
      </c>
      <c r="N1783" s="5">
        <v>21</v>
      </c>
      <c r="O1783" s="5">
        <v>0</v>
      </c>
      <c r="P1783" s="5">
        <v>4</v>
      </c>
      <c r="Q1783" s="5">
        <v>25</v>
      </c>
      <c r="R1783" s="8">
        <v>3</v>
      </c>
      <c r="S1783" s="8">
        <v>2</v>
      </c>
      <c r="T1783" s="8">
        <v>1</v>
      </c>
      <c r="U1783" s="8">
        <v>4</v>
      </c>
      <c r="V1783" s="8">
        <v>5</v>
      </c>
      <c r="W1783" t="s">
        <v>473</v>
      </c>
      <c r="X1783" t="s">
        <v>473</v>
      </c>
      <c r="Y1783" t="s">
        <v>473</v>
      </c>
      <c r="Z1783" t="s">
        <v>473</v>
      </c>
      <c r="AA1783" t="s">
        <v>473</v>
      </c>
      <c r="AB1783" t="s">
        <v>473</v>
      </c>
      <c r="AC1783" s="10">
        <v>3</v>
      </c>
      <c r="AD1783" s="10">
        <v>11</v>
      </c>
      <c r="AE1783" t="s">
        <v>473</v>
      </c>
    </row>
    <row r="1784" spans="1:31" x14ac:dyDescent="0.25">
      <c r="A1784">
        <v>9645</v>
      </c>
      <c r="B1784">
        <v>1968</v>
      </c>
      <c r="C1784" t="s">
        <v>466</v>
      </c>
      <c r="D1784" t="s">
        <v>34</v>
      </c>
      <c r="E1784" t="str">
        <f>IF(OR(Table1[[#This Row],[marital_status]]="Married", Table1[[#This Row],[marital_status]]="Together"), "Partnered", "Single")</f>
        <v>Partnered</v>
      </c>
      <c r="F1784" s="7">
        <v>64590</v>
      </c>
      <c r="G1784" s="8">
        <v>0</v>
      </c>
      <c r="H1784" s="8">
        <v>0</v>
      </c>
      <c r="I1784" s="8">
        <f>Table1[[#This Row],[kids]]+Table1[[#This Row],[teens]]</f>
        <v>0</v>
      </c>
      <c r="J1784" s="9">
        <v>41196</v>
      </c>
      <c r="K1784" s="8">
        <v>98</v>
      </c>
      <c r="L1784" s="6">
        <v>920</v>
      </c>
      <c r="M1784" s="5">
        <v>138</v>
      </c>
      <c r="N1784" s="5">
        <v>168</v>
      </c>
      <c r="O1784" s="5">
        <v>36</v>
      </c>
      <c r="P1784" s="5">
        <v>46</v>
      </c>
      <c r="Q1784" s="5">
        <v>30</v>
      </c>
      <c r="R1784" s="8">
        <v>1</v>
      </c>
      <c r="S1784" s="8">
        <v>9</v>
      </c>
      <c r="T1784" s="8">
        <v>4</v>
      </c>
      <c r="U1784" s="8">
        <v>10</v>
      </c>
      <c r="V1784" s="8">
        <v>6</v>
      </c>
      <c r="W1784" t="s">
        <v>473</v>
      </c>
      <c r="X1784" t="s">
        <v>473</v>
      </c>
      <c r="Y1784" t="s">
        <v>473</v>
      </c>
      <c r="Z1784" t="s">
        <v>473</v>
      </c>
      <c r="AA1784" t="s">
        <v>473</v>
      </c>
      <c r="AB1784" t="s">
        <v>473</v>
      </c>
      <c r="AC1784" s="10">
        <v>3</v>
      </c>
      <c r="AD1784" s="10">
        <v>11</v>
      </c>
      <c r="AE1784" t="s">
        <v>473</v>
      </c>
    </row>
    <row r="1785" spans="1:31" x14ac:dyDescent="0.25">
      <c r="A1785">
        <v>10678</v>
      </c>
      <c r="B1785">
        <v>1959</v>
      </c>
      <c r="C1785" t="s">
        <v>466</v>
      </c>
      <c r="D1785" t="s">
        <v>31</v>
      </c>
      <c r="E1785" t="str">
        <f>IF(OR(Table1[[#This Row],[marital_status]]="Married", Table1[[#This Row],[marital_status]]="Together"), "Partnered", "Single")</f>
        <v>Partnered</v>
      </c>
      <c r="F1785" s="7">
        <v>71232</v>
      </c>
      <c r="G1785" s="8">
        <v>0</v>
      </c>
      <c r="H1785" s="8">
        <v>1</v>
      </c>
      <c r="I1785" s="8">
        <f>Table1[[#This Row],[kids]]+Table1[[#This Row],[teens]]</f>
        <v>1</v>
      </c>
      <c r="J1785" s="9">
        <v>41606</v>
      </c>
      <c r="K1785" s="8">
        <v>91</v>
      </c>
      <c r="L1785" s="6">
        <v>653</v>
      </c>
      <c r="M1785" s="5">
        <v>17</v>
      </c>
      <c r="N1785" s="5">
        <v>170</v>
      </c>
      <c r="O1785" s="5">
        <v>34</v>
      </c>
      <c r="P1785" s="5">
        <v>26</v>
      </c>
      <c r="Q1785" s="5">
        <v>17</v>
      </c>
      <c r="R1785" s="8">
        <v>2</v>
      </c>
      <c r="S1785" s="8">
        <v>11</v>
      </c>
      <c r="T1785" s="8">
        <v>2</v>
      </c>
      <c r="U1785" s="8">
        <v>10</v>
      </c>
      <c r="V1785" s="8">
        <v>7</v>
      </c>
      <c r="W1785" t="s">
        <v>473</v>
      </c>
      <c r="X1785" t="s">
        <v>473</v>
      </c>
      <c r="Y1785" t="s">
        <v>473</v>
      </c>
      <c r="Z1785" t="s">
        <v>473</v>
      </c>
      <c r="AA1785" t="s">
        <v>473</v>
      </c>
      <c r="AB1785" t="s">
        <v>473</v>
      </c>
      <c r="AC1785" s="10">
        <v>3</v>
      </c>
      <c r="AD1785" s="10">
        <v>11</v>
      </c>
      <c r="AE1785" t="s">
        <v>473</v>
      </c>
    </row>
    <row r="1786" spans="1:31" x14ac:dyDescent="0.25">
      <c r="A1786">
        <v>7261</v>
      </c>
      <c r="B1786">
        <v>1971</v>
      </c>
      <c r="C1786" t="s">
        <v>466</v>
      </c>
      <c r="D1786" t="s">
        <v>31</v>
      </c>
      <c r="E1786" t="str">
        <f>IF(OR(Table1[[#This Row],[marital_status]]="Married", Table1[[#This Row],[marital_status]]="Together"), "Partnered", "Single")</f>
        <v>Partnered</v>
      </c>
      <c r="F1786" s="7">
        <v>34600</v>
      </c>
      <c r="G1786" s="8">
        <v>1</v>
      </c>
      <c r="H1786" s="8">
        <v>1</v>
      </c>
      <c r="I1786" s="8">
        <f>Table1[[#This Row],[kids]]+Table1[[#This Row],[teens]]</f>
        <v>2</v>
      </c>
      <c r="J1786" s="9">
        <v>41275</v>
      </c>
      <c r="K1786" s="8">
        <v>8</v>
      </c>
      <c r="L1786" s="6">
        <v>199</v>
      </c>
      <c r="M1786" s="5">
        <v>33</v>
      </c>
      <c r="N1786" s="5">
        <v>60</v>
      </c>
      <c r="O1786" s="5">
        <v>8</v>
      </c>
      <c r="P1786" s="5">
        <v>3</v>
      </c>
      <c r="Q1786" s="5">
        <v>15</v>
      </c>
      <c r="R1786" s="8">
        <v>5</v>
      </c>
      <c r="S1786" s="8">
        <v>5</v>
      </c>
      <c r="T1786" s="8">
        <v>2</v>
      </c>
      <c r="U1786" s="8">
        <v>5</v>
      </c>
      <c r="V1786" s="8">
        <v>8</v>
      </c>
      <c r="W1786" t="s">
        <v>473</v>
      </c>
      <c r="X1786" t="s">
        <v>473</v>
      </c>
      <c r="Y1786" t="s">
        <v>473</v>
      </c>
      <c r="Z1786" t="s">
        <v>473</v>
      </c>
      <c r="AA1786" t="s">
        <v>473</v>
      </c>
      <c r="AB1786" t="s">
        <v>473</v>
      </c>
      <c r="AC1786" s="10">
        <v>3</v>
      </c>
      <c r="AD1786" s="10">
        <v>11</v>
      </c>
      <c r="AE1786" t="s">
        <v>474</v>
      </c>
    </row>
    <row r="1787" spans="1:31" x14ac:dyDescent="0.25">
      <c r="A1787">
        <v>9648</v>
      </c>
      <c r="B1787">
        <v>1967</v>
      </c>
      <c r="C1787" t="s">
        <v>466</v>
      </c>
      <c r="D1787" t="s">
        <v>30</v>
      </c>
      <c r="E1787" t="str">
        <f>IF(OR(Table1[[#This Row],[marital_status]]="Married", Table1[[#This Row],[marital_status]]="Together"), "Partnered", "Single")</f>
        <v>Single</v>
      </c>
      <c r="F1787" s="7">
        <v>46904</v>
      </c>
      <c r="G1787" s="8">
        <v>1</v>
      </c>
      <c r="H1787" s="8">
        <v>1</v>
      </c>
      <c r="I1787" s="8">
        <f>Table1[[#This Row],[kids]]+Table1[[#This Row],[teens]]</f>
        <v>2</v>
      </c>
      <c r="J1787" s="9">
        <v>41216</v>
      </c>
      <c r="K1787" s="8">
        <v>20</v>
      </c>
      <c r="L1787" s="6">
        <v>153</v>
      </c>
      <c r="M1787" s="5">
        <v>4</v>
      </c>
      <c r="N1787" s="5">
        <v>56</v>
      </c>
      <c r="O1787" s="5">
        <v>0</v>
      </c>
      <c r="P1787" s="5">
        <v>9</v>
      </c>
      <c r="Q1787" s="5">
        <v>31</v>
      </c>
      <c r="R1787" s="8">
        <v>4</v>
      </c>
      <c r="S1787" s="8">
        <v>5</v>
      </c>
      <c r="T1787" s="8">
        <v>1</v>
      </c>
      <c r="U1787" s="8">
        <v>4</v>
      </c>
      <c r="V1787" s="8">
        <v>8</v>
      </c>
      <c r="W1787" t="s">
        <v>473</v>
      </c>
      <c r="X1787" t="s">
        <v>473</v>
      </c>
      <c r="Y1787" t="s">
        <v>473</v>
      </c>
      <c r="Z1787" t="s">
        <v>473</v>
      </c>
      <c r="AA1787" t="s">
        <v>473</v>
      </c>
      <c r="AB1787" t="s">
        <v>473</v>
      </c>
      <c r="AC1787" s="10">
        <v>3</v>
      </c>
      <c r="AD1787" s="10">
        <v>11</v>
      </c>
      <c r="AE1787" t="s">
        <v>473</v>
      </c>
    </row>
    <row r="1788" spans="1:31" x14ac:dyDescent="0.25">
      <c r="A1788">
        <v>2870</v>
      </c>
      <c r="B1788">
        <v>1973</v>
      </c>
      <c r="C1788" t="s">
        <v>466</v>
      </c>
      <c r="D1788" t="s">
        <v>34</v>
      </c>
      <c r="E1788" t="str">
        <f>IF(OR(Table1[[#This Row],[marital_status]]="Married", Table1[[#This Row],[marital_status]]="Together"), "Partnered", "Single")</f>
        <v>Partnered</v>
      </c>
      <c r="F1788" s="7">
        <v>49094</v>
      </c>
      <c r="G1788" s="8">
        <v>0</v>
      </c>
      <c r="H1788" s="8">
        <v>1</v>
      </c>
      <c r="I1788" s="8">
        <f>Table1[[#This Row],[kids]]+Table1[[#This Row],[teens]]</f>
        <v>1</v>
      </c>
      <c r="J1788" s="9">
        <v>41173</v>
      </c>
      <c r="K1788" s="8">
        <v>6</v>
      </c>
      <c r="L1788" s="6">
        <v>376</v>
      </c>
      <c r="M1788" s="5">
        <v>0</v>
      </c>
      <c r="N1788" s="5">
        <v>38</v>
      </c>
      <c r="O1788" s="5">
        <v>11</v>
      </c>
      <c r="P1788" s="5">
        <v>8</v>
      </c>
      <c r="Q1788" s="5">
        <v>69</v>
      </c>
      <c r="R1788" s="8">
        <v>5</v>
      </c>
      <c r="S1788" s="8">
        <v>6</v>
      </c>
      <c r="T1788" s="8">
        <v>3</v>
      </c>
      <c r="U1788" s="8">
        <v>6</v>
      </c>
      <c r="V1788" s="8">
        <v>6</v>
      </c>
      <c r="W1788" t="s">
        <v>473</v>
      </c>
      <c r="X1788" t="s">
        <v>473</v>
      </c>
      <c r="Y1788" t="s">
        <v>473</v>
      </c>
      <c r="Z1788" t="s">
        <v>473</v>
      </c>
      <c r="AA1788" t="s">
        <v>473</v>
      </c>
      <c r="AB1788" t="s">
        <v>473</v>
      </c>
      <c r="AC1788" s="10">
        <v>3</v>
      </c>
      <c r="AD1788" s="10">
        <v>11</v>
      </c>
      <c r="AE1788" t="s">
        <v>473</v>
      </c>
    </row>
    <row r="1789" spans="1:31" x14ac:dyDescent="0.25">
      <c r="A1789">
        <v>8008</v>
      </c>
      <c r="B1789">
        <v>1983</v>
      </c>
      <c r="C1789" t="s">
        <v>466</v>
      </c>
      <c r="D1789" t="s">
        <v>31</v>
      </c>
      <c r="E1789" t="str">
        <f>IF(OR(Table1[[#This Row],[marital_status]]="Married", Table1[[#This Row],[marital_status]]="Together"), "Partnered", "Single")</f>
        <v>Partnered</v>
      </c>
      <c r="F1789" s="7">
        <v>36075</v>
      </c>
      <c r="G1789" s="8">
        <v>1</v>
      </c>
      <c r="H1789" s="8">
        <v>0</v>
      </c>
      <c r="I1789" s="8">
        <f>Table1[[#This Row],[kids]]+Table1[[#This Row],[teens]]</f>
        <v>1</v>
      </c>
      <c r="J1789" s="9">
        <v>41617</v>
      </c>
      <c r="K1789" s="8">
        <v>54</v>
      </c>
      <c r="L1789" s="6">
        <v>46</v>
      </c>
      <c r="M1789" s="5">
        <v>0</v>
      </c>
      <c r="N1789" s="5">
        <v>30</v>
      </c>
      <c r="O1789" s="5">
        <v>12</v>
      </c>
      <c r="P1789" s="5">
        <v>1</v>
      </c>
      <c r="Q1789" s="5">
        <v>30</v>
      </c>
      <c r="R1789" s="8">
        <v>1</v>
      </c>
      <c r="S1789" s="8">
        <v>2</v>
      </c>
      <c r="T1789" s="8">
        <v>0</v>
      </c>
      <c r="U1789" s="8">
        <v>4</v>
      </c>
      <c r="V1789" s="8">
        <v>6</v>
      </c>
      <c r="W1789" t="s">
        <v>473</v>
      </c>
      <c r="X1789" t="s">
        <v>473</v>
      </c>
      <c r="Y1789" t="s">
        <v>473</v>
      </c>
      <c r="Z1789" t="s">
        <v>473</v>
      </c>
      <c r="AA1789" t="s">
        <v>473</v>
      </c>
      <c r="AB1789" t="s">
        <v>473</v>
      </c>
      <c r="AC1789" s="10">
        <v>3</v>
      </c>
      <c r="AD1789" s="10">
        <v>11</v>
      </c>
      <c r="AE1789" t="s">
        <v>473</v>
      </c>
    </row>
    <row r="1790" spans="1:31" x14ac:dyDescent="0.25">
      <c r="A1790">
        <v>1513</v>
      </c>
      <c r="B1790">
        <v>1979</v>
      </c>
      <c r="C1790" t="s">
        <v>46</v>
      </c>
      <c r="D1790" t="s">
        <v>31</v>
      </c>
      <c r="E1790" t="str">
        <f>IF(OR(Table1[[#This Row],[marital_status]]="Married", Table1[[#This Row],[marital_status]]="Together"), "Partnered", "Single")</f>
        <v>Partnered</v>
      </c>
      <c r="F1790" s="7">
        <v>60839</v>
      </c>
      <c r="G1790" s="8">
        <v>1</v>
      </c>
      <c r="H1790" s="8">
        <v>1</v>
      </c>
      <c r="I1790" s="8">
        <f>Table1[[#This Row],[kids]]+Table1[[#This Row],[teens]]</f>
        <v>2</v>
      </c>
      <c r="J1790" s="9">
        <v>41149</v>
      </c>
      <c r="K1790" s="8">
        <v>72</v>
      </c>
      <c r="L1790" s="6">
        <v>600</v>
      </c>
      <c r="M1790" s="5">
        <v>21</v>
      </c>
      <c r="N1790" s="5">
        <v>128</v>
      </c>
      <c r="O1790" s="5">
        <v>223</v>
      </c>
      <c r="P1790" s="5">
        <v>150</v>
      </c>
      <c r="Q1790" s="5">
        <v>128</v>
      </c>
      <c r="R1790" s="8">
        <v>13</v>
      </c>
      <c r="S1790" s="8">
        <v>2</v>
      </c>
      <c r="T1790" s="8">
        <v>2</v>
      </c>
      <c r="U1790" s="8">
        <v>12</v>
      </c>
      <c r="V1790" s="8">
        <v>8</v>
      </c>
      <c r="W1790" t="s">
        <v>473</v>
      </c>
      <c r="X1790" t="s">
        <v>473</v>
      </c>
      <c r="Y1790" t="s">
        <v>473</v>
      </c>
      <c r="Z1790" t="s">
        <v>473</v>
      </c>
      <c r="AA1790" t="s">
        <v>473</v>
      </c>
      <c r="AB1790" t="s">
        <v>473</v>
      </c>
      <c r="AC1790" s="10">
        <v>3</v>
      </c>
      <c r="AD1790" s="10">
        <v>11</v>
      </c>
      <c r="AE1790" t="s">
        <v>473</v>
      </c>
    </row>
    <row r="1791" spans="1:31" x14ac:dyDescent="0.25">
      <c r="A1791">
        <v>6173</v>
      </c>
      <c r="B1791">
        <v>1979</v>
      </c>
      <c r="C1791" t="s">
        <v>466</v>
      </c>
      <c r="D1791" t="s">
        <v>31</v>
      </c>
      <c r="E1791" t="str">
        <f>IF(OR(Table1[[#This Row],[marital_status]]="Married", Table1[[#This Row],[marital_status]]="Together"), "Partnered", "Single")</f>
        <v>Partnered</v>
      </c>
      <c r="F1791" s="7">
        <v>77298</v>
      </c>
      <c r="G1791" s="8">
        <v>0</v>
      </c>
      <c r="H1791" s="8">
        <v>1</v>
      </c>
      <c r="I1791" s="8">
        <f>Table1[[#This Row],[kids]]+Table1[[#This Row],[teens]]</f>
        <v>1</v>
      </c>
      <c r="J1791" s="9">
        <v>41580</v>
      </c>
      <c r="K1791" s="8">
        <v>46</v>
      </c>
      <c r="L1791" s="6">
        <v>425</v>
      </c>
      <c r="M1791" s="5">
        <v>115</v>
      </c>
      <c r="N1791" s="5">
        <v>292</v>
      </c>
      <c r="O1791" s="5">
        <v>23</v>
      </c>
      <c r="P1791" s="5">
        <v>35</v>
      </c>
      <c r="Q1791" s="5">
        <v>79</v>
      </c>
      <c r="R1791" s="8">
        <v>1</v>
      </c>
      <c r="S1791" s="8">
        <v>6</v>
      </c>
      <c r="T1791" s="8">
        <v>6</v>
      </c>
      <c r="U1791" s="8">
        <v>11</v>
      </c>
      <c r="V1791" s="8">
        <v>3</v>
      </c>
      <c r="W1791" t="s">
        <v>473</v>
      </c>
      <c r="X1791" t="s">
        <v>473</v>
      </c>
      <c r="Y1791" t="s">
        <v>473</v>
      </c>
      <c r="Z1791" t="s">
        <v>473</v>
      </c>
      <c r="AA1791" t="s">
        <v>473</v>
      </c>
      <c r="AB1791" t="s">
        <v>473</v>
      </c>
      <c r="AC1791" s="10">
        <v>3</v>
      </c>
      <c r="AD1791" s="10">
        <v>11</v>
      </c>
      <c r="AE1791" t="s">
        <v>473</v>
      </c>
    </row>
    <row r="1792" spans="1:31" x14ac:dyDescent="0.25">
      <c r="A1792">
        <v>1419</v>
      </c>
      <c r="B1792">
        <v>1950</v>
      </c>
      <c r="C1792" t="s">
        <v>466</v>
      </c>
      <c r="D1792" t="s">
        <v>31</v>
      </c>
      <c r="E1792" t="str">
        <f>IF(OR(Table1[[#This Row],[marital_status]]="Married", Table1[[#This Row],[marital_status]]="Together"), "Partnered", "Single")</f>
        <v>Partnered</v>
      </c>
      <c r="F1792" s="7">
        <v>34026</v>
      </c>
      <c r="G1792" s="8">
        <v>1</v>
      </c>
      <c r="H1792" s="8">
        <v>1</v>
      </c>
      <c r="I1792" s="8">
        <f>Table1[[#This Row],[kids]]+Table1[[#This Row],[teens]]</f>
        <v>2</v>
      </c>
      <c r="J1792" s="9">
        <v>41491</v>
      </c>
      <c r="K1792" s="8">
        <v>11</v>
      </c>
      <c r="L1792" s="6">
        <v>18</v>
      </c>
      <c r="M1792" s="5">
        <v>6</v>
      </c>
      <c r="N1792" s="5">
        <v>15</v>
      </c>
      <c r="O1792" s="5">
        <v>12</v>
      </c>
      <c r="P1792" s="5">
        <v>8</v>
      </c>
      <c r="Q1792" s="5">
        <v>17</v>
      </c>
      <c r="R1792" s="8">
        <v>3</v>
      </c>
      <c r="S1792" s="8">
        <v>2</v>
      </c>
      <c r="T1792" s="8">
        <v>1</v>
      </c>
      <c r="U1792" s="8">
        <v>3</v>
      </c>
      <c r="V1792" s="8">
        <v>5</v>
      </c>
      <c r="W1792" t="s">
        <v>473</v>
      </c>
      <c r="X1792" t="s">
        <v>473</v>
      </c>
      <c r="Y1792" t="s">
        <v>473</v>
      </c>
      <c r="Z1792" t="s">
        <v>473</v>
      </c>
      <c r="AA1792" t="s">
        <v>473</v>
      </c>
      <c r="AB1792" t="s">
        <v>473</v>
      </c>
      <c r="AC1792" s="10">
        <v>3</v>
      </c>
      <c r="AD1792" s="10">
        <v>11</v>
      </c>
      <c r="AE1792" t="s">
        <v>473</v>
      </c>
    </row>
    <row r="1793" spans="1:31" x14ac:dyDescent="0.25">
      <c r="A1793">
        <v>9150</v>
      </c>
      <c r="B1793">
        <v>1963</v>
      </c>
      <c r="C1793" t="s">
        <v>33</v>
      </c>
      <c r="D1793" t="s">
        <v>30</v>
      </c>
      <c r="E1793" t="str">
        <f>IF(OR(Table1[[#This Row],[marital_status]]="Married", Table1[[#This Row],[marital_status]]="Together"), "Partnered", "Single")</f>
        <v>Single</v>
      </c>
      <c r="F1793" s="7">
        <v>48918</v>
      </c>
      <c r="G1793" s="8">
        <v>1</v>
      </c>
      <c r="H1793" s="8">
        <v>1</v>
      </c>
      <c r="I1793" s="8">
        <f>Table1[[#This Row],[kids]]+Table1[[#This Row],[teens]]</f>
        <v>2</v>
      </c>
      <c r="J1793" s="9">
        <v>41741</v>
      </c>
      <c r="K1793" s="8">
        <v>21</v>
      </c>
      <c r="L1793" s="6">
        <v>52</v>
      </c>
      <c r="M1793" s="5">
        <v>0</v>
      </c>
      <c r="N1793" s="5">
        <v>9</v>
      </c>
      <c r="O1793" s="5">
        <v>0</v>
      </c>
      <c r="P1793" s="5">
        <v>0</v>
      </c>
      <c r="Q1793" s="5">
        <v>1</v>
      </c>
      <c r="R1793" s="8">
        <v>2</v>
      </c>
      <c r="S1793" s="8">
        <v>1</v>
      </c>
      <c r="T1793" s="8">
        <v>0</v>
      </c>
      <c r="U1793" s="8">
        <v>4</v>
      </c>
      <c r="V1793" s="8">
        <v>4</v>
      </c>
      <c r="W1793" t="s">
        <v>473</v>
      </c>
      <c r="X1793" t="s">
        <v>473</v>
      </c>
      <c r="Y1793" t="s">
        <v>473</v>
      </c>
      <c r="Z1793" t="s">
        <v>473</v>
      </c>
      <c r="AA1793" t="s">
        <v>473</v>
      </c>
      <c r="AB1793" t="s">
        <v>473</v>
      </c>
      <c r="AC1793" s="10">
        <v>3</v>
      </c>
      <c r="AD1793" s="10">
        <v>11</v>
      </c>
      <c r="AE1793" t="s">
        <v>473</v>
      </c>
    </row>
    <row r="1794" spans="1:31" x14ac:dyDescent="0.25">
      <c r="A1794">
        <v>7960</v>
      </c>
      <c r="B1794">
        <v>1962</v>
      </c>
      <c r="C1794" t="s">
        <v>46</v>
      </c>
      <c r="D1794" t="s">
        <v>31</v>
      </c>
      <c r="E1794" t="str">
        <f>IF(OR(Table1[[#This Row],[marital_status]]="Married", Table1[[#This Row],[marital_status]]="Together"), "Partnered", "Single")</f>
        <v>Partnered</v>
      </c>
      <c r="F1794" s="7">
        <v>82122</v>
      </c>
      <c r="G1794" s="8">
        <v>0</v>
      </c>
      <c r="H1794" s="8">
        <v>0</v>
      </c>
      <c r="I1794" s="8">
        <f>Table1[[#This Row],[kids]]+Table1[[#This Row],[teens]]</f>
        <v>0</v>
      </c>
      <c r="J1794" s="9">
        <v>41501</v>
      </c>
      <c r="K1794" s="8">
        <v>89</v>
      </c>
      <c r="L1794" s="6">
        <v>734</v>
      </c>
      <c r="M1794" s="5">
        <v>22</v>
      </c>
      <c r="N1794" s="5">
        <v>350</v>
      </c>
      <c r="O1794" s="5">
        <v>151</v>
      </c>
      <c r="P1794" s="5">
        <v>25</v>
      </c>
      <c r="Q1794" s="5">
        <v>100</v>
      </c>
      <c r="R1794" s="8">
        <v>1</v>
      </c>
      <c r="S1794" s="8">
        <v>3</v>
      </c>
      <c r="T1794" s="8">
        <v>9</v>
      </c>
      <c r="U1794" s="8">
        <v>13</v>
      </c>
      <c r="V1794" s="8">
        <v>1</v>
      </c>
      <c r="W1794" t="s">
        <v>473</v>
      </c>
      <c r="X1794" t="s">
        <v>473</v>
      </c>
      <c r="Y1794" t="s">
        <v>474</v>
      </c>
      <c r="Z1794" t="s">
        <v>473</v>
      </c>
      <c r="AA1794" t="s">
        <v>473</v>
      </c>
      <c r="AB1794" t="s">
        <v>473</v>
      </c>
      <c r="AC1794" s="10">
        <v>3</v>
      </c>
      <c r="AD1794" s="10">
        <v>11</v>
      </c>
      <c r="AE1794" t="s">
        <v>473</v>
      </c>
    </row>
    <row r="1795" spans="1:31" x14ac:dyDescent="0.25">
      <c r="A1795">
        <v>1250</v>
      </c>
      <c r="B1795">
        <v>1976</v>
      </c>
      <c r="C1795" t="s">
        <v>466</v>
      </c>
      <c r="D1795" t="s">
        <v>30</v>
      </c>
      <c r="E1795" t="str">
        <f>IF(OR(Table1[[#This Row],[marital_status]]="Married", Table1[[#This Row],[marital_status]]="Together"), "Partnered", "Single")</f>
        <v>Single</v>
      </c>
      <c r="F1795" s="7">
        <v>37697</v>
      </c>
      <c r="G1795" s="8">
        <v>1</v>
      </c>
      <c r="H1795" s="8">
        <v>0</v>
      </c>
      <c r="I1795" s="8">
        <f>Table1[[#This Row],[kids]]+Table1[[#This Row],[teens]]</f>
        <v>1</v>
      </c>
      <c r="J1795" s="9">
        <v>41677</v>
      </c>
      <c r="K1795" s="8">
        <v>82</v>
      </c>
      <c r="L1795" s="6">
        <v>34</v>
      </c>
      <c r="M1795" s="5">
        <v>6</v>
      </c>
      <c r="N1795" s="5">
        <v>21</v>
      </c>
      <c r="O1795" s="5">
        <v>11</v>
      </c>
      <c r="P1795" s="5">
        <v>4</v>
      </c>
      <c r="Q1795" s="5">
        <v>8</v>
      </c>
      <c r="R1795" s="8">
        <v>1</v>
      </c>
      <c r="S1795" s="8">
        <v>2</v>
      </c>
      <c r="T1795" s="8">
        <v>1</v>
      </c>
      <c r="U1795" s="8">
        <v>3</v>
      </c>
      <c r="V1795" s="8">
        <v>6</v>
      </c>
      <c r="W1795" t="s">
        <v>473</v>
      </c>
      <c r="X1795" t="s">
        <v>473</v>
      </c>
      <c r="Y1795" t="s">
        <v>473</v>
      </c>
      <c r="Z1795" t="s">
        <v>473</v>
      </c>
      <c r="AA1795" t="s">
        <v>473</v>
      </c>
      <c r="AB1795" t="s">
        <v>473</v>
      </c>
      <c r="AC1795" s="10">
        <v>3</v>
      </c>
      <c r="AD1795" s="10">
        <v>11</v>
      </c>
      <c r="AE1795" t="s">
        <v>473</v>
      </c>
    </row>
    <row r="1796" spans="1:31" x14ac:dyDescent="0.25">
      <c r="A1796">
        <v>9905</v>
      </c>
      <c r="B1796">
        <v>1952</v>
      </c>
      <c r="C1796" t="s">
        <v>466</v>
      </c>
      <c r="D1796" t="s">
        <v>31</v>
      </c>
      <c r="E1796" t="str">
        <f>IF(OR(Table1[[#This Row],[marital_status]]="Married", Table1[[#This Row],[marital_status]]="Together"), "Partnered", "Single")</f>
        <v>Partnered</v>
      </c>
      <c r="F1796" s="7">
        <v>34074</v>
      </c>
      <c r="G1796" s="8">
        <v>1</v>
      </c>
      <c r="H1796" s="8">
        <v>1</v>
      </c>
      <c r="I1796" s="8">
        <f>Table1[[#This Row],[kids]]+Table1[[#This Row],[teens]]</f>
        <v>2</v>
      </c>
      <c r="J1796" s="9">
        <v>41468</v>
      </c>
      <c r="K1796" s="8">
        <v>69</v>
      </c>
      <c r="L1796" s="6">
        <v>135</v>
      </c>
      <c r="M1796" s="5">
        <v>1</v>
      </c>
      <c r="N1796" s="5">
        <v>41</v>
      </c>
      <c r="O1796" s="5">
        <v>10</v>
      </c>
      <c r="P1796" s="5">
        <v>1</v>
      </c>
      <c r="Q1796" s="5">
        <v>67</v>
      </c>
      <c r="R1796" s="8">
        <v>5</v>
      </c>
      <c r="S1796" s="8">
        <v>3</v>
      </c>
      <c r="T1796" s="8">
        <v>3</v>
      </c>
      <c r="U1796" s="8">
        <v>3</v>
      </c>
      <c r="V1796" s="8">
        <v>6</v>
      </c>
      <c r="W1796" t="s">
        <v>474</v>
      </c>
      <c r="X1796" t="s">
        <v>473</v>
      </c>
      <c r="Y1796" t="s">
        <v>473</v>
      </c>
      <c r="Z1796" t="s">
        <v>473</v>
      </c>
      <c r="AA1796" t="s">
        <v>473</v>
      </c>
      <c r="AB1796" t="s">
        <v>473</v>
      </c>
      <c r="AC1796" s="10">
        <v>3</v>
      </c>
      <c r="AD1796" s="10">
        <v>11</v>
      </c>
      <c r="AE1796" t="s">
        <v>473</v>
      </c>
    </row>
    <row r="1797" spans="1:31" x14ac:dyDescent="0.25">
      <c r="A1797">
        <v>10691</v>
      </c>
      <c r="B1797">
        <v>1960</v>
      </c>
      <c r="C1797" t="s">
        <v>36</v>
      </c>
      <c r="D1797" t="s">
        <v>34</v>
      </c>
      <c r="E1797" t="str">
        <f>IF(OR(Table1[[#This Row],[marital_status]]="Married", Table1[[#This Row],[marital_status]]="Together"), "Partnered", "Single")</f>
        <v>Partnered</v>
      </c>
      <c r="F1797" s="7">
        <v>28520</v>
      </c>
      <c r="G1797" s="8">
        <v>1</v>
      </c>
      <c r="H1797" s="8">
        <v>1</v>
      </c>
      <c r="I1797" s="8">
        <f>Table1[[#This Row],[kids]]+Table1[[#This Row],[teens]]</f>
        <v>2</v>
      </c>
      <c r="J1797" s="9">
        <v>41439</v>
      </c>
      <c r="K1797" s="8">
        <v>55</v>
      </c>
      <c r="L1797" s="6">
        <v>11</v>
      </c>
      <c r="M1797" s="5">
        <v>0</v>
      </c>
      <c r="N1797" s="5">
        <v>10</v>
      </c>
      <c r="O1797" s="5">
        <v>0</v>
      </c>
      <c r="P1797" s="5">
        <v>2</v>
      </c>
      <c r="Q1797" s="5">
        <v>20</v>
      </c>
      <c r="R1797" s="8">
        <v>1</v>
      </c>
      <c r="S1797" s="8">
        <v>1</v>
      </c>
      <c r="T1797" s="8">
        <v>1</v>
      </c>
      <c r="U1797" s="8">
        <v>2</v>
      </c>
      <c r="V1797" s="8">
        <v>6</v>
      </c>
      <c r="W1797" t="s">
        <v>473</v>
      </c>
      <c r="X1797" t="s">
        <v>473</v>
      </c>
      <c r="Y1797" t="s">
        <v>473</v>
      </c>
      <c r="Z1797" t="s">
        <v>473</v>
      </c>
      <c r="AA1797" t="s">
        <v>473</v>
      </c>
      <c r="AB1797" t="s">
        <v>473</v>
      </c>
      <c r="AC1797" s="10">
        <v>3</v>
      </c>
      <c r="AD1797" s="10">
        <v>11</v>
      </c>
      <c r="AE1797" t="s">
        <v>473</v>
      </c>
    </row>
    <row r="1798" spans="1:31" x14ac:dyDescent="0.25">
      <c r="A1798">
        <v>7002</v>
      </c>
      <c r="B1798">
        <v>1955</v>
      </c>
      <c r="C1798" t="s">
        <v>466</v>
      </c>
      <c r="D1798" t="s">
        <v>30</v>
      </c>
      <c r="E1798" t="str">
        <f>IF(OR(Table1[[#This Row],[marital_status]]="Married", Table1[[#This Row],[marital_status]]="Together"), "Partnered", "Single")</f>
        <v>Single</v>
      </c>
      <c r="F1798" s="7">
        <v>62535</v>
      </c>
      <c r="G1798" s="8">
        <v>0</v>
      </c>
      <c r="H1798" s="8">
        <v>1</v>
      </c>
      <c r="I1798" s="8">
        <f>Table1[[#This Row],[kids]]+Table1[[#This Row],[teens]]</f>
        <v>1</v>
      </c>
      <c r="J1798" s="9">
        <v>41550</v>
      </c>
      <c r="K1798" s="8">
        <v>13</v>
      </c>
      <c r="L1798" s="6">
        <v>163</v>
      </c>
      <c r="M1798" s="5">
        <v>48</v>
      </c>
      <c r="N1798" s="5">
        <v>90</v>
      </c>
      <c r="O1798" s="5">
        <v>0</v>
      </c>
      <c r="P1798" s="5">
        <v>45</v>
      </c>
      <c r="Q1798" s="5">
        <v>52</v>
      </c>
      <c r="R1798" s="8">
        <v>1</v>
      </c>
      <c r="S1798" s="8">
        <v>3</v>
      </c>
      <c r="T1798" s="8">
        <v>2</v>
      </c>
      <c r="U1798" s="8">
        <v>8</v>
      </c>
      <c r="V1798" s="8">
        <v>3</v>
      </c>
      <c r="W1798" t="s">
        <v>473</v>
      </c>
      <c r="X1798" t="s">
        <v>473</v>
      </c>
      <c r="Y1798" t="s">
        <v>473</v>
      </c>
      <c r="Z1798" t="s">
        <v>473</v>
      </c>
      <c r="AA1798" t="s">
        <v>473</v>
      </c>
      <c r="AB1798" t="s">
        <v>473</v>
      </c>
      <c r="AC1798" s="10">
        <v>3</v>
      </c>
      <c r="AD1798" s="10">
        <v>11</v>
      </c>
      <c r="AE1798" t="s">
        <v>473</v>
      </c>
    </row>
    <row r="1799" spans="1:31" x14ac:dyDescent="0.25">
      <c r="A1799">
        <v>2952</v>
      </c>
      <c r="B1799">
        <v>1977</v>
      </c>
      <c r="C1799" t="s">
        <v>36</v>
      </c>
      <c r="D1799" t="s">
        <v>30</v>
      </c>
      <c r="E1799" t="str">
        <f>IF(OR(Table1[[#This Row],[marital_status]]="Married", Table1[[#This Row],[marital_status]]="Together"), "Partnered", "Single")</f>
        <v>Single</v>
      </c>
      <c r="F1799" s="7">
        <v>36273</v>
      </c>
      <c r="G1799" s="8">
        <v>1</v>
      </c>
      <c r="H1799" s="8">
        <v>0</v>
      </c>
      <c r="I1799" s="8">
        <f>Table1[[#This Row],[kids]]+Table1[[#This Row],[teens]]</f>
        <v>1</v>
      </c>
      <c r="J1799" s="9">
        <v>41745</v>
      </c>
      <c r="K1799" s="8">
        <v>80</v>
      </c>
      <c r="L1799" s="6">
        <v>29</v>
      </c>
      <c r="M1799" s="5">
        <v>3</v>
      </c>
      <c r="N1799" s="5">
        <v>30</v>
      </c>
      <c r="O1799" s="5">
        <v>3</v>
      </c>
      <c r="P1799" s="5">
        <v>2</v>
      </c>
      <c r="Q1799" s="5">
        <v>9</v>
      </c>
      <c r="R1799" s="8">
        <v>2</v>
      </c>
      <c r="S1799" s="8">
        <v>3</v>
      </c>
      <c r="T1799" s="8">
        <v>0</v>
      </c>
      <c r="U1799" s="8">
        <v>3</v>
      </c>
      <c r="V1799" s="8">
        <v>6</v>
      </c>
      <c r="W1799" t="s">
        <v>473</v>
      </c>
      <c r="X1799" t="s">
        <v>473</v>
      </c>
      <c r="Y1799" t="s">
        <v>473</v>
      </c>
      <c r="Z1799" t="s">
        <v>473</v>
      </c>
      <c r="AA1799" t="s">
        <v>473</v>
      </c>
      <c r="AB1799" t="s">
        <v>473</v>
      </c>
      <c r="AC1799" s="10">
        <v>3</v>
      </c>
      <c r="AD1799" s="10">
        <v>11</v>
      </c>
      <c r="AE1799" t="s">
        <v>473</v>
      </c>
    </row>
    <row r="1800" spans="1:31" x14ac:dyDescent="0.25">
      <c r="A1800">
        <v>8439</v>
      </c>
      <c r="B1800">
        <v>1964</v>
      </c>
      <c r="C1800" t="s">
        <v>466</v>
      </c>
      <c r="D1800" t="s">
        <v>31</v>
      </c>
      <c r="E1800" t="str">
        <f>IF(OR(Table1[[#This Row],[marital_status]]="Married", Table1[[#This Row],[marital_status]]="Together"), "Partnered", "Single")</f>
        <v>Partnered</v>
      </c>
      <c r="F1800" s="7">
        <v>63404</v>
      </c>
      <c r="G1800" s="8">
        <v>0</v>
      </c>
      <c r="H1800" s="8">
        <v>2</v>
      </c>
      <c r="I1800" s="8">
        <f>Table1[[#This Row],[kids]]+Table1[[#This Row],[teens]]</f>
        <v>2</v>
      </c>
      <c r="J1800" s="9">
        <v>41796</v>
      </c>
      <c r="K1800" s="8">
        <v>97</v>
      </c>
      <c r="L1800" s="6">
        <v>734</v>
      </c>
      <c r="M1800" s="5">
        <v>26</v>
      </c>
      <c r="N1800" s="5">
        <v>70</v>
      </c>
      <c r="O1800" s="5">
        <v>11</v>
      </c>
      <c r="P1800" s="5">
        <v>44</v>
      </c>
      <c r="Q1800" s="5">
        <v>17</v>
      </c>
      <c r="R1800" s="8">
        <v>2</v>
      </c>
      <c r="S1800" s="8">
        <v>6</v>
      </c>
      <c r="T1800" s="8">
        <v>3</v>
      </c>
      <c r="U1800" s="8">
        <v>4</v>
      </c>
      <c r="V1800" s="8">
        <v>4</v>
      </c>
      <c r="W1800" t="s">
        <v>473</v>
      </c>
      <c r="X1800" t="s">
        <v>473</v>
      </c>
      <c r="Y1800" t="s">
        <v>473</v>
      </c>
      <c r="Z1800" t="s">
        <v>474</v>
      </c>
      <c r="AA1800" t="s">
        <v>473</v>
      </c>
      <c r="AB1800" t="s">
        <v>473</v>
      </c>
      <c r="AC1800" s="10">
        <v>3</v>
      </c>
      <c r="AD1800" s="10">
        <v>11</v>
      </c>
      <c r="AE1800" t="s">
        <v>473</v>
      </c>
    </row>
    <row r="1801" spans="1:31" x14ac:dyDescent="0.25">
      <c r="A1801">
        <v>762</v>
      </c>
      <c r="B1801">
        <v>1981</v>
      </c>
      <c r="C1801" t="s">
        <v>46</v>
      </c>
      <c r="D1801" t="s">
        <v>31</v>
      </c>
      <c r="E1801" t="str">
        <f>IF(OR(Table1[[#This Row],[marital_status]]="Married", Table1[[#This Row],[marital_status]]="Together"), "Partnered", "Single")</f>
        <v>Partnered</v>
      </c>
      <c r="F1801" s="7">
        <v>75774</v>
      </c>
      <c r="G1801" s="8">
        <v>1</v>
      </c>
      <c r="H1801" s="8">
        <v>0</v>
      </c>
      <c r="I1801" s="8">
        <f>Table1[[#This Row],[kids]]+Table1[[#This Row],[teens]]</f>
        <v>1</v>
      </c>
      <c r="J1801" s="9">
        <v>41761</v>
      </c>
      <c r="K1801" s="8">
        <v>27</v>
      </c>
      <c r="L1801" s="6">
        <v>340</v>
      </c>
      <c r="M1801" s="5">
        <v>21</v>
      </c>
      <c r="N1801" s="5">
        <v>134</v>
      </c>
      <c r="O1801" s="5">
        <v>258</v>
      </c>
      <c r="P1801" s="5">
        <v>14</v>
      </c>
      <c r="Q1801" s="5">
        <v>56</v>
      </c>
      <c r="R1801" s="8">
        <v>1</v>
      </c>
      <c r="S1801" s="8">
        <v>7</v>
      </c>
      <c r="T1801" s="8">
        <v>5</v>
      </c>
      <c r="U1801" s="8">
        <v>8</v>
      </c>
      <c r="V1801" s="8">
        <v>4</v>
      </c>
      <c r="W1801" t="s">
        <v>473</v>
      </c>
      <c r="X1801" t="s">
        <v>473</v>
      </c>
      <c r="Y1801" t="s">
        <v>473</v>
      </c>
      <c r="Z1801" t="s">
        <v>473</v>
      </c>
      <c r="AA1801" t="s">
        <v>473</v>
      </c>
      <c r="AB1801" t="s">
        <v>473</v>
      </c>
      <c r="AC1801" s="10">
        <v>3</v>
      </c>
      <c r="AD1801" s="10">
        <v>11</v>
      </c>
      <c r="AE1801" t="s">
        <v>473</v>
      </c>
    </row>
    <row r="1802" spans="1:31" x14ac:dyDescent="0.25">
      <c r="A1802">
        <v>2831</v>
      </c>
      <c r="B1802">
        <v>1976</v>
      </c>
      <c r="C1802" t="s">
        <v>466</v>
      </c>
      <c r="D1802" t="s">
        <v>31</v>
      </c>
      <c r="E1802" t="str">
        <f>IF(OR(Table1[[#This Row],[marital_status]]="Married", Table1[[#This Row],[marital_status]]="Together"), "Partnered", "Single")</f>
        <v>Partnered</v>
      </c>
      <c r="F1802" s="7">
        <v>78416</v>
      </c>
      <c r="G1802" s="8">
        <v>0</v>
      </c>
      <c r="H1802" s="8">
        <v>1</v>
      </c>
      <c r="I1802" s="8">
        <f>Table1[[#This Row],[kids]]+Table1[[#This Row],[teens]]</f>
        <v>1</v>
      </c>
      <c r="J1802" s="9">
        <v>41817</v>
      </c>
      <c r="K1802" s="8">
        <v>99</v>
      </c>
      <c r="L1802" s="6">
        <v>453</v>
      </c>
      <c r="M1802" s="5">
        <v>38</v>
      </c>
      <c r="N1802" s="5">
        <v>279</v>
      </c>
      <c r="O1802" s="5">
        <v>188</v>
      </c>
      <c r="P1802" s="5">
        <v>38</v>
      </c>
      <c r="Q1802" s="5">
        <v>183</v>
      </c>
      <c r="R1802" s="8">
        <v>2</v>
      </c>
      <c r="S1802" s="8">
        <v>7</v>
      </c>
      <c r="T1802" s="8">
        <v>7</v>
      </c>
      <c r="U1802" s="8">
        <v>10</v>
      </c>
      <c r="V1802" s="8">
        <v>3</v>
      </c>
      <c r="W1802" t="s">
        <v>473</v>
      </c>
      <c r="X1802" t="s">
        <v>473</v>
      </c>
      <c r="Y1802" t="s">
        <v>473</v>
      </c>
      <c r="Z1802" t="s">
        <v>473</v>
      </c>
      <c r="AA1802" t="s">
        <v>473</v>
      </c>
      <c r="AB1802" t="s">
        <v>473</v>
      </c>
      <c r="AC1802" s="10">
        <v>3</v>
      </c>
      <c r="AD1802" s="10">
        <v>11</v>
      </c>
      <c r="AE1802" t="s">
        <v>473</v>
      </c>
    </row>
    <row r="1803" spans="1:31" x14ac:dyDescent="0.25">
      <c r="A1803">
        <v>6977</v>
      </c>
      <c r="B1803">
        <v>1974</v>
      </c>
      <c r="C1803" t="s">
        <v>466</v>
      </c>
      <c r="D1803" t="s">
        <v>31</v>
      </c>
      <c r="E1803" t="str">
        <f>IF(OR(Table1[[#This Row],[marital_status]]="Married", Table1[[#This Row],[marital_status]]="Together"), "Partnered", "Single")</f>
        <v>Partnered</v>
      </c>
      <c r="F1803" s="7">
        <v>75702</v>
      </c>
      <c r="G1803" s="8">
        <v>0</v>
      </c>
      <c r="H1803" s="8">
        <v>1</v>
      </c>
      <c r="I1803" s="8">
        <f>Table1[[#This Row],[kids]]+Table1[[#This Row],[teens]]</f>
        <v>1</v>
      </c>
      <c r="J1803" s="9">
        <v>41196</v>
      </c>
      <c r="K1803" s="8">
        <v>87</v>
      </c>
      <c r="L1803" s="6">
        <v>1073</v>
      </c>
      <c r="M1803" s="5">
        <v>0</v>
      </c>
      <c r="N1803" s="5">
        <v>629</v>
      </c>
      <c r="O1803" s="5">
        <v>145</v>
      </c>
      <c r="P1803" s="5">
        <v>37</v>
      </c>
      <c r="Q1803" s="5">
        <v>37</v>
      </c>
      <c r="R1803" s="8">
        <v>1</v>
      </c>
      <c r="S1803" s="8">
        <v>10</v>
      </c>
      <c r="T1803" s="8">
        <v>5</v>
      </c>
      <c r="U1803" s="8">
        <v>13</v>
      </c>
      <c r="V1803" s="8">
        <v>6</v>
      </c>
      <c r="W1803" t="s">
        <v>473</v>
      </c>
      <c r="X1803" t="s">
        <v>473</v>
      </c>
      <c r="Y1803" t="s">
        <v>474</v>
      </c>
      <c r="Z1803" t="s">
        <v>473</v>
      </c>
      <c r="AA1803" t="s">
        <v>473</v>
      </c>
      <c r="AB1803" t="s">
        <v>473</v>
      </c>
      <c r="AC1803" s="10">
        <v>3</v>
      </c>
      <c r="AD1803" s="10">
        <v>11</v>
      </c>
      <c r="AE1803" t="s">
        <v>473</v>
      </c>
    </row>
    <row r="1804" spans="1:31" x14ac:dyDescent="0.25">
      <c r="A1804">
        <v>6289</v>
      </c>
      <c r="B1804">
        <v>1951</v>
      </c>
      <c r="C1804" t="s">
        <v>36</v>
      </c>
      <c r="D1804" t="s">
        <v>31</v>
      </c>
      <c r="E1804" t="str">
        <f>IF(OR(Table1[[#This Row],[marital_status]]="Married", Table1[[#This Row],[marital_status]]="Together"), "Partnered", "Single")</f>
        <v>Partnered</v>
      </c>
      <c r="F1804" s="7">
        <v>59385</v>
      </c>
      <c r="G1804" s="8">
        <v>1</v>
      </c>
      <c r="H1804" s="8">
        <v>1</v>
      </c>
      <c r="I1804" s="8">
        <f>Table1[[#This Row],[kids]]+Table1[[#This Row],[teens]]</f>
        <v>2</v>
      </c>
      <c r="J1804" s="9">
        <v>41392</v>
      </c>
      <c r="K1804" s="8">
        <v>85</v>
      </c>
      <c r="L1804" s="6">
        <v>135</v>
      </c>
      <c r="M1804" s="5">
        <v>0</v>
      </c>
      <c r="N1804" s="5">
        <v>10</v>
      </c>
      <c r="O1804" s="5">
        <v>0</v>
      </c>
      <c r="P1804" s="5">
        <v>4</v>
      </c>
      <c r="Q1804" s="5">
        <v>36</v>
      </c>
      <c r="R1804" s="8">
        <v>2</v>
      </c>
      <c r="S1804" s="8">
        <v>3</v>
      </c>
      <c r="T1804" s="8">
        <v>1</v>
      </c>
      <c r="U1804" s="8">
        <v>4</v>
      </c>
      <c r="V1804" s="8">
        <v>5</v>
      </c>
      <c r="W1804" t="s">
        <v>473</v>
      </c>
      <c r="X1804" t="s">
        <v>473</v>
      </c>
      <c r="Y1804" t="s">
        <v>473</v>
      </c>
      <c r="Z1804" t="s">
        <v>473</v>
      </c>
      <c r="AA1804" t="s">
        <v>473</v>
      </c>
      <c r="AB1804" t="s">
        <v>473</v>
      </c>
      <c r="AC1804" s="10">
        <v>3</v>
      </c>
      <c r="AD1804" s="10">
        <v>11</v>
      </c>
      <c r="AE1804" t="s">
        <v>473</v>
      </c>
    </row>
    <row r="1805" spans="1:31" x14ac:dyDescent="0.25">
      <c r="A1805">
        <v>4168</v>
      </c>
      <c r="B1805">
        <v>1966</v>
      </c>
      <c r="C1805" t="s">
        <v>466</v>
      </c>
      <c r="D1805" t="s">
        <v>30</v>
      </c>
      <c r="E1805" t="str">
        <f>IF(OR(Table1[[#This Row],[marital_status]]="Married", Table1[[#This Row],[marital_status]]="Together"), "Partnered", "Single")</f>
        <v>Single</v>
      </c>
      <c r="F1805" s="7">
        <v>37070</v>
      </c>
      <c r="G1805" s="8">
        <v>1</v>
      </c>
      <c r="H1805" s="8">
        <v>1</v>
      </c>
      <c r="I1805" s="8">
        <f>Table1[[#This Row],[kids]]+Table1[[#This Row],[teens]]</f>
        <v>2</v>
      </c>
      <c r="J1805" s="9">
        <v>41353</v>
      </c>
      <c r="K1805" s="8">
        <v>30</v>
      </c>
      <c r="L1805" s="6">
        <v>231</v>
      </c>
      <c r="M1805" s="5">
        <v>7</v>
      </c>
      <c r="N1805" s="5">
        <v>137</v>
      </c>
      <c r="O1805" s="5">
        <v>4</v>
      </c>
      <c r="P1805" s="5">
        <v>15</v>
      </c>
      <c r="Q1805" s="5">
        <v>39</v>
      </c>
      <c r="R1805" s="8">
        <v>9</v>
      </c>
      <c r="S1805" s="8">
        <v>5</v>
      </c>
      <c r="T1805" s="8">
        <v>1</v>
      </c>
      <c r="U1805" s="8">
        <v>8</v>
      </c>
      <c r="V1805" s="8">
        <v>7</v>
      </c>
      <c r="W1805" t="s">
        <v>473</v>
      </c>
      <c r="X1805" t="s">
        <v>473</v>
      </c>
      <c r="Y1805" t="s">
        <v>473</v>
      </c>
      <c r="Z1805" t="s">
        <v>473</v>
      </c>
      <c r="AA1805" t="s">
        <v>473</v>
      </c>
      <c r="AB1805" t="s">
        <v>473</v>
      </c>
      <c r="AC1805" s="10">
        <v>3</v>
      </c>
      <c r="AD1805" s="10">
        <v>11</v>
      </c>
      <c r="AE1805" t="s">
        <v>474</v>
      </c>
    </row>
    <row r="1806" spans="1:31" x14ac:dyDescent="0.25">
      <c r="A1806">
        <v>8397</v>
      </c>
      <c r="B1806">
        <v>1951</v>
      </c>
      <c r="C1806" t="s">
        <v>466</v>
      </c>
      <c r="D1806" t="s">
        <v>34</v>
      </c>
      <c r="E1806" t="str">
        <f>IF(OR(Table1[[#This Row],[marital_status]]="Married", Table1[[#This Row],[marital_status]]="Together"), "Partnered", "Single")</f>
        <v>Partnered</v>
      </c>
      <c r="F1806" s="7">
        <v>44689</v>
      </c>
      <c r="G1806" s="8">
        <v>1</v>
      </c>
      <c r="H1806" s="8">
        <v>1</v>
      </c>
      <c r="I1806" s="8">
        <f>Table1[[#This Row],[kids]]+Table1[[#This Row],[teens]]</f>
        <v>2</v>
      </c>
      <c r="J1806" s="9">
        <v>41649</v>
      </c>
      <c r="K1806" s="8">
        <v>82</v>
      </c>
      <c r="L1806" s="6">
        <v>18</v>
      </c>
      <c r="M1806" s="5">
        <v>0</v>
      </c>
      <c r="N1806" s="5">
        <v>5</v>
      </c>
      <c r="O1806" s="5">
        <v>0</v>
      </c>
      <c r="P1806" s="5">
        <v>0</v>
      </c>
      <c r="Q1806" s="5">
        <v>11</v>
      </c>
      <c r="R1806" s="8">
        <v>2</v>
      </c>
      <c r="S1806" s="8">
        <v>1</v>
      </c>
      <c r="T1806" s="8">
        <v>1</v>
      </c>
      <c r="U1806" s="8">
        <v>2</v>
      </c>
      <c r="V1806" s="8">
        <v>7</v>
      </c>
      <c r="W1806" t="s">
        <v>474</v>
      </c>
      <c r="X1806" t="s">
        <v>473</v>
      </c>
      <c r="Y1806" t="s">
        <v>473</v>
      </c>
      <c r="Z1806" t="s">
        <v>473</v>
      </c>
      <c r="AA1806" t="s">
        <v>473</v>
      </c>
      <c r="AB1806" t="s">
        <v>473</v>
      </c>
      <c r="AC1806" s="10">
        <v>3</v>
      </c>
      <c r="AD1806" s="10">
        <v>11</v>
      </c>
      <c r="AE1806" t="s">
        <v>473</v>
      </c>
    </row>
    <row r="1807" spans="1:31" x14ac:dyDescent="0.25">
      <c r="A1807">
        <v>9284</v>
      </c>
      <c r="B1807">
        <v>1958</v>
      </c>
      <c r="C1807" t="s">
        <v>466</v>
      </c>
      <c r="D1807" t="s">
        <v>31</v>
      </c>
      <c r="E1807" t="str">
        <f>IF(OR(Table1[[#This Row],[marital_status]]="Married", Table1[[#This Row],[marital_status]]="Together"), "Partnered", "Single")</f>
        <v>Partnered</v>
      </c>
      <c r="F1807" s="7">
        <v>53977</v>
      </c>
      <c r="G1807" s="8">
        <v>0</v>
      </c>
      <c r="H1807" s="8">
        <v>1</v>
      </c>
      <c r="I1807" s="8">
        <f>Table1[[#This Row],[kids]]+Table1[[#This Row],[teens]]</f>
        <v>1</v>
      </c>
      <c r="J1807" s="9">
        <v>41433</v>
      </c>
      <c r="K1807" s="8">
        <v>21</v>
      </c>
      <c r="L1807" s="6">
        <v>620</v>
      </c>
      <c r="M1807" s="5">
        <v>16</v>
      </c>
      <c r="N1807" s="5">
        <v>165</v>
      </c>
      <c r="O1807" s="5">
        <v>0</v>
      </c>
      <c r="P1807" s="5">
        <v>24</v>
      </c>
      <c r="Q1807" s="5">
        <v>82</v>
      </c>
      <c r="R1807" s="8">
        <v>5</v>
      </c>
      <c r="S1807" s="8">
        <v>5</v>
      </c>
      <c r="T1807" s="8">
        <v>5</v>
      </c>
      <c r="U1807" s="8">
        <v>12</v>
      </c>
      <c r="V1807" s="8">
        <v>5</v>
      </c>
      <c r="W1807" t="s">
        <v>473</v>
      </c>
      <c r="X1807" t="s">
        <v>473</v>
      </c>
      <c r="Y1807" t="s">
        <v>473</v>
      </c>
      <c r="Z1807" t="s">
        <v>473</v>
      </c>
      <c r="AA1807" t="s">
        <v>473</v>
      </c>
      <c r="AB1807" t="s">
        <v>473</v>
      </c>
      <c r="AC1807" s="10">
        <v>3</v>
      </c>
      <c r="AD1807" s="10">
        <v>11</v>
      </c>
      <c r="AE1807" t="s">
        <v>473</v>
      </c>
    </row>
    <row r="1808" spans="1:31" x14ac:dyDescent="0.25">
      <c r="A1808">
        <v>6237</v>
      </c>
      <c r="B1808">
        <v>1966</v>
      </c>
      <c r="C1808" t="s">
        <v>33</v>
      </c>
      <c r="D1808" t="s">
        <v>30</v>
      </c>
      <c r="E1808" t="str">
        <f>IF(OR(Table1[[#This Row],[marital_status]]="Married", Table1[[#This Row],[marital_status]]="Together"), "Partnered", "Single")</f>
        <v>Single</v>
      </c>
      <c r="F1808" s="7">
        <v>7144</v>
      </c>
      <c r="G1808" s="8">
        <v>0</v>
      </c>
      <c r="H1808" s="8">
        <v>2</v>
      </c>
      <c r="I1808" s="8">
        <f>Table1[[#This Row],[kids]]+Table1[[#This Row],[teens]]</f>
        <v>2</v>
      </c>
      <c r="J1808" s="9">
        <v>41615</v>
      </c>
      <c r="K1808" s="8">
        <v>92</v>
      </c>
      <c r="L1808" s="6">
        <v>81</v>
      </c>
      <c r="M1808" s="5">
        <v>4</v>
      </c>
      <c r="N1808" s="5">
        <v>33</v>
      </c>
      <c r="O1808" s="5">
        <v>5</v>
      </c>
      <c r="P1808" s="5">
        <v>2</v>
      </c>
      <c r="Q1808" s="5">
        <v>291</v>
      </c>
      <c r="R1808" s="8">
        <v>0</v>
      </c>
      <c r="S1808" s="8">
        <v>23</v>
      </c>
      <c r="T1808" s="8">
        <v>1</v>
      </c>
      <c r="U1808" s="8">
        <v>1</v>
      </c>
      <c r="V1808" s="8">
        <v>0</v>
      </c>
      <c r="W1808" t="s">
        <v>473</v>
      </c>
      <c r="X1808" t="s">
        <v>473</v>
      </c>
      <c r="Y1808" t="s">
        <v>473</v>
      </c>
      <c r="Z1808" t="s">
        <v>473</v>
      </c>
      <c r="AA1808" t="s">
        <v>473</v>
      </c>
      <c r="AB1808" t="s">
        <v>473</v>
      </c>
      <c r="AC1808" s="10">
        <v>3</v>
      </c>
      <c r="AD1808" s="10">
        <v>11</v>
      </c>
      <c r="AE1808" t="s">
        <v>473</v>
      </c>
    </row>
    <row r="1809" spans="1:31" x14ac:dyDescent="0.25">
      <c r="A1809">
        <v>3130</v>
      </c>
      <c r="B1809">
        <v>1964</v>
      </c>
      <c r="C1809" t="s">
        <v>466</v>
      </c>
      <c r="D1809" t="s">
        <v>30</v>
      </c>
      <c r="E1809" t="str">
        <f>IF(OR(Table1[[#This Row],[marital_status]]="Married", Table1[[#This Row],[marital_status]]="Together"), "Partnered", "Single")</f>
        <v>Single</v>
      </c>
      <c r="F1809" s="7">
        <v>18701</v>
      </c>
      <c r="G1809" s="8">
        <v>1</v>
      </c>
      <c r="H1809" s="8">
        <v>1</v>
      </c>
      <c r="I1809" s="8">
        <f>Table1[[#This Row],[kids]]+Table1[[#This Row],[teens]]</f>
        <v>2</v>
      </c>
      <c r="J1809" s="9">
        <v>41429</v>
      </c>
      <c r="K1809" s="8">
        <v>95</v>
      </c>
      <c r="L1809" s="6">
        <v>12</v>
      </c>
      <c r="M1809" s="5">
        <v>4</v>
      </c>
      <c r="N1809" s="5">
        <v>2</v>
      </c>
      <c r="O1809" s="5">
        <v>10</v>
      </c>
      <c r="P1809" s="5">
        <v>6</v>
      </c>
      <c r="Q1809" s="5">
        <v>10</v>
      </c>
      <c r="R1809" s="8">
        <v>4</v>
      </c>
      <c r="S1809" s="8">
        <v>2</v>
      </c>
      <c r="T1809" s="8">
        <v>0</v>
      </c>
      <c r="U1809" s="8">
        <v>4</v>
      </c>
      <c r="V1809" s="8">
        <v>5</v>
      </c>
      <c r="W1809" t="s">
        <v>473</v>
      </c>
      <c r="X1809" t="s">
        <v>473</v>
      </c>
      <c r="Y1809" t="s">
        <v>473</v>
      </c>
      <c r="Z1809" t="s">
        <v>473</v>
      </c>
      <c r="AA1809" t="s">
        <v>473</v>
      </c>
      <c r="AB1809" t="s">
        <v>473</v>
      </c>
      <c r="AC1809" s="10">
        <v>3</v>
      </c>
      <c r="AD1809" s="10">
        <v>11</v>
      </c>
      <c r="AE1809" t="s">
        <v>473</v>
      </c>
    </row>
    <row r="1810" spans="1:31" x14ac:dyDescent="0.25">
      <c r="A1810">
        <v>1619</v>
      </c>
      <c r="B1810">
        <v>1956</v>
      </c>
      <c r="C1810" t="s">
        <v>466</v>
      </c>
      <c r="D1810" t="s">
        <v>34</v>
      </c>
      <c r="E1810" t="str">
        <f>IF(OR(Table1[[#This Row],[marital_status]]="Married", Table1[[#This Row],[marital_status]]="Together"), "Partnered", "Single")</f>
        <v>Partnered</v>
      </c>
      <c r="F1810" s="7">
        <v>90369</v>
      </c>
      <c r="G1810" s="8">
        <v>0</v>
      </c>
      <c r="H1810" s="8">
        <v>0</v>
      </c>
      <c r="I1810" s="8">
        <f>Table1[[#This Row],[kids]]+Table1[[#This Row],[teens]]</f>
        <v>0</v>
      </c>
      <c r="J1810" s="9">
        <v>41757</v>
      </c>
      <c r="K1810" s="8">
        <v>2</v>
      </c>
      <c r="L1810" s="6">
        <v>292</v>
      </c>
      <c r="M1810" s="5">
        <v>51</v>
      </c>
      <c r="N1810" s="5">
        <v>981</v>
      </c>
      <c r="O1810" s="5">
        <v>224</v>
      </c>
      <c r="P1810" s="5">
        <v>23</v>
      </c>
      <c r="Q1810" s="5">
        <v>17</v>
      </c>
      <c r="R1810" s="8">
        <v>1</v>
      </c>
      <c r="S1810" s="8">
        <v>4</v>
      </c>
      <c r="T1810" s="8">
        <v>6</v>
      </c>
      <c r="U1810" s="8">
        <v>6</v>
      </c>
      <c r="V1810" s="8">
        <v>1</v>
      </c>
      <c r="W1810" t="s">
        <v>473</v>
      </c>
      <c r="X1810" t="s">
        <v>473</v>
      </c>
      <c r="Y1810" t="s">
        <v>473</v>
      </c>
      <c r="Z1810" t="s">
        <v>473</v>
      </c>
      <c r="AA1810" t="s">
        <v>473</v>
      </c>
      <c r="AB1810" t="s">
        <v>473</v>
      </c>
      <c r="AC1810" s="10">
        <v>3</v>
      </c>
      <c r="AD1810" s="10">
        <v>11</v>
      </c>
      <c r="AE1810" t="s">
        <v>474</v>
      </c>
    </row>
    <row r="1811" spans="1:31" x14ac:dyDescent="0.25">
      <c r="A1811">
        <v>1990</v>
      </c>
      <c r="B1811">
        <v>1974</v>
      </c>
      <c r="C1811" t="s">
        <v>33</v>
      </c>
      <c r="D1811" t="s">
        <v>30</v>
      </c>
      <c r="E1811" t="str">
        <f>IF(OR(Table1[[#This Row],[marital_status]]="Married", Table1[[#This Row],[marital_status]]="Together"), "Partnered", "Single")</f>
        <v>Single</v>
      </c>
      <c r="F1811" s="7">
        <v>63159</v>
      </c>
      <c r="G1811" s="8">
        <v>0</v>
      </c>
      <c r="H1811" s="8">
        <v>0</v>
      </c>
      <c r="I1811" s="8">
        <f>Table1[[#This Row],[kids]]+Table1[[#This Row],[teens]]</f>
        <v>0</v>
      </c>
      <c r="J1811" s="9">
        <v>41218</v>
      </c>
      <c r="K1811" s="8">
        <v>74</v>
      </c>
      <c r="L1811" s="6">
        <v>965</v>
      </c>
      <c r="M1811" s="5">
        <v>34</v>
      </c>
      <c r="N1811" s="5">
        <v>586</v>
      </c>
      <c r="O1811" s="5">
        <v>89</v>
      </c>
      <c r="P1811" s="5">
        <v>86</v>
      </c>
      <c r="Q1811" s="5">
        <v>37</v>
      </c>
      <c r="R1811" s="8">
        <v>1</v>
      </c>
      <c r="S1811" s="8">
        <v>3</v>
      </c>
      <c r="T1811" s="8">
        <v>5</v>
      </c>
      <c r="U1811" s="8">
        <v>8</v>
      </c>
      <c r="V1811" s="8">
        <v>3</v>
      </c>
      <c r="W1811" t="s">
        <v>474</v>
      </c>
      <c r="X1811" t="s">
        <v>473</v>
      </c>
      <c r="Y1811" t="s">
        <v>473</v>
      </c>
      <c r="Z1811" t="s">
        <v>473</v>
      </c>
      <c r="AA1811" t="s">
        <v>473</v>
      </c>
      <c r="AB1811" t="s">
        <v>473</v>
      </c>
      <c r="AC1811" s="10">
        <v>3</v>
      </c>
      <c r="AD1811" s="10">
        <v>11</v>
      </c>
      <c r="AE1811" t="s">
        <v>473</v>
      </c>
    </row>
    <row r="1812" spans="1:31" x14ac:dyDescent="0.25">
      <c r="A1812">
        <v>5513</v>
      </c>
      <c r="B1812">
        <v>1966</v>
      </c>
      <c r="C1812" t="s">
        <v>466</v>
      </c>
      <c r="D1812" t="s">
        <v>31</v>
      </c>
      <c r="E1812" t="str">
        <f>IF(OR(Table1[[#This Row],[marital_status]]="Married", Table1[[#This Row],[marital_status]]="Together"), "Partnered", "Single")</f>
        <v>Partnered</v>
      </c>
      <c r="F1812" s="7">
        <v>37758</v>
      </c>
      <c r="G1812" s="8">
        <v>1</v>
      </c>
      <c r="H1812" s="8">
        <v>1</v>
      </c>
      <c r="I1812" s="8">
        <f>Table1[[#This Row],[kids]]+Table1[[#This Row],[teens]]</f>
        <v>2</v>
      </c>
      <c r="J1812" s="9">
        <v>41186</v>
      </c>
      <c r="K1812" s="8">
        <v>49</v>
      </c>
      <c r="L1812" s="6">
        <v>27</v>
      </c>
      <c r="M1812" s="5">
        <v>2</v>
      </c>
      <c r="N1812" s="5">
        <v>10</v>
      </c>
      <c r="O1812" s="5">
        <v>0</v>
      </c>
      <c r="P1812" s="5">
        <v>0</v>
      </c>
      <c r="Q1812" s="5">
        <v>1</v>
      </c>
      <c r="R1812" s="8">
        <v>2</v>
      </c>
      <c r="S1812" s="8">
        <v>1</v>
      </c>
      <c r="T1812" s="8">
        <v>0</v>
      </c>
      <c r="U1812" s="8">
        <v>3</v>
      </c>
      <c r="V1812" s="8">
        <v>8</v>
      </c>
      <c r="W1812" t="s">
        <v>473</v>
      </c>
      <c r="X1812" t="s">
        <v>473</v>
      </c>
      <c r="Y1812" t="s">
        <v>473</v>
      </c>
      <c r="Z1812" t="s">
        <v>473</v>
      </c>
      <c r="AA1812" t="s">
        <v>473</v>
      </c>
      <c r="AB1812" t="s">
        <v>473</v>
      </c>
      <c r="AC1812" s="10">
        <v>3</v>
      </c>
      <c r="AD1812" s="10">
        <v>11</v>
      </c>
      <c r="AE1812" t="s">
        <v>473</v>
      </c>
    </row>
    <row r="1813" spans="1:31" x14ac:dyDescent="0.25">
      <c r="A1813">
        <v>269</v>
      </c>
      <c r="B1813">
        <v>1963</v>
      </c>
      <c r="C1813" t="s">
        <v>33</v>
      </c>
      <c r="D1813" t="s">
        <v>30</v>
      </c>
      <c r="E1813" t="str">
        <f>IF(OR(Table1[[#This Row],[marital_status]]="Married", Table1[[#This Row],[marital_status]]="Together"), "Partnered", "Single")</f>
        <v>Single</v>
      </c>
      <c r="F1813" s="7">
        <v>46757</v>
      </c>
      <c r="G1813" s="8">
        <v>0</v>
      </c>
      <c r="H1813" s="8">
        <v>1</v>
      </c>
      <c r="I1813" s="8">
        <f>Table1[[#This Row],[kids]]+Table1[[#This Row],[teens]]</f>
        <v>1</v>
      </c>
      <c r="J1813" s="9">
        <v>41229</v>
      </c>
      <c r="K1813" s="8">
        <v>71</v>
      </c>
      <c r="L1813" s="6">
        <v>777</v>
      </c>
      <c r="M1813" s="5">
        <v>30</v>
      </c>
      <c r="N1813" s="5">
        <v>163</v>
      </c>
      <c r="O1813" s="5">
        <v>0</v>
      </c>
      <c r="P1813" s="5">
        <v>51</v>
      </c>
      <c r="Q1813" s="5">
        <v>122</v>
      </c>
      <c r="R1813" s="8">
        <v>6</v>
      </c>
      <c r="S1813" s="8">
        <v>4</v>
      </c>
      <c r="T1813" s="8">
        <v>4</v>
      </c>
      <c r="U1813" s="8">
        <v>7</v>
      </c>
      <c r="V1813" s="8">
        <v>9</v>
      </c>
      <c r="W1813" t="s">
        <v>473</v>
      </c>
      <c r="X1813" t="s">
        <v>473</v>
      </c>
      <c r="Y1813" t="s">
        <v>473</v>
      </c>
      <c r="Z1813" t="s">
        <v>473</v>
      </c>
      <c r="AA1813" t="s">
        <v>473</v>
      </c>
      <c r="AB1813" t="s">
        <v>473</v>
      </c>
      <c r="AC1813" s="10">
        <v>3</v>
      </c>
      <c r="AD1813" s="10">
        <v>11</v>
      </c>
      <c r="AE1813" t="s">
        <v>473</v>
      </c>
    </row>
    <row r="1814" spans="1:31" x14ac:dyDescent="0.25">
      <c r="A1814">
        <v>8093</v>
      </c>
      <c r="B1814">
        <v>1969</v>
      </c>
      <c r="C1814" t="s">
        <v>36</v>
      </c>
      <c r="D1814" t="s">
        <v>34</v>
      </c>
      <c r="E1814" t="str">
        <f>IF(OR(Table1[[#This Row],[marital_status]]="Married", Table1[[#This Row],[marital_status]]="Together"), "Partnered", "Single")</f>
        <v>Partnered</v>
      </c>
      <c r="F1814" s="7">
        <v>79734</v>
      </c>
      <c r="G1814" s="8">
        <v>0</v>
      </c>
      <c r="H1814" s="8">
        <v>0</v>
      </c>
      <c r="I1814" s="8">
        <f>Table1[[#This Row],[kids]]+Table1[[#This Row],[teens]]</f>
        <v>0</v>
      </c>
      <c r="J1814" s="9">
        <v>41818</v>
      </c>
      <c r="K1814" s="8">
        <v>72</v>
      </c>
      <c r="L1814" s="6">
        <v>572</v>
      </c>
      <c r="M1814" s="5">
        <v>8</v>
      </c>
      <c r="N1814" s="5">
        <v>232</v>
      </c>
      <c r="O1814" s="5">
        <v>23</v>
      </c>
      <c r="P1814" s="5">
        <v>62</v>
      </c>
      <c r="Q1814" s="5">
        <v>17</v>
      </c>
      <c r="R1814" s="8">
        <v>1</v>
      </c>
      <c r="S1814" s="8">
        <v>4</v>
      </c>
      <c r="T1814" s="8">
        <v>3</v>
      </c>
      <c r="U1814" s="8">
        <v>6</v>
      </c>
      <c r="V1814" s="8">
        <v>1</v>
      </c>
      <c r="W1814" t="s">
        <v>473</v>
      </c>
      <c r="X1814" t="s">
        <v>473</v>
      </c>
      <c r="Y1814" t="s">
        <v>473</v>
      </c>
      <c r="Z1814" t="s">
        <v>474</v>
      </c>
      <c r="AA1814" t="s">
        <v>473</v>
      </c>
      <c r="AB1814" t="s">
        <v>473</v>
      </c>
      <c r="AC1814" s="10">
        <v>3</v>
      </c>
      <c r="AD1814" s="10">
        <v>11</v>
      </c>
      <c r="AE1814" t="s">
        <v>473</v>
      </c>
    </row>
    <row r="1815" spans="1:31" x14ac:dyDescent="0.25">
      <c r="A1815">
        <v>10513</v>
      </c>
      <c r="B1815">
        <v>1992</v>
      </c>
      <c r="C1815" t="s">
        <v>466</v>
      </c>
      <c r="D1815" t="s">
        <v>31</v>
      </c>
      <c r="E1815" t="str">
        <f>IF(OR(Table1[[#This Row],[marital_status]]="Married", Table1[[#This Row],[marital_status]]="Together"), "Partnered", "Single")</f>
        <v>Partnered</v>
      </c>
      <c r="F1815" s="7">
        <v>63207</v>
      </c>
      <c r="G1815" s="8">
        <v>0</v>
      </c>
      <c r="H1815" s="8">
        <v>0</v>
      </c>
      <c r="I1815" s="8">
        <f>Table1[[#This Row],[kids]]+Table1[[#This Row],[teens]]</f>
        <v>0</v>
      </c>
      <c r="J1815" s="9">
        <v>41294</v>
      </c>
      <c r="K1815" s="8">
        <v>68</v>
      </c>
      <c r="L1815" s="6">
        <v>438</v>
      </c>
      <c r="M1815" s="5">
        <v>169</v>
      </c>
      <c r="N1815" s="5">
        <v>565</v>
      </c>
      <c r="O1815" s="5">
        <v>91</v>
      </c>
      <c r="P1815" s="5">
        <v>169</v>
      </c>
      <c r="Q1815" s="5">
        <v>70</v>
      </c>
      <c r="R1815" s="8">
        <v>1</v>
      </c>
      <c r="S1815" s="8">
        <v>2</v>
      </c>
      <c r="T1815" s="8">
        <v>3</v>
      </c>
      <c r="U1815" s="8">
        <v>6</v>
      </c>
      <c r="V1815" s="8">
        <v>7</v>
      </c>
      <c r="W1815" t="s">
        <v>473</v>
      </c>
      <c r="X1815" t="s">
        <v>473</v>
      </c>
      <c r="Y1815" t="s">
        <v>473</v>
      </c>
      <c r="Z1815" t="s">
        <v>474</v>
      </c>
      <c r="AA1815" t="s">
        <v>473</v>
      </c>
      <c r="AB1815" t="s">
        <v>473</v>
      </c>
      <c r="AC1815" s="10">
        <v>3</v>
      </c>
      <c r="AD1815" s="10">
        <v>11</v>
      </c>
      <c r="AE1815" t="s">
        <v>473</v>
      </c>
    </row>
    <row r="1816" spans="1:31" x14ac:dyDescent="0.25">
      <c r="A1816">
        <v>10177</v>
      </c>
      <c r="B1816">
        <v>1954</v>
      </c>
      <c r="C1816" t="s">
        <v>466</v>
      </c>
      <c r="D1816" t="s">
        <v>37</v>
      </c>
      <c r="E1816" t="str">
        <f>IF(OR(Table1[[#This Row],[marital_status]]="Married", Table1[[#This Row],[marital_status]]="Together"), "Partnered", "Single")</f>
        <v>Single</v>
      </c>
      <c r="F1816" s="7">
        <v>72071</v>
      </c>
      <c r="G1816" s="8">
        <v>0</v>
      </c>
      <c r="H1816" s="8">
        <v>1</v>
      </c>
      <c r="I1816" s="8">
        <f>Table1[[#This Row],[kids]]+Table1[[#This Row],[teens]]</f>
        <v>1</v>
      </c>
      <c r="J1816" s="9">
        <v>41319</v>
      </c>
      <c r="K1816" s="8">
        <v>4</v>
      </c>
      <c r="L1816" s="6">
        <v>531</v>
      </c>
      <c r="M1816" s="5">
        <v>69</v>
      </c>
      <c r="N1816" s="5">
        <v>300</v>
      </c>
      <c r="O1816" s="5">
        <v>150</v>
      </c>
      <c r="P1816" s="5">
        <v>138</v>
      </c>
      <c r="Q1816" s="5">
        <v>150</v>
      </c>
      <c r="R1816" s="8">
        <v>3</v>
      </c>
      <c r="S1816" s="8">
        <v>5</v>
      </c>
      <c r="T1816" s="8">
        <v>4</v>
      </c>
      <c r="U1816" s="8">
        <v>8</v>
      </c>
      <c r="V1816" s="8">
        <v>2</v>
      </c>
      <c r="W1816" t="s">
        <v>473</v>
      </c>
      <c r="X1816" t="s">
        <v>473</v>
      </c>
      <c r="Y1816" t="s">
        <v>473</v>
      </c>
      <c r="Z1816" t="s">
        <v>473</v>
      </c>
      <c r="AA1816" t="s">
        <v>473</v>
      </c>
      <c r="AB1816" t="s">
        <v>473</v>
      </c>
      <c r="AC1816" s="10">
        <v>3</v>
      </c>
      <c r="AD1816" s="10">
        <v>11</v>
      </c>
      <c r="AE1816" t="s">
        <v>473</v>
      </c>
    </row>
    <row r="1817" spans="1:31" x14ac:dyDescent="0.25">
      <c r="A1817">
        <v>2549</v>
      </c>
      <c r="B1817">
        <v>1983</v>
      </c>
      <c r="C1817" t="s">
        <v>33</v>
      </c>
      <c r="D1817" t="s">
        <v>31</v>
      </c>
      <c r="E1817" t="str">
        <f>IF(OR(Table1[[#This Row],[marital_status]]="Married", Table1[[#This Row],[marital_status]]="Together"), "Partnered", "Single")</f>
        <v>Partnered</v>
      </c>
      <c r="F1817" s="7">
        <v>21840</v>
      </c>
      <c r="G1817" s="8">
        <v>1</v>
      </c>
      <c r="H1817" s="8">
        <v>0</v>
      </c>
      <c r="I1817" s="8">
        <f>Table1[[#This Row],[kids]]+Table1[[#This Row],[teens]]</f>
        <v>1</v>
      </c>
      <c r="J1817" s="9">
        <v>41476</v>
      </c>
      <c r="K1817" s="8">
        <v>80</v>
      </c>
      <c r="L1817" s="6">
        <v>17</v>
      </c>
      <c r="M1817" s="5">
        <v>0</v>
      </c>
      <c r="N1817" s="5">
        <v>9</v>
      </c>
      <c r="O1817" s="5">
        <v>0</v>
      </c>
      <c r="P1817" s="5">
        <v>0</v>
      </c>
      <c r="Q1817" s="5">
        <v>1</v>
      </c>
      <c r="R1817" s="8">
        <v>1</v>
      </c>
      <c r="S1817" s="8">
        <v>1</v>
      </c>
      <c r="T1817" s="8">
        <v>0</v>
      </c>
      <c r="U1817" s="8">
        <v>3</v>
      </c>
      <c r="V1817" s="8">
        <v>9</v>
      </c>
      <c r="W1817" t="s">
        <v>473</v>
      </c>
      <c r="X1817" t="s">
        <v>473</v>
      </c>
      <c r="Y1817" t="s">
        <v>473</v>
      </c>
      <c r="Z1817" t="s">
        <v>473</v>
      </c>
      <c r="AA1817" t="s">
        <v>473</v>
      </c>
      <c r="AB1817" t="s">
        <v>473</v>
      </c>
      <c r="AC1817" s="10">
        <v>3</v>
      </c>
      <c r="AD1817" s="10">
        <v>11</v>
      </c>
      <c r="AE1817" t="s">
        <v>473</v>
      </c>
    </row>
    <row r="1818" spans="1:31" x14ac:dyDescent="0.25">
      <c r="A1818">
        <v>5782</v>
      </c>
      <c r="B1818">
        <v>1982</v>
      </c>
      <c r="C1818" t="s">
        <v>46</v>
      </c>
      <c r="D1818" t="s">
        <v>31</v>
      </c>
      <c r="E1818" t="str">
        <f>IF(OR(Table1[[#This Row],[marital_status]]="Married", Table1[[#This Row],[marital_status]]="Together"), "Partnered", "Single")</f>
        <v>Partnered</v>
      </c>
      <c r="F1818" s="7">
        <v>58582</v>
      </c>
      <c r="G1818" s="8">
        <v>0</v>
      </c>
      <c r="H1818" s="8">
        <v>1</v>
      </c>
      <c r="I1818" s="8">
        <f>Table1[[#This Row],[kids]]+Table1[[#This Row],[teens]]</f>
        <v>1</v>
      </c>
      <c r="J1818" s="9">
        <v>41545</v>
      </c>
      <c r="K1818" s="8">
        <v>15</v>
      </c>
      <c r="L1818" s="6">
        <v>402</v>
      </c>
      <c r="M1818" s="5">
        <v>35</v>
      </c>
      <c r="N1818" s="5">
        <v>106</v>
      </c>
      <c r="O1818" s="5">
        <v>101</v>
      </c>
      <c r="P1818" s="5">
        <v>77</v>
      </c>
      <c r="Q1818" s="5">
        <v>42</v>
      </c>
      <c r="R1818" s="8">
        <v>2</v>
      </c>
      <c r="S1818" s="8">
        <v>9</v>
      </c>
      <c r="T1818" s="8">
        <v>2</v>
      </c>
      <c r="U1818" s="8">
        <v>9</v>
      </c>
      <c r="V1818" s="8">
        <v>5</v>
      </c>
      <c r="W1818" t="s">
        <v>473</v>
      </c>
      <c r="X1818" t="s">
        <v>474</v>
      </c>
      <c r="Y1818" t="s">
        <v>473</v>
      </c>
      <c r="Z1818" t="s">
        <v>473</v>
      </c>
      <c r="AA1818" t="s">
        <v>473</v>
      </c>
      <c r="AB1818" t="s">
        <v>473</v>
      </c>
      <c r="AC1818" s="10">
        <v>3</v>
      </c>
      <c r="AD1818" s="10">
        <v>11</v>
      </c>
      <c r="AE1818" t="s">
        <v>473</v>
      </c>
    </row>
    <row r="1819" spans="1:31" x14ac:dyDescent="0.25">
      <c r="A1819">
        <v>10057</v>
      </c>
      <c r="B1819">
        <v>1951</v>
      </c>
      <c r="C1819" t="s">
        <v>466</v>
      </c>
      <c r="D1819" t="s">
        <v>30</v>
      </c>
      <c r="E1819" t="str">
        <f>IF(OR(Table1[[#This Row],[marital_status]]="Married", Table1[[#This Row],[marital_status]]="Together"), "Partnered", "Single")</f>
        <v>Single</v>
      </c>
      <c r="F1819" s="7">
        <v>72282</v>
      </c>
      <c r="G1819" s="8">
        <v>0</v>
      </c>
      <c r="H1819" s="8">
        <v>0</v>
      </c>
      <c r="I1819" s="8">
        <f>Table1[[#This Row],[kids]]+Table1[[#This Row],[teens]]</f>
        <v>0</v>
      </c>
      <c r="J1819" s="9">
        <v>41474</v>
      </c>
      <c r="K1819" s="8">
        <v>70</v>
      </c>
      <c r="L1819" s="6">
        <v>503</v>
      </c>
      <c r="M1819" s="5">
        <v>27</v>
      </c>
      <c r="N1819" s="5">
        <v>419</v>
      </c>
      <c r="O1819" s="5">
        <v>90</v>
      </c>
      <c r="P1819" s="5">
        <v>139</v>
      </c>
      <c r="Q1819" s="5">
        <v>153</v>
      </c>
      <c r="R1819" s="8">
        <v>1</v>
      </c>
      <c r="S1819" s="8">
        <v>5</v>
      </c>
      <c r="T1819" s="8">
        <v>7</v>
      </c>
      <c r="U1819" s="8">
        <v>9</v>
      </c>
      <c r="V1819" s="8">
        <v>7</v>
      </c>
      <c r="W1819" t="s">
        <v>473</v>
      </c>
      <c r="X1819" t="s">
        <v>473</v>
      </c>
      <c r="Y1819" t="s">
        <v>473</v>
      </c>
      <c r="Z1819" t="s">
        <v>473</v>
      </c>
      <c r="AA1819" t="s">
        <v>473</v>
      </c>
      <c r="AB1819" t="s">
        <v>473</v>
      </c>
      <c r="AC1819" s="10">
        <v>3</v>
      </c>
      <c r="AD1819" s="10">
        <v>11</v>
      </c>
      <c r="AE1819" t="s">
        <v>474</v>
      </c>
    </row>
    <row r="1820" spans="1:31" x14ac:dyDescent="0.25">
      <c r="A1820">
        <v>10307</v>
      </c>
      <c r="B1820">
        <v>1956</v>
      </c>
      <c r="C1820" t="s">
        <v>466</v>
      </c>
      <c r="D1820" t="s">
        <v>34</v>
      </c>
      <c r="E1820" t="str">
        <f>IF(OR(Table1[[#This Row],[marital_status]]="Married", Table1[[#This Row],[marital_status]]="Together"), "Partnered", "Single")</f>
        <v>Partnered</v>
      </c>
      <c r="F1820" s="7">
        <v>50387</v>
      </c>
      <c r="G1820" s="8">
        <v>0</v>
      </c>
      <c r="H1820" s="8">
        <v>2</v>
      </c>
      <c r="I1820" s="8">
        <f>Table1[[#This Row],[kids]]+Table1[[#This Row],[teens]]</f>
        <v>2</v>
      </c>
      <c r="J1820" s="9">
        <v>41517</v>
      </c>
      <c r="K1820" s="8">
        <v>91</v>
      </c>
      <c r="L1820" s="6">
        <v>369</v>
      </c>
      <c r="M1820" s="5">
        <v>9</v>
      </c>
      <c r="N1820" s="5">
        <v>87</v>
      </c>
      <c r="O1820" s="5">
        <v>12</v>
      </c>
      <c r="P1820" s="5">
        <v>14</v>
      </c>
      <c r="Q1820" s="5">
        <v>34</v>
      </c>
      <c r="R1820" s="8">
        <v>3</v>
      </c>
      <c r="S1820" s="8">
        <v>6</v>
      </c>
      <c r="T1820" s="8">
        <v>2</v>
      </c>
      <c r="U1820" s="8">
        <v>8</v>
      </c>
      <c r="V1820" s="8">
        <v>5</v>
      </c>
      <c r="W1820" t="s">
        <v>473</v>
      </c>
      <c r="X1820" t="s">
        <v>473</v>
      </c>
      <c r="Y1820" t="s">
        <v>473</v>
      </c>
      <c r="Z1820" t="s">
        <v>473</v>
      </c>
      <c r="AA1820" t="s">
        <v>473</v>
      </c>
      <c r="AB1820" t="s">
        <v>473</v>
      </c>
      <c r="AC1820" s="10">
        <v>3</v>
      </c>
      <c r="AD1820" s="10">
        <v>11</v>
      </c>
      <c r="AE1820" t="s">
        <v>473</v>
      </c>
    </row>
    <row r="1821" spans="1:31" x14ac:dyDescent="0.25">
      <c r="A1821">
        <v>8566</v>
      </c>
      <c r="B1821">
        <v>1961</v>
      </c>
      <c r="C1821" t="s">
        <v>33</v>
      </c>
      <c r="D1821" t="s">
        <v>31</v>
      </c>
      <c r="E1821" t="str">
        <f>IF(OR(Table1[[#This Row],[marital_status]]="Married", Table1[[#This Row],[marital_status]]="Together"), "Partnered", "Single")</f>
        <v>Partnered</v>
      </c>
      <c r="F1821" s="7">
        <v>32583</v>
      </c>
      <c r="G1821" s="8">
        <v>1</v>
      </c>
      <c r="H1821" s="8">
        <v>1</v>
      </c>
      <c r="I1821" s="8">
        <f>Table1[[#This Row],[kids]]+Table1[[#This Row],[teens]]</f>
        <v>2</v>
      </c>
      <c r="J1821" s="9">
        <v>41805</v>
      </c>
      <c r="K1821" s="8">
        <v>10</v>
      </c>
      <c r="L1821" s="6">
        <v>5</v>
      </c>
      <c r="M1821" s="5">
        <v>0</v>
      </c>
      <c r="N1821" s="5">
        <v>3</v>
      </c>
      <c r="O1821" s="5">
        <v>0</v>
      </c>
      <c r="P1821" s="5">
        <v>0</v>
      </c>
      <c r="Q1821" s="5">
        <v>1</v>
      </c>
      <c r="R1821" s="8">
        <v>1</v>
      </c>
      <c r="S1821" s="8">
        <v>1</v>
      </c>
      <c r="T1821" s="8">
        <v>0</v>
      </c>
      <c r="U1821" s="8">
        <v>2</v>
      </c>
      <c r="V1821" s="8">
        <v>7</v>
      </c>
      <c r="W1821" t="s">
        <v>473</v>
      </c>
      <c r="X1821" t="s">
        <v>473</v>
      </c>
      <c r="Y1821" t="s">
        <v>473</v>
      </c>
      <c r="Z1821" t="s">
        <v>473</v>
      </c>
      <c r="AA1821" t="s">
        <v>473</v>
      </c>
      <c r="AB1821" t="s">
        <v>473</v>
      </c>
      <c r="AC1821" s="10">
        <v>3</v>
      </c>
      <c r="AD1821" s="10">
        <v>11</v>
      </c>
      <c r="AE1821" t="s">
        <v>473</v>
      </c>
    </row>
    <row r="1822" spans="1:31" x14ac:dyDescent="0.25">
      <c r="A1822">
        <v>2415</v>
      </c>
      <c r="B1822">
        <v>1962</v>
      </c>
      <c r="C1822" t="s">
        <v>466</v>
      </c>
      <c r="D1822" t="s">
        <v>31</v>
      </c>
      <c r="E1822" t="str">
        <f>IF(OR(Table1[[#This Row],[marital_status]]="Married", Table1[[#This Row],[marital_status]]="Together"), "Partnered", "Single")</f>
        <v>Partnered</v>
      </c>
      <c r="F1822" s="7">
        <v>62568</v>
      </c>
      <c r="G1822" s="8">
        <v>0</v>
      </c>
      <c r="H1822" s="8">
        <v>1</v>
      </c>
      <c r="I1822" s="8">
        <f>Table1[[#This Row],[kids]]+Table1[[#This Row],[teens]]</f>
        <v>1</v>
      </c>
      <c r="J1822" s="9">
        <v>41736</v>
      </c>
      <c r="K1822" s="8">
        <v>99</v>
      </c>
      <c r="L1822" s="6">
        <v>362</v>
      </c>
      <c r="M1822" s="5">
        <v>17</v>
      </c>
      <c r="N1822" s="5">
        <v>398</v>
      </c>
      <c r="O1822" s="5">
        <v>80</v>
      </c>
      <c r="P1822" s="5">
        <v>35</v>
      </c>
      <c r="Q1822" s="5">
        <v>61</v>
      </c>
      <c r="R1822" s="8">
        <v>3</v>
      </c>
      <c r="S1822" s="8">
        <v>5</v>
      </c>
      <c r="T1822" s="8">
        <v>3</v>
      </c>
      <c r="U1822" s="8">
        <v>5</v>
      </c>
      <c r="V1822" s="8">
        <v>4</v>
      </c>
      <c r="W1822" t="s">
        <v>473</v>
      </c>
      <c r="X1822" t="s">
        <v>473</v>
      </c>
      <c r="Y1822" t="s">
        <v>473</v>
      </c>
      <c r="Z1822" t="s">
        <v>474</v>
      </c>
      <c r="AA1822" t="s">
        <v>473</v>
      </c>
      <c r="AB1822" t="s">
        <v>473</v>
      </c>
      <c r="AC1822" s="10">
        <v>3</v>
      </c>
      <c r="AD1822" s="10">
        <v>11</v>
      </c>
      <c r="AE1822" t="s">
        <v>473</v>
      </c>
    </row>
    <row r="1823" spans="1:31" x14ac:dyDescent="0.25">
      <c r="A1823">
        <v>5684</v>
      </c>
      <c r="B1823">
        <v>1971</v>
      </c>
      <c r="C1823" t="s">
        <v>36</v>
      </c>
      <c r="D1823" t="s">
        <v>37</v>
      </c>
      <c r="E1823" t="str">
        <f>IF(OR(Table1[[#This Row],[marital_status]]="Married", Table1[[#This Row],[marital_status]]="Together"), "Partnered", "Single")</f>
        <v>Single</v>
      </c>
      <c r="F1823" s="7">
        <v>44635</v>
      </c>
      <c r="G1823" s="8">
        <v>1</v>
      </c>
      <c r="H1823" s="8">
        <v>1</v>
      </c>
      <c r="I1823" s="8">
        <f>Table1[[#This Row],[kids]]+Table1[[#This Row],[teens]]</f>
        <v>2</v>
      </c>
      <c r="J1823" s="9">
        <v>41558</v>
      </c>
      <c r="K1823" s="8">
        <v>25</v>
      </c>
      <c r="L1823" s="6">
        <v>56</v>
      </c>
      <c r="M1823" s="5">
        <v>0</v>
      </c>
      <c r="N1823" s="5">
        <v>9</v>
      </c>
      <c r="O1823" s="5">
        <v>0</v>
      </c>
      <c r="P1823" s="5">
        <v>0</v>
      </c>
      <c r="Q1823" s="5">
        <v>3</v>
      </c>
      <c r="R1823" s="8">
        <v>2</v>
      </c>
      <c r="S1823" s="8">
        <v>2</v>
      </c>
      <c r="T1823" s="8">
        <v>0</v>
      </c>
      <c r="U1823" s="8">
        <v>3</v>
      </c>
      <c r="V1823" s="8">
        <v>7</v>
      </c>
      <c r="W1823" t="s">
        <v>473</v>
      </c>
      <c r="X1823" t="s">
        <v>473</v>
      </c>
      <c r="Y1823" t="s">
        <v>473</v>
      </c>
      <c r="Z1823" t="s">
        <v>473</v>
      </c>
      <c r="AA1823" t="s">
        <v>473</v>
      </c>
      <c r="AB1823" t="s">
        <v>473</v>
      </c>
      <c r="AC1823" s="10">
        <v>3</v>
      </c>
      <c r="AD1823" s="10">
        <v>11</v>
      </c>
      <c r="AE1823" t="s">
        <v>473</v>
      </c>
    </row>
    <row r="1824" spans="1:31" x14ac:dyDescent="0.25">
      <c r="A1824">
        <v>8334</v>
      </c>
      <c r="B1824">
        <v>1971</v>
      </c>
      <c r="C1824" t="s">
        <v>36</v>
      </c>
      <c r="D1824" t="s">
        <v>30</v>
      </c>
      <c r="E1824" t="str">
        <f>IF(OR(Table1[[#This Row],[marital_status]]="Married", Table1[[#This Row],[marital_status]]="Together"), "Partnered", "Single")</f>
        <v>Single</v>
      </c>
      <c r="F1824" s="7">
        <v>33316</v>
      </c>
      <c r="G1824" s="8">
        <v>1</v>
      </c>
      <c r="H1824" s="8">
        <v>1</v>
      </c>
      <c r="I1824" s="8">
        <f>Table1[[#This Row],[kids]]+Table1[[#This Row],[teens]]</f>
        <v>2</v>
      </c>
      <c r="J1824" s="9">
        <v>41551</v>
      </c>
      <c r="K1824" s="8">
        <v>34</v>
      </c>
      <c r="L1824" s="6">
        <v>79</v>
      </c>
      <c r="M1824" s="5">
        <v>1</v>
      </c>
      <c r="N1824" s="5">
        <v>31</v>
      </c>
      <c r="O1824" s="5">
        <v>4</v>
      </c>
      <c r="P1824" s="5">
        <v>4</v>
      </c>
      <c r="Q1824" s="5">
        <v>12</v>
      </c>
      <c r="R1824" s="8">
        <v>3</v>
      </c>
      <c r="S1824" s="8">
        <v>2</v>
      </c>
      <c r="T1824" s="8">
        <v>1</v>
      </c>
      <c r="U1824" s="8">
        <v>4</v>
      </c>
      <c r="V1824" s="8">
        <v>6</v>
      </c>
      <c r="W1824" t="s">
        <v>473</v>
      </c>
      <c r="X1824" t="s">
        <v>473</v>
      </c>
      <c r="Y1824" t="s">
        <v>473</v>
      </c>
      <c r="Z1824" t="s">
        <v>473</v>
      </c>
      <c r="AA1824" t="s">
        <v>473</v>
      </c>
      <c r="AB1824" t="s">
        <v>473</v>
      </c>
      <c r="AC1824" s="10">
        <v>3</v>
      </c>
      <c r="AD1824" s="10">
        <v>11</v>
      </c>
      <c r="AE1824" t="s">
        <v>473</v>
      </c>
    </row>
    <row r="1825" spans="1:31" x14ac:dyDescent="0.25">
      <c r="A1825">
        <v>9166</v>
      </c>
      <c r="B1825">
        <v>1968</v>
      </c>
      <c r="C1825" t="s">
        <v>466</v>
      </c>
      <c r="D1825" t="s">
        <v>34</v>
      </c>
      <c r="E1825" t="str">
        <f>IF(OR(Table1[[#This Row],[marital_status]]="Married", Table1[[#This Row],[marital_status]]="Together"), "Partnered", "Single")</f>
        <v>Partnered</v>
      </c>
      <c r="F1825" s="7">
        <v>63967</v>
      </c>
      <c r="G1825" s="8">
        <v>0</v>
      </c>
      <c r="H1825" s="8">
        <v>1</v>
      </c>
      <c r="I1825" s="8">
        <f>Table1[[#This Row],[kids]]+Table1[[#This Row],[teens]]</f>
        <v>1</v>
      </c>
      <c r="J1825" s="9">
        <v>41495</v>
      </c>
      <c r="K1825" s="8">
        <v>57</v>
      </c>
      <c r="L1825" s="6">
        <v>387</v>
      </c>
      <c r="M1825" s="5">
        <v>84</v>
      </c>
      <c r="N1825" s="5">
        <v>141</v>
      </c>
      <c r="O1825" s="5">
        <v>73</v>
      </c>
      <c r="P1825" s="5">
        <v>35</v>
      </c>
      <c r="Q1825" s="5">
        <v>162</v>
      </c>
      <c r="R1825" s="8">
        <v>3</v>
      </c>
      <c r="S1825" s="8">
        <v>4</v>
      </c>
      <c r="T1825" s="8">
        <v>4</v>
      </c>
      <c r="U1825" s="8">
        <v>12</v>
      </c>
      <c r="V1825" s="8">
        <v>2</v>
      </c>
      <c r="W1825" t="s">
        <v>473</v>
      </c>
      <c r="X1825" t="s">
        <v>473</v>
      </c>
      <c r="Y1825" t="s">
        <v>473</v>
      </c>
      <c r="Z1825" t="s">
        <v>473</v>
      </c>
      <c r="AA1825" t="s">
        <v>473</v>
      </c>
      <c r="AB1825" t="s">
        <v>473</v>
      </c>
      <c r="AC1825" s="10">
        <v>3</v>
      </c>
      <c r="AD1825" s="10">
        <v>11</v>
      </c>
      <c r="AE1825" t="s">
        <v>473</v>
      </c>
    </row>
    <row r="1826" spans="1:31" x14ac:dyDescent="0.25">
      <c r="A1826">
        <v>1440</v>
      </c>
      <c r="B1826">
        <v>1978</v>
      </c>
      <c r="C1826" t="s">
        <v>46</v>
      </c>
      <c r="D1826" t="s">
        <v>31</v>
      </c>
      <c r="E1826" t="str">
        <f>IF(OR(Table1[[#This Row],[marital_status]]="Married", Table1[[#This Row],[marital_status]]="Together"), "Partnered", "Single")</f>
        <v>Partnered</v>
      </c>
      <c r="F1826" s="7">
        <v>52513</v>
      </c>
      <c r="G1826" s="8">
        <v>0</v>
      </c>
      <c r="H1826" s="8">
        <v>0</v>
      </c>
      <c r="I1826" s="8">
        <f>Table1[[#This Row],[kids]]+Table1[[#This Row],[teens]]</f>
        <v>0</v>
      </c>
      <c r="J1826" s="9">
        <v>41156</v>
      </c>
      <c r="K1826" s="8">
        <v>84</v>
      </c>
      <c r="L1826" s="6">
        <v>367</v>
      </c>
      <c r="M1826" s="5">
        <v>17</v>
      </c>
      <c r="N1826" s="5">
        <v>241</v>
      </c>
      <c r="O1826" s="5">
        <v>104</v>
      </c>
      <c r="P1826" s="5">
        <v>188</v>
      </c>
      <c r="Q1826" s="5">
        <v>232</v>
      </c>
      <c r="R1826" s="8">
        <v>2</v>
      </c>
      <c r="S1826" s="8">
        <v>9</v>
      </c>
      <c r="T1826" s="8">
        <v>5</v>
      </c>
      <c r="U1826" s="8">
        <v>9</v>
      </c>
      <c r="V1826" s="8">
        <v>7</v>
      </c>
      <c r="W1826" t="s">
        <v>473</v>
      </c>
      <c r="X1826" t="s">
        <v>473</v>
      </c>
      <c r="Y1826" t="s">
        <v>473</v>
      </c>
      <c r="Z1826" t="s">
        <v>473</v>
      </c>
      <c r="AA1826" t="s">
        <v>473</v>
      </c>
      <c r="AB1826" t="s">
        <v>473</v>
      </c>
      <c r="AC1826" s="10">
        <v>3</v>
      </c>
      <c r="AD1826" s="10">
        <v>11</v>
      </c>
      <c r="AE1826" t="s">
        <v>473</v>
      </c>
    </row>
    <row r="1827" spans="1:31" x14ac:dyDescent="0.25">
      <c r="A1827">
        <v>78</v>
      </c>
      <c r="B1827">
        <v>1969</v>
      </c>
      <c r="C1827" t="s">
        <v>466</v>
      </c>
      <c r="D1827" t="s">
        <v>34</v>
      </c>
      <c r="E1827" t="str">
        <f>IF(OR(Table1[[#This Row],[marital_status]]="Married", Table1[[#This Row],[marital_status]]="Together"), "Partnered", "Single")</f>
        <v>Partnered</v>
      </c>
      <c r="F1827" s="7">
        <v>25293</v>
      </c>
      <c r="G1827" s="8">
        <v>1</v>
      </c>
      <c r="H1827" s="8">
        <v>0</v>
      </c>
      <c r="I1827" s="8">
        <f>Table1[[#This Row],[kids]]+Table1[[#This Row],[teens]]</f>
        <v>1</v>
      </c>
      <c r="J1827" s="9">
        <v>41532</v>
      </c>
      <c r="K1827" s="8">
        <v>51</v>
      </c>
      <c r="L1827" s="6">
        <v>15</v>
      </c>
      <c r="M1827" s="5">
        <v>0</v>
      </c>
      <c r="N1827" s="5">
        <v>11</v>
      </c>
      <c r="O1827" s="5">
        <v>0</v>
      </c>
      <c r="P1827" s="5">
        <v>2</v>
      </c>
      <c r="Q1827" s="5">
        <v>9</v>
      </c>
      <c r="R1827" s="8">
        <v>1</v>
      </c>
      <c r="S1827" s="8">
        <v>1</v>
      </c>
      <c r="T1827" s="8">
        <v>1</v>
      </c>
      <c r="U1827" s="8">
        <v>2</v>
      </c>
      <c r="V1827" s="8">
        <v>8</v>
      </c>
      <c r="W1827" t="s">
        <v>473</v>
      </c>
      <c r="X1827" t="s">
        <v>473</v>
      </c>
      <c r="Y1827" t="s">
        <v>473</v>
      </c>
      <c r="Z1827" t="s">
        <v>473</v>
      </c>
      <c r="AA1827" t="s">
        <v>473</v>
      </c>
      <c r="AB1827" t="s">
        <v>473</v>
      </c>
      <c r="AC1827" s="10">
        <v>3</v>
      </c>
      <c r="AD1827" s="10">
        <v>11</v>
      </c>
      <c r="AE1827" t="s">
        <v>473</v>
      </c>
    </row>
    <row r="1828" spans="1:31" x14ac:dyDescent="0.25">
      <c r="A1828">
        <v>5441</v>
      </c>
      <c r="B1828">
        <v>1965</v>
      </c>
      <c r="C1828" t="s">
        <v>33</v>
      </c>
      <c r="D1828" t="s">
        <v>57</v>
      </c>
      <c r="E1828" t="str">
        <f>IF(OR(Table1[[#This Row],[marital_status]]="Married", Table1[[#This Row],[marital_status]]="Together"), "Partnered", "Single")</f>
        <v>Single</v>
      </c>
      <c r="F1828" s="7">
        <v>54111</v>
      </c>
      <c r="G1828" s="8">
        <v>0</v>
      </c>
      <c r="H1828" s="8">
        <v>1</v>
      </c>
      <c r="I1828" s="8">
        <f>Table1[[#This Row],[kids]]+Table1[[#This Row],[teens]]</f>
        <v>1</v>
      </c>
      <c r="J1828" s="9">
        <v>41511</v>
      </c>
      <c r="K1828" s="8">
        <v>97</v>
      </c>
      <c r="L1828" s="6">
        <v>267</v>
      </c>
      <c r="M1828" s="5">
        <v>6</v>
      </c>
      <c r="N1828" s="5">
        <v>54</v>
      </c>
      <c r="O1828" s="5">
        <v>8</v>
      </c>
      <c r="P1828" s="5">
        <v>3</v>
      </c>
      <c r="Q1828" s="5">
        <v>50</v>
      </c>
      <c r="R1828" s="8">
        <v>2</v>
      </c>
      <c r="S1828" s="8">
        <v>5</v>
      </c>
      <c r="T1828" s="8">
        <v>2</v>
      </c>
      <c r="U1828" s="8">
        <v>6</v>
      </c>
      <c r="V1828" s="8">
        <v>5</v>
      </c>
      <c r="W1828" t="s">
        <v>473</v>
      </c>
      <c r="X1828" t="s">
        <v>473</v>
      </c>
      <c r="Y1828" t="s">
        <v>473</v>
      </c>
      <c r="Z1828" t="s">
        <v>473</v>
      </c>
      <c r="AA1828" t="s">
        <v>473</v>
      </c>
      <c r="AB1828" t="s">
        <v>473</v>
      </c>
      <c r="AC1828" s="10">
        <v>3</v>
      </c>
      <c r="AD1828" s="10">
        <v>11</v>
      </c>
      <c r="AE1828" t="s">
        <v>473</v>
      </c>
    </row>
    <row r="1829" spans="1:31" x14ac:dyDescent="0.25">
      <c r="A1829">
        <v>5302</v>
      </c>
      <c r="B1829">
        <v>1986</v>
      </c>
      <c r="C1829" t="s">
        <v>466</v>
      </c>
      <c r="D1829" t="s">
        <v>31</v>
      </c>
      <c r="E1829" t="str">
        <f>IF(OR(Table1[[#This Row],[marital_status]]="Married", Table1[[#This Row],[marital_status]]="Together"), "Partnered", "Single")</f>
        <v>Partnered</v>
      </c>
      <c r="F1829" s="7">
        <v>78394</v>
      </c>
      <c r="G1829" s="8">
        <v>0</v>
      </c>
      <c r="H1829" s="8">
        <v>0</v>
      </c>
      <c r="I1829" s="8">
        <f>Table1[[#This Row],[kids]]+Table1[[#This Row],[teens]]</f>
        <v>0</v>
      </c>
      <c r="J1829" s="9">
        <v>41320</v>
      </c>
      <c r="K1829" s="8">
        <v>13</v>
      </c>
      <c r="L1829" s="6">
        <v>298</v>
      </c>
      <c r="M1829" s="5">
        <v>27</v>
      </c>
      <c r="N1829" s="5">
        <v>697</v>
      </c>
      <c r="O1829" s="5">
        <v>216</v>
      </c>
      <c r="P1829" s="5">
        <v>24</v>
      </c>
      <c r="Q1829" s="5">
        <v>166</v>
      </c>
      <c r="R1829" s="8">
        <v>1</v>
      </c>
      <c r="S1829" s="8">
        <v>4</v>
      </c>
      <c r="T1829" s="8">
        <v>6</v>
      </c>
      <c r="U1829" s="8">
        <v>5</v>
      </c>
      <c r="V1829" s="8">
        <v>2</v>
      </c>
      <c r="W1829" t="s">
        <v>473</v>
      </c>
      <c r="X1829" t="s">
        <v>473</v>
      </c>
      <c r="Y1829" t="s">
        <v>473</v>
      </c>
      <c r="Z1829" t="s">
        <v>473</v>
      </c>
      <c r="AA1829" t="s">
        <v>473</v>
      </c>
      <c r="AB1829" t="s">
        <v>473</v>
      </c>
      <c r="AC1829" s="10">
        <v>3</v>
      </c>
      <c r="AD1829" s="10">
        <v>11</v>
      </c>
      <c r="AE1829" t="s">
        <v>474</v>
      </c>
    </row>
    <row r="1830" spans="1:31" x14ac:dyDescent="0.25">
      <c r="A1830">
        <v>4687</v>
      </c>
      <c r="B1830">
        <v>1958</v>
      </c>
      <c r="C1830" t="s">
        <v>36</v>
      </c>
      <c r="D1830" t="s">
        <v>34</v>
      </c>
      <c r="E1830" t="str">
        <f>IF(OR(Table1[[#This Row],[marital_status]]="Married", Table1[[#This Row],[marital_status]]="Together"), "Partnered", "Single")</f>
        <v>Partnered</v>
      </c>
      <c r="F1830" s="7">
        <v>80739</v>
      </c>
      <c r="G1830" s="8">
        <v>0</v>
      </c>
      <c r="H1830" s="8">
        <v>0</v>
      </c>
      <c r="I1830" s="8">
        <f>Table1[[#This Row],[kids]]+Table1[[#This Row],[teens]]</f>
        <v>0</v>
      </c>
      <c r="J1830" s="9">
        <v>41417</v>
      </c>
      <c r="K1830" s="8">
        <v>92</v>
      </c>
      <c r="L1830" s="6">
        <v>674</v>
      </c>
      <c r="M1830" s="5">
        <v>92</v>
      </c>
      <c r="N1830" s="5">
        <v>736</v>
      </c>
      <c r="O1830" s="5">
        <v>39</v>
      </c>
      <c r="P1830" s="5">
        <v>0</v>
      </c>
      <c r="Q1830" s="5">
        <v>92</v>
      </c>
      <c r="R1830" s="8">
        <v>1</v>
      </c>
      <c r="S1830" s="8">
        <v>3</v>
      </c>
      <c r="T1830" s="8">
        <v>11</v>
      </c>
      <c r="U1830" s="8">
        <v>9</v>
      </c>
      <c r="V1830" s="8">
        <v>1</v>
      </c>
      <c r="W1830" t="s">
        <v>473</v>
      </c>
      <c r="X1830" t="s">
        <v>473</v>
      </c>
      <c r="Y1830" t="s">
        <v>473</v>
      </c>
      <c r="Z1830" t="s">
        <v>473</v>
      </c>
      <c r="AA1830" t="s">
        <v>473</v>
      </c>
      <c r="AB1830" t="s">
        <v>473</v>
      </c>
      <c r="AC1830" s="10">
        <v>3</v>
      </c>
      <c r="AD1830" s="10">
        <v>11</v>
      </c>
      <c r="AE1830" t="s">
        <v>473</v>
      </c>
    </row>
    <row r="1831" spans="1:31" x14ac:dyDescent="0.25">
      <c r="A1831">
        <v>1087</v>
      </c>
      <c r="B1831">
        <v>1975</v>
      </c>
      <c r="C1831" t="s">
        <v>36</v>
      </c>
      <c r="D1831" t="s">
        <v>31</v>
      </c>
      <c r="E1831" t="str">
        <f>IF(OR(Table1[[#This Row],[marital_status]]="Married", Table1[[#This Row],[marital_status]]="Together"), "Partnered", "Single")</f>
        <v>Partnered</v>
      </c>
      <c r="F1831" s="7">
        <v>22669</v>
      </c>
      <c r="G1831" s="8">
        <v>1</v>
      </c>
      <c r="H1831" s="8">
        <v>0</v>
      </c>
      <c r="I1831" s="8">
        <f>Table1[[#This Row],[kids]]+Table1[[#This Row],[teens]]</f>
        <v>1</v>
      </c>
      <c r="J1831" s="9">
        <v>41416</v>
      </c>
      <c r="K1831" s="8">
        <v>30</v>
      </c>
      <c r="L1831" s="6">
        <v>16</v>
      </c>
      <c r="M1831" s="5">
        <v>14</v>
      </c>
      <c r="N1831" s="5">
        <v>36</v>
      </c>
      <c r="O1831" s="5">
        <v>37</v>
      </c>
      <c r="P1831" s="5">
        <v>22</v>
      </c>
      <c r="Q1831" s="5">
        <v>48</v>
      </c>
      <c r="R1831" s="8">
        <v>3</v>
      </c>
      <c r="S1831" s="8">
        <v>4</v>
      </c>
      <c r="T1831" s="8">
        <v>1</v>
      </c>
      <c r="U1831" s="8">
        <v>2</v>
      </c>
      <c r="V1831" s="8">
        <v>9</v>
      </c>
      <c r="W1831" t="s">
        <v>473</v>
      </c>
      <c r="X1831" t="s">
        <v>473</v>
      </c>
      <c r="Y1831" t="s">
        <v>473</v>
      </c>
      <c r="Z1831" t="s">
        <v>473</v>
      </c>
      <c r="AA1831" t="s">
        <v>473</v>
      </c>
      <c r="AB1831" t="s">
        <v>473</v>
      </c>
      <c r="AC1831" s="10">
        <v>3</v>
      </c>
      <c r="AD1831" s="10">
        <v>11</v>
      </c>
      <c r="AE1831" t="s">
        <v>474</v>
      </c>
    </row>
    <row r="1832" spans="1:31" x14ac:dyDescent="0.25">
      <c r="A1832">
        <v>6859</v>
      </c>
      <c r="B1832">
        <v>1987</v>
      </c>
      <c r="C1832" t="s">
        <v>466</v>
      </c>
      <c r="D1832" t="s">
        <v>30</v>
      </c>
      <c r="E1832" t="str">
        <f>IF(OR(Table1[[#This Row],[marital_status]]="Married", Table1[[#This Row],[marital_status]]="Together"), "Partnered", "Single")</f>
        <v>Single</v>
      </c>
      <c r="F1832" s="7">
        <v>29236</v>
      </c>
      <c r="G1832" s="8">
        <v>1</v>
      </c>
      <c r="H1832" s="8">
        <v>0</v>
      </c>
      <c r="I1832" s="8">
        <f>Table1[[#This Row],[kids]]+Table1[[#This Row],[teens]]</f>
        <v>1</v>
      </c>
      <c r="J1832" s="9">
        <v>41555</v>
      </c>
      <c r="K1832" s="8">
        <v>30</v>
      </c>
      <c r="L1832" s="6">
        <v>37</v>
      </c>
      <c r="M1832" s="5">
        <v>4</v>
      </c>
      <c r="N1832" s="5">
        <v>24</v>
      </c>
      <c r="O1832" s="5">
        <v>16</v>
      </c>
      <c r="P1832" s="5">
        <v>9</v>
      </c>
      <c r="Q1832" s="5">
        <v>9</v>
      </c>
      <c r="R1832" s="8">
        <v>2</v>
      </c>
      <c r="S1832" s="8">
        <v>4</v>
      </c>
      <c r="T1832" s="8">
        <v>0</v>
      </c>
      <c r="U1832" s="8">
        <v>3</v>
      </c>
      <c r="V1832" s="8">
        <v>9</v>
      </c>
      <c r="W1832" t="s">
        <v>473</v>
      </c>
      <c r="X1832" t="s">
        <v>473</v>
      </c>
      <c r="Y1832" t="s">
        <v>473</v>
      </c>
      <c r="Z1832" t="s">
        <v>473</v>
      </c>
      <c r="AA1832" t="s">
        <v>473</v>
      </c>
      <c r="AB1832" t="s">
        <v>473</v>
      </c>
      <c r="AC1832" s="10">
        <v>3</v>
      </c>
      <c r="AD1832" s="10">
        <v>11</v>
      </c>
      <c r="AE1832" t="s">
        <v>473</v>
      </c>
    </row>
    <row r="1833" spans="1:31" x14ac:dyDescent="0.25">
      <c r="A1833">
        <v>9860</v>
      </c>
      <c r="B1833">
        <v>1959</v>
      </c>
      <c r="C1833" t="s">
        <v>466</v>
      </c>
      <c r="D1833" t="s">
        <v>31</v>
      </c>
      <c r="E1833" t="str">
        <f>IF(OR(Table1[[#This Row],[marital_status]]="Married", Table1[[#This Row],[marital_status]]="Together"), "Partnered", "Single")</f>
        <v>Partnered</v>
      </c>
      <c r="F1833" s="7">
        <v>44911</v>
      </c>
      <c r="G1833" s="8">
        <v>0</v>
      </c>
      <c r="H1833" s="8">
        <v>1</v>
      </c>
      <c r="I1833" s="8">
        <f>Table1[[#This Row],[kids]]+Table1[[#This Row],[teens]]</f>
        <v>1</v>
      </c>
      <c r="J1833" s="9">
        <v>41348</v>
      </c>
      <c r="K1833" s="8">
        <v>11</v>
      </c>
      <c r="L1833" s="6">
        <v>159</v>
      </c>
      <c r="M1833" s="5">
        <v>0</v>
      </c>
      <c r="N1833" s="5">
        <v>22</v>
      </c>
      <c r="O1833" s="5">
        <v>2</v>
      </c>
      <c r="P1833" s="5">
        <v>1</v>
      </c>
      <c r="Q1833" s="5">
        <v>31</v>
      </c>
      <c r="R1833" s="8">
        <v>3</v>
      </c>
      <c r="S1833" s="8">
        <v>4</v>
      </c>
      <c r="T1833" s="8">
        <v>1</v>
      </c>
      <c r="U1833" s="8">
        <v>4</v>
      </c>
      <c r="V1833" s="8">
        <v>7</v>
      </c>
      <c r="W1833" t="s">
        <v>473</v>
      </c>
      <c r="X1833" t="s">
        <v>473</v>
      </c>
      <c r="Y1833" t="s">
        <v>473</v>
      </c>
      <c r="Z1833" t="s">
        <v>473</v>
      </c>
      <c r="AA1833" t="s">
        <v>473</v>
      </c>
      <c r="AB1833" t="s">
        <v>473</v>
      </c>
      <c r="AC1833" s="10">
        <v>3</v>
      </c>
      <c r="AD1833" s="10">
        <v>11</v>
      </c>
      <c r="AE1833" t="s">
        <v>473</v>
      </c>
    </row>
    <row r="1834" spans="1:31" x14ac:dyDescent="0.25">
      <c r="A1834">
        <v>7129</v>
      </c>
      <c r="B1834">
        <v>1962</v>
      </c>
      <c r="C1834" t="s">
        <v>33</v>
      </c>
      <c r="D1834" t="s">
        <v>34</v>
      </c>
      <c r="E1834" t="str">
        <f>IF(OR(Table1[[#This Row],[marital_status]]="Married", Table1[[#This Row],[marital_status]]="Together"), "Partnered", "Single")</f>
        <v>Partnered</v>
      </c>
      <c r="F1834" s="7">
        <v>54693</v>
      </c>
      <c r="G1834" s="8">
        <v>0</v>
      </c>
      <c r="H1834" s="8">
        <v>1</v>
      </c>
      <c r="I1834" s="8">
        <f>Table1[[#This Row],[kids]]+Table1[[#This Row],[teens]]</f>
        <v>1</v>
      </c>
      <c r="J1834" s="9">
        <v>41322</v>
      </c>
      <c r="K1834" s="8">
        <v>72</v>
      </c>
      <c r="L1834" s="6">
        <v>686</v>
      </c>
      <c r="M1834" s="5">
        <v>17</v>
      </c>
      <c r="N1834" s="5">
        <v>142</v>
      </c>
      <c r="O1834" s="5">
        <v>23</v>
      </c>
      <c r="P1834" s="5">
        <v>26</v>
      </c>
      <c r="Q1834" s="5">
        <v>35</v>
      </c>
      <c r="R1834" s="8">
        <v>8</v>
      </c>
      <c r="S1834" s="8">
        <v>6</v>
      </c>
      <c r="T1834" s="8">
        <v>4</v>
      </c>
      <c r="U1834" s="8">
        <v>13</v>
      </c>
      <c r="V1834" s="8">
        <v>6</v>
      </c>
      <c r="W1834" t="s">
        <v>473</v>
      </c>
      <c r="X1834" t="s">
        <v>473</v>
      </c>
      <c r="Y1834" t="s">
        <v>473</v>
      </c>
      <c r="Z1834" t="s">
        <v>473</v>
      </c>
      <c r="AA1834" t="s">
        <v>473</v>
      </c>
      <c r="AB1834" t="s">
        <v>473</v>
      </c>
      <c r="AC1834" s="10">
        <v>3</v>
      </c>
      <c r="AD1834" s="10">
        <v>11</v>
      </c>
      <c r="AE1834" t="s">
        <v>473</v>
      </c>
    </row>
    <row r="1835" spans="1:31" x14ac:dyDescent="0.25">
      <c r="A1835">
        <v>5866</v>
      </c>
      <c r="B1835">
        <v>1974</v>
      </c>
      <c r="C1835" t="s">
        <v>466</v>
      </c>
      <c r="D1835" t="s">
        <v>31</v>
      </c>
      <c r="E1835" t="str">
        <f>IF(OR(Table1[[#This Row],[marital_status]]="Married", Table1[[#This Row],[marital_status]]="Together"), "Partnered", "Single")</f>
        <v>Partnered</v>
      </c>
      <c r="F1835" s="7">
        <v>48186</v>
      </c>
      <c r="G1835" s="8">
        <v>1</v>
      </c>
      <c r="H1835" s="8">
        <v>0</v>
      </c>
      <c r="I1835" s="8">
        <f>Table1[[#This Row],[kids]]+Table1[[#This Row],[teens]]</f>
        <v>1</v>
      </c>
      <c r="J1835" s="9">
        <v>41718</v>
      </c>
      <c r="K1835" s="8">
        <v>39</v>
      </c>
      <c r="L1835" s="6">
        <v>97</v>
      </c>
      <c r="M1835" s="5">
        <v>3</v>
      </c>
      <c r="N1835" s="5">
        <v>66</v>
      </c>
      <c r="O1835" s="5">
        <v>12</v>
      </c>
      <c r="P1835" s="5">
        <v>7</v>
      </c>
      <c r="Q1835" s="5">
        <v>34</v>
      </c>
      <c r="R1835" s="8">
        <v>3</v>
      </c>
      <c r="S1835" s="8">
        <v>4</v>
      </c>
      <c r="T1835" s="8">
        <v>1</v>
      </c>
      <c r="U1835" s="8">
        <v>4</v>
      </c>
      <c r="V1835" s="8">
        <v>7</v>
      </c>
      <c r="W1835" t="s">
        <v>473</v>
      </c>
      <c r="X1835" t="s">
        <v>473</v>
      </c>
      <c r="Y1835" t="s">
        <v>473</v>
      </c>
      <c r="Z1835" t="s">
        <v>473</v>
      </c>
      <c r="AA1835" t="s">
        <v>473</v>
      </c>
      <c r="AB1835" t="s">
        <v>473</v>
      </c>
      <c r="AC1835" s="10">
        <v>3</v>
      </c>
      <c r="AD1835" s="10">
        <v>11</v>
      </c>
      <c r="AE1835" t="s">
        <v>473</v>
      </c>
    </row>
    <row r="1836" spans="1:31" x14ac:dyDescent="0.25">
      <c r="A1836">
        <v>10521</v>
      </c>
      <c r="B1836">
        <v>1977</v>
      </c>
      <c r="C1836" t="s">
        <v>466</v>
      </c>
      <c r="D1836" t="s">
        <v>34</v>
      </c>
      <c r="E1836" t="str">
        <f>IF(OR(Table1[[#This Row],[marital_status]]="Married", Table1[[#This Row],[marital_status]]="Together"), "Partnered", "Single")</f>
        <v>Partnered</v>
      </c>
      <c r="F1836" s="7">
        <v>54809</v>
      </c>
      <c r="G1836" s="8">
        <v>1</v>
      </c>
      <c r="H1836" s="8">
        <v>1</v>
      </c>
      <c r="I1836" s="8">
        <f>Table1[[#This Row],[kids]]+Table1[[#This Row],[teens]]</f>
        <v>2</v>
      </c>
      <c r="J1836" s="9">
        <v>41528</v>
      </c>
      <c r="K1836" s="8">
        <v>0</v>
      </c>
      <c r="L1836" s="6">
        <v>63</v>
      </c>
      <c r="M1836" s="5">
        <v>6</v>
      </c>
      <c r="N1836" s="5">
        <v>57</v>
      </c>
      <c r="O1836" s="5">
        <v>13</v>
      </c>
      <c r="P1836" s="5">
        <v>13</v>
      </c>
      <c r="Q1836" s="5">
        <v>22</v>
      </c>
      <c r="R1836" s="8">
        <v>4</v>
      </c>
      <c r="S1836" s="8">
        <v>2</v>
      </c>
      <c r="T1836" s="8">
        <v>1</v>
      </c>
      <c r="U1836" s="8">
        <v>5</v>
      </c>
      <c r="V1836" s="8">
        <v>4</v>
      </c>
      <c r="W1836" t="s">
        <v>473</v>
      </c>
      <c r="X1836" t="s">
        <v>473</v>
      </c>
      <c r="Y1836" t="s">
        <v>473</v>
      </c>
      <c r="Z1836" t="s">
        <v>473</v>
      </c>
      <c r="AA1836" t="s">
        <v>473</v>
      </c>
      <c r="AB1836" t="s">
        <v>473</v>
      </c>
      <c r="AC1836" s="10">
        <v>3</v>
      </c>
      <c r="AD1836" s="10">
        <v>11</v>
      </c>
      <c r="AE1836" t="s">
        <v>474</v>
      </c>
    </row>
    <row r="1837" spans="1:31" x14ac:dyDescent="0.25">
      <c r="A1837">
        <v>7393</v>
      </c>
      <c r="B1837">
        <v>1978</v>
      </c>
      <c r="C1837" t="s">
        <v>466</v>
      </c>
      <c r="D1837" t="s">
        <v>31</v>
      </c>
      <c r="E1837" t="str">
        <f>IF(OR(Table1[[#This Row],[marital_status]]="Married", Table1[[#This Row],[marital_status]]="Together"), "Partnered", "Single")</f>
        <v>Partnered</v>
      </c>
      <c r="F1837" s="7">
        <v>41580</v>
      </c>
      <c r="G1837" s="8">
        <v>1</v>
      </c>
      <c r="H1837" s="8">
        <v>1</v>
      </c>
      <c r="I1837" s="8">
        <f>Table1[[#This Row],[kids]]+Table1[[#This Row],[teens]]</f>
        <v>2</v>
      </c>
      <c r="J1837" s="9">
        <v>41253</v>
      </c>
      <c r="K1837" s="8">
        <v>15</v>
      </c>
      <c r="L1837" s="6">
        <v>56</v>
      </c>
      <c r="M1837" s="5">
        <v>5</v>
      </c>
      <c r="N1837" s="5">
        <v>24</v>
      </c>
      <c r="O1837" s="5">
        <v>4</v>
      </c>
      <c r="P1837" s="5">
        <v>0</v>
      </c>
      <c r="Q1837" s="5">
        <v>3</v>
      </c>
      <c r="R1837" s="8">
        <v>3</v>
      </c>
      <c r="S1837" s="8">
        <v>2</v>
      </c>
      <c r="T1837" s="8">
        <v>1</v>
      </c>
      <c r="U1837" s="8">
        <v>3</v>
      </c>
      <c r="V1837" s="8">
        <v>5</v>
      </c>
      <c r="W1837" t="s">
        <v>473</v>
      </c>
      <c r="X1837" t="s">
        <v>473</v>
      </c>
      <c r="Y1837" t="s">
        <v>473</v>
      </c>
      <c r="Z1837" t="s">
        <v>473</v>
      </c>
      <c r="AA1837" t="s">
        <v>473</v>
      </c>
      <c r="AB1837" t="s">
        <v>473</v>
      </c>
      <c r="AC1837" s="10">
        <v>3</v>
      </c>
      <c r="AD1837" s="10">
        <v>11</v>
      </c>
      <c r="AE1837" t="s">
        <v>473</v>
      </c>
    </row>
    <row r="1838" spans="1:31" x14ac:dyDescent="0.25">
      <c r="A1838">
        <v>7849</v>
      </c>
      <c r="B1838">
        <v>1970</v>
      </c>
      <c r="C1838" t="s">
        <v>33</v>
      </c>
      <c r="D1838" t="s">
        <v>34</v>
      </c>
      <c r="E1838" t="str">
        <f>IF(OR(Table1[[#This Row],[marital_status]]="Married", Table1[[#This Row],[marital_status]]="Together"), "Partnered", "Single")</f>
        <v>Partnered</v>
      </c>
      <c r="F1838" s="7">
        <v>80336</v>
      </c>
      <c r="G1838" s="8">
        <v>0</v>
      </c>
      <c r="H1838" s="8">
        <v>0</v>
      </c>
      <c r="I1838" s="8">
        <f>Table1[[#This Row],[kids]]+Table1[[#This Row],[teens]]</f>
        <v>0</v>
      </c>
      <c r="J1838" s="9">
        <v>41526</v>
      </c>
      <c r="K1838" s="8">
        <v>12</v>
      </c>
      <c r="L1838" s="6">
        <v>209</v>
      </c>
      <c r="M1838" s="5">
        <v>19</v>
      </c>
      <c r="N1838" s="5">
        <v>456</v>
      </c>
      <c r="O1838" s="5">
        <v>160</v>
      </c>
      <c r="P1838" s="5">
        <v>142</v>
      </c>
      <c r="Q1838" s="5">
        <v>66</v>
      </c>
      <c r="R1838" s="8">
        <v>1</v>
      </c>
      <c r="S1838" s="8">
        <v>2</v>
      </c>
      <c r="T1838" s="8">
        <v>9</v>
      </c>
      <c r="U1838" s="8">
        <v>13</v>
      </c>
      <c r="V1838" s="8">
        <v>1</v>
      </c>
      <c r="W1838" t="s">
        <v>473</v>
      </c>
      <c r="X1838" t="s">
        <v>473</v>
      </c>
      <c r="Y1838" t="s">
        <v>473</v>
      </c>
      <c r="Z1838" t="s">
        <v>473</v>
      </c>
      <c r="AA1838" t="s">
        <v>473</v>
      </c>
      <c r="AB1838" t="s">
        <v>473</v>
      </c>
      <c r="AC1838" s="10">
        <v>3</v>
      </c>
      <c r="AD1838" s="10">
        <v>11</v>
      </c>
      <c r="AE1838" t="s">
        <v>473</v>
      </c>
    </row>
    <row r="1839" spans="1:31" x14ac:dyDescent="0.25">
      <c r="A1839">
        <v>332</v>
      </c>
      <c r="B1839">
        <v>1957</v>
      </c>
      <c r="C1839" t="s">
        <v>466</v>
      </c>
      <c r="D1839" t="s">
        <v>34</v>
      </c>
      <c r="E1839" t="str">
        <f>IF(OR(Table1[[#This Row],[marital_status]]="Married", Table1[[#This Row],[marital_status]]="Together"), "Partnered", "Single")</f>
        <v>Partnered</v>
      </c>
      <c r="F1839" s="7">
        <v>47743</v>
      </c>
      <c r="G1839" s="8">
        <v>0</v>
      </c>
      <c r="H1839" s="8">
        <v>1</v>
      </c>
      <c r="I1839" s="8">
        <f>Table1[[#This Row],[kids]]+Table1[[#This Row],[teens]]</f>
        <v>1</v>
      </c>
      <c r="J1839" s="9">
        <v>41355</v>
      </c>
      <c r="K1839" s="8">
        <v>56</v>
      </c>
      <c r="L1839" s="6">
        <v>198</v>
      </c>
      <c r="M1839" s="5">
        <v>2</v>
      </c>
      <c r="N1839" s="5">
        <v>43</v>
      </c>
      <c r="O1839" s="5">
        <v>0</v>
      </c>
      <c r="P1839" s="5">
        <v>12</v>
      </c>
      <c r="Q1839" s="5">
        <v>20</v>
      </c>
      <c r="R1839" s="8">
        <v>3</v>
      </c>
      <c r="S1839" s="8">
        <v>4</v>
      </c>
      <c r="T1839" s="8">
        <v>1</v>
      </c>
      <c r="U1839" s="8">
        <v>6</v>
      </c>
      <c r="V1839" s="8">
        <v>6</v>
      </c>
      <c r="W1839" t="s">
        <v>473</v>
      </c>
      <c r="X1839" t="s">
        <v>474</v>
      </c>
      <c r="Y1839" t="s">
        <v>473</v>
      </c>
      <c r="Z1839" t="s">
        <v>473</v>
      </c>
      <c r="AA1839" t="s">
        <v>473</v>
      </c>
      <c r="AB1839" t="s">
        <v>473</v>
      </c>
      <c r="AC1839" s="10">
        <v>3</v>
      </c>
      <c r="AD1839" s="10">
        <v>11</v>
      </c>
      <c r="AE1839" t="s">
        <v>473</v>
      </c>
    </row>
    <row r="1840" spans="1:31" x14ac:dyDescent="0.25">
      <c r="A1840">
        <v>9847</v>
      </c>
      <c r="B1840">
        <v>1955</v>
      </c>
      <c r="C1840" t="s">
        <v>46</v>
      </c>
      <c r="D1840" t="s">
        <v>34</v>
      </c>
      <c r="E1840" t="str">
        <f>IF(OR(Table1[[#This Row],[marital_status]]="Married", Table1[[#This Row],[marital_status]]="Together"), "Partnered", "Single")</f>
        <v>Partnered</v>
      </c>
      <c r="F1840" s="7">
        <v>62972</v>
      </c>
      <c r="G1840" s="8">
        <v>0</v>
      </c>
      <c r="H1840" s="8">
        <v>1</v>
      </c>
      <c r="I1840" s="8">
        <f>Table1[[#This Row],[kids]]+Table1[[#This Row],[teens]]</f>
        <v>1</v>
      </c>
      <c r="J1840" s="9">
        <v>41124</v>
      </c>
      <c r="K1840" s="8">
        <v>39</v>
      </c>
      <c r="L1840" s="6">
        <v>313</v>
      </c>
      <c r="M1840" s="5">
        <v>15</v>
      </c>
      <c r="N1840" s="5">
        <v>47</v>
      </c>
      <c r="O1840" s="5">
        <v>20</v>
      </c>
      <c r="P1840" s="5">
        <v>0</v>
      </c>
      <c r="Q1840" s="5">
        <v>192</v>
      </c>
      <c r="R1840" s="8">
        <v>2</v>
      </c>
      <c r="S1840" s="8">
        <v>7</v>
      </c>
      <c r="T1840" s="8">
        <v>4</v>
      </c>
      <c r="U1840" s="8">
        <v>3</v>
      </c>
      <c r="V1840" s="8">
        <v>6</v>
      </c>
      <c r="W1840" t="s">
        <v>473</v>
      </c>
      <c r="X1840" t="s">
        <v>473</v>
      </c>
      <c r="Y1840" t="s">
        <v>473</v>
      </c>
      <c r="Z1840" t="s">
        <v>473</v>
      </c>
      <c r="AA1840" t="s">
        <v>473</v>
      </c>
      <c r="AB1840" t="s">
        <v>473</v>
      </c>
      <c r="AC1840" s="10">
        <v>3</v>
      </c>
      <c r="AD1840" s="10">
        <v>11</v>
      </c>
      <c r="AE1840" t="s">
        <v>473</v>
      </c>
    </row>
    <row r="1841" spans="1:31" x14ac:dyDescent="0.25">
      <c r="A1841">
        <v>531</v>
      </c>
      <c r="B1841">
        <v>1954</v>
      </c>
      <c r="C1841" t="s">
        <v>33</v>
      </c>
      <c r="D1841" t="s">
        <v>37</v>
      </c>
      <c r="E1841" t="str">
        <f>IF(OR(Table1[[#This Row],[marital_status]]="Married", Table1[[#This Row],[marital_status]]="Together"), "Partnered", "Single")</f>
        <v>Single</v>
      </c>
      <c r="F1841" s="7">
        <v>57333</v>
      </c>
      <c r="G1841" s="8">
        <v>0</v>
      </c>
      <c r="H1841" s="8">
        <v>1</v>
      </c>
      <c r="I1841" s="8">
        <f>Table1[[#This Row],[kids]]+Table1[[#This Row],[teens]]</f>
        <v>1</v>
      </c>
      <c r="J1841" s="9">
        <v>41174</v>
      </c>
      <c r="K1841" s="8">
        <v>55</v>
      </c>
      <c r="L1841" s="6">
        <v>941</v>
      </c>
      <c r="M1841" s="5">
        <v>14</v>
      </c>
      <c r="N1841" s="5">
        <v>397</v>
      </c>
      <c r="O1841" s="5">
        <v>76</v>
      </c>
      <c r="P1841" s="5">
        <v>58</v>
      </c>
      <c r="Q1841" s="5">
        <v>176</v>
      </c>
      <c r="R1841" s="8">
        <v>11</v>
      </c>
      <c r="S1841" s="8">
        <v>8</v>
      </c>
      <c r="T1841" s="8">
        <v>5</v>
      </c>
      <c r="U1841" s="8">
        <v>9</v>
      </c>
      <c r="V1841" s="8">
        <v>6</v>
      </c>
      <c r="W1841" t="s">
        <v>473</v>
      </c>
      <c r="X1841" t="s">
        <v>473</v>
      </c>
      <c r="Y1841" t="s">
        <v>473</v>
      </c>
      <c r="Z1841" t="s">
        <v>473</v>
      </c>
      <c r="AA1841" t="s">
        <v>473</v>
      </c>
      <c r="AB1841" t="s">
        <v>473</v>
      </c>
      <c r="AC1841" s="10">
        <v>3</v>
      </c>
      <c r="AD1841" s="10">
        <v>11</v>
      </c>
      <c r="AE1841" t="s">
        <v>474</v>
      </c>
    </row>
    <row r="1842" spans="1:31" x14ac:dyDescent="0.25">
      <c r="A1842">
        <v>9576</v>
      </c>
      <c r="B1842">
        <v>1982</v>
      </c>
      <c r="C1842" t="s">
        <v>33</v>
      </c>
      <c r="D1842" t="s">
        <v>31</v>
      </c>
      <c r="E1842" t="str">
        <f>IF(OR(Table1[[#This Row],[marital_status]]="Married", Table1[[#This Row],[marital_status]]="Together"), "Partnered", "Single")</f>
        <v>Partnered</v>
      </c>
      <c r="F1842" s="7">
        <v>32313</v>
      </c>
      <c r="G1842" s="8">
        <v>1</v>
      </c>
      <c r="H1842" s="8">
        <v>0</v>
      </c>
      <c r="I1842" s="8">
        <f>Table1[[#This Row],[kids]]+Table1[[#This Row],[teens]]</f>
        <v>1</v>
      </c>
      <c r="J1842" s="9">
        <v>41316</v>
      </c>
      <c r="K1842" s="8">
        <v>60</v>
      </c>
      <c r="L1842" s="6">
        <v>86</v>
      </c>
      <c r="M1842" s="5">
        <v>4</v>
      </c>
      <c r="N1842" s="5">
        <v>56</v>
      </c>
      <c r="O1842" s="5">
        <v>2</v>
      </c>
      <c r="P1842" s="5">
        <v>4</v>
      </c>
      <c r="Q1842" s="5">
        <v>7</v>
      </c>
      <c r="R1842" s="8">
        <v>3</v>
      </c>
      <c r="S1842" s="8">
        <v>4</v>
      </c>
      <c r="T1842" s="8">
        <v>0</v>
      </c>
      <c r="U1842" s="8">
        <v>4</v>
      </c>
      <c r="V1842" s="8">
        <v>9</v>
      </c>
      <c r="W1842" t="s">
        <v>473</v>
      </c>
      <c r="X1842" t="s">
        <v>473</v>
      </c>
      <c r="Y1842" t="s">
        <v>473</v>
      </c>
      <c r="Z1842" t="s">
        <v>473</v>
      </c>
      <c r="AA1842" t="s">
        <v>473</v>
      </c>
      <c r="AB1842" t="s">
        <v>473</v>
      </c>
      <c r="AC1842" s="10">
        <v>3</v>
      </c>
      <c r="AD1842" s="10">
        <v>11</v>
      </c>
      <c r="AE1842" t="s">
        <v>473</v>
      </c>
    </row>
    <row r="1843" spans="1:31" x14ac:dyDescent="0.25">
      <c r="A1843">
        <v>6906</v>
      </c>
      <c r="B1843">
        <v>1953</v>
      </c>
      <c r="C1843" t="s">
        <v>36</v>
      </c>
      <c r="D1843" t="s">
        <v>57</v>
      </c>
      <c r="E1843" t="str">
        <f>IF(OR(Table1[[#This Row],[marital_status]]="Married", Table1[[#This Row],[marital_status]]="Together"), "Partnered", "Single")</f>
        <v>Single</v>
      </c>
      <c r="F1843" s="7">
        <v>84953</v>
      </c>
      <c r="G1843" s="8">
        <v>0</v>
      </c>
      <c r="H1843" s="8">
        <v>0</v>
      </c>
      <c r="I1843" s="8">
        <f>Table1[[#This Row],[kids]]+Table1[[#This Row],[teens]]</f>
        <v>0</v>
      </c>
      <c r="J1843" s="9">
        <v>41428</v>
      </c>
      <c r="K1843" s="8">
        <v>73</v>
      </c>
      <c r="L1843" s="6">
        <v>167</v>
      </c>
      <c r="M1843" s="5">
        <v>48</v>
      </c>
      <c r="N1843" s="5">
        <v>602</v>
      </c>
      <c r="O1843" s="5">
        <v>63</v>
      </c>
      <c r="P1843" s="5">
        <v>72</v>
      </c>
      <c r="Q1843" s="5">
        <v>72</v>
      </c>
      <c r="R1843" s="8">
        <v>1</v>
      </c>
      <c r="S1843" s="8">
        <v>3</v>
      </c>
      <c r="T1843" s="8">
        <v>10</v>
      </c>
      <c r="U1843" s="8">
        <v>4</v>
      </c>
      <c r="V1843" s="8">
        <v>2</v>
      </c>
      <c r="W1843" t="s">
        <v>473</v>
      </c>
      <c r="X1843" t="s">
        <v>474</v>
      </c>
      <c r="Y1843" t="s">
        <v>474</v>
      </c>
      <c r="Z1843" t="s">
        <v>474</v>
      </c>
      <c r="AA1843" t="s">
        <v>473</v>
      </c>
      <c r="AB1843" t="s">
        <v>473</v>
      </c>
      <c r="AC1843" s="10">
        <v>3</v>
      </c>
      <c r="AD1843" s="10">
        <v>11</v>
      </c>
      <c r="AE1843" t="s">
        <v>474</v>
      </c>
    </row>
    <row r="1844" spans="1:31" x14ac:dyDescent="0.25">
      <c r="A1844">
        <v>7419</v>
      </c>
      <c r="B1844">
        <v>1968</v>
      </c>
      <c r="C1844" t="s">
        <v>36</v>
      </c>
      <c r="D1844" t="s">
        <v>37</v>
      </c>
      <c r="E1844" t="str">
        <f>IF(OR(Table1[[#This Row],[marital_status]]="Married", Table1[[#This Row],[marital_status]]="Together"), "Partnered", "Single")</f>
        <v>Single</v>
      </c>
      <c r="F1844" s="7">
        <v>27071</v>
      </c>
      <c r="G1844" s="8">
        <v>1</v>
      </c>
      <c r="H1844" s="8">
        <v>0</v>
      </c>
      <c r="I1844" s="8">
        <f>Table1[[#This Row],[kids]]+Table1[[#This Row],[teens]]</f>
        <v>1</v>
      </c>
      <c r="J1844" s="9">
        <v>41752</v>
      </c>
      <c r="K1844" s="8">
        <v>90</v>
      </c>
      <c r="L1844" s="6">
        <v>8</v>
      </c>
      <c r="M1844" s="5">
        <v>3</v>
      </c>
      <c r="N1844" s="5">
        <v>19</v>
      </c>
      <c r="O1844" s="5">
        <v>0</v>
      </c>
      <c r="P1844" s="5">
        <v>2</v>
      </c>
      <c r="Q1844" s="5">
        <v>3</v>
      </c>
      <c r="R1844" s="8">
        <v>2</v>
      </c>
      <c r="S1844" s="8">
        <v>2</v>
      </c>
      <c r="T1844" s="8">
        <v>0</v>
      </c>
      <c r="U1844" s="8">
        <v>3</v>
      </c>
      <c r="V1844" s="8">
        <v>6</v>
      </c>
      <c r="W1844" t="s">
        <v>473</v>
      </c>
      <c r="X1844" t="s">
        <v>473</v>
      </c>
      <c r="Y1844" t="s">
        <v>473</v>
      </c>
      <c r="Z1844" t="s">
        <v>473</v>
      </c>
      <c r="AA1844" t="s">
        <v>473</v>
      </c>
      <c r="AB1844" t="s">
        <v>473</v>
      </c>
      <c r="AC1844" s="10">
        <v>3</v>
      </c>
      <c r="AD1844" s="10">
        <v>11</v>
      </c>
      <c r="AE1844" t="s">
        <v>473</v>
      </c>
    </row>
    <row r="1845" spans="1:31" x14ac:dyDescent="0.25">
      <c r="A1845">
        <v>3170</v>
      </c>
      <c r="B1845">
        <v>1957</v>
      </c>
      <c r="C1845" t="s">
        <v>36</v>
      </c>
      <c r="D1845" t="s">
        <v>31</v>
      </c>
      <c r="E1845" t="str">
        <f>IF(OR(Table1[[#This Row],[marital_status]]="Married", Table1[[#This Row],[marital_status]]="Together"), "Partnered", "Single")</f>
        <v>Partnered</v>
      </c>
      <c r="F1845" s="7">
        <v>68148</v>
      </c>
      <c r="G1845" s="8">
        <v>0</v>
      </c>
      <c r="H1845" s="8">
        <v>0</v>
      </c>
      <c r="I1845" s="8">
        <f>Table1[[#This Row],[kids]]+Table1[[#This Row],[teens]]</f>
        <v>0</v>
      </c>
      <c r="J1845" s="9">
        <v>41517</v>
      </c>
      <c r="K1845" s="8">
        <v>86</v>
      </c>
      <c r="L1845" s="6">
        <v>389</v>
      </c>
      <c r="M1845" s="5">
        <v>66</v>
      </c>
      <c r="N1845" s="5">
        <v>408</v>
      </c>
      <c r="O1845" s="5">
        <v>37</v>
      </c>
      <c r="P1845" s="5">
        <v>57</v>
      </c>
      <c r="Q1845" s="5">
        <v>85</v>
      </c>
      <c r="R1845" s="8">
        <v>1</v>
      </c>
      <c r="S1845" s="8">
        <v>4</v>
      </c>
      <c r="T1845" s="8">
        <v>4</v>
      </c>
      <c r="U1845" s="8">
        <v>6</v>
      </c>
      <c r="V1845" s="8">
        <v>2</v>
      </c>
      <c r="W1845" t="s">
        <v>473</v>
      </c>
      <c r="X1845" t="s">
        <v>473</v>
      </c>
      <c r="Y1845" t="s">
        <v>473</v>
      </c>
      <c r="Z1845" t="s">
        <v>473</v>
      </c>
      <c r="AA1845" t="s">
        <v>473</v>
      </c>
      <c r="AB1845" t="s">
        <v>473</v>
      </c>
      <c r="AC1845" s="10">
        <v>3</v>
      </c>
      <c r="AD1845" s="10">
        <v>11</v>
      </c>
      <c r="AE1845" t="s">
        <v>473</v>
      </c>
    </row>
    <row r="1846" spans="1:31" x14ac:dyDescent="0.25">
      <c r="A1846">
        <v>8527</v>
      </c>
      <c r="B1846">
        <v>1965</v>
      </c>
      <c r="C1846" t="s">
        <v>36</v>
      </c>
      <c r="D1846" t="s">
        <v>31</v>
      </c>
      <c r="E1846" t="str">
        <f>IF(OR(Table1[[#This Row],[marital_status]]="Married", Table1[[#This Row],[marital_status]]="Together"), "Partnered", "Single")</f>
        <v>Partnered</v>
      </c>
      <c r="F1846" s="7">
        <v>65735</v>
      </c>
      <c r="G1846" s="8">
        <v>1</v>
      </c>
      <c r="H1846" s="8">
        <v>1</v>
      </c>
      <c r="I1846" s="8">
        <f>Table1[[#This Row],[kids]]+Table1[[#This Row],[teens]]</f>
        <v>2</v>
      </c>
      <c r="J1846" s="9">
        <v>41615</v>
      </c>
      <c r="K1846" s="8">
        <v>37</v>
      </c>
      <c r="L1846" s="6">
        <v>239</v>
      </c>
      <c r="M1846" s="5">
        <v>7</v>
      </c>
      <c r="N1846" s="5">
        <v>119</v>
      </c>
      <c r="O1846" s="5">
        <v>4</v>
      </c>
      <c r="P1846" s="5">
        <v>15</v>
      </c>
      <c r="Q1846" s="5">
        <v>11</v>
      </c>
      <c r="R1846" s="8">
        <v>5</v>
      </c>
      <c r="S1846" s="8">
        <v>6</v>
      </c>
      <c r="T1846" s="8">
        <v>2</v>
      </c>
      <c r="U1846" s="8">
        <v>6</v>
      </c>
      <c r="V1846" s="8">
        <v>7</v>
      </c>
      <c r="W1846" t="s">
        <v>473</v>
      </c>
      <c r="X1846" t="s">
        <v>473</v>
      </c>
      <c r="Y1846" t="s">
        <v>473</v>
      </c>
      <c r="Z1846" t="s">
        <v>473</v>
      </c>
      <c r="AA1846" t="s">
        <v>473</v>
      </c>
      <c r="AB1846" t="s">
        <v>473</v>
      </c>
      <c r="AC1846" s="10">
        <v>3</v>
      </c>
      <c r="AD1846" s="10">
        <v>11</v>
      </c>
      <c r="AE1846" t="s">
        <v>473</v>
      </c>
    </row>
    <row r="1847" spans="1:31" x14ac:dyDescent="0.25">
      <c r="A1847">
        <v>7872</v>
      </c>
      <c r="B1847">
        <v>1975</v>
      </c>
      <c r="C1847" t="s">
        <v>33</v>
      </c>
      <c r="D1847" t="s">
        <v>34</v>
      </c>
      <c r="E1847" t="str">
        <f>IF(OR(Table1[[#This Row],[marital_status]]="Married", Table1[[#This Row],[marital_status]]="Together"), "Partnered", "Single")</f>
        <v>Partnered</v>
      </c>
      <c r="F1847" s="7">
        <v>86836</v>
      </c>
      <c r="G1847" s="8">
        <v>0</v>
      </c>
      <c r="H1847" s="8">
        <v>0</v>
      </c>
      <c r="I1847" s="8">
        <f>Table1[[#This Row],[kids]]+Table1[[#This Row],[teens]]</f>
        <v>0</v>
      </c>
      <c r="J1847" s="9">
        <v>41164</v>
      </c>
      <c r="K1847" s="8">
        <v>7</v>
      </c>
      <c r="L1847" s="6">
        <v>179</v>
      </c>
      <c r="M1847" s="5">
        <v>21</v>
      </c>
      <c r="N1847" s="5">
        <v>273</v>
      </c>
      <c r="O1847" s="5">
        <v>0</v>
      </c>
      <c r="P1847" s="5">
        <v>21</v>
      </c>
      <c r="Q1847" s="5">
        <v>63</v>
      </c>
      <c r="R1847" s="8">
        <v>1</v>
      </c>
      <c r="S1847" s="8">
        <v>6</v>
      </c>
      <c r="T1847" s="8">
        <v>10</v>
      </c>
      <c r="U1847" s="8">
        <v>6</v>
      </c>
      <c r="V1847" s="8">
        <v>5</v>
      </c>
      <c r="W1847" t="s">
        <v>474</v>
      </c>
      <c r="X1847" t="s">
        <v>473</v>
      </c>
      <c r="Y1847" t="s">
        <v>474</v>
      </c>
      <c r="Z1847" t="s">
        <v>474</v>
      </c>
      <c r="AA1847" t="s">
        <v>473</v>
      </c>
      <c r="AB1847" t="s">
        <v>473</v>
      </c>
      <c r="AC1847" s="10">
        <v>3</v>
      </c>
      <c r="AD1847" s="10">
        <v>11</v>
      </c>
      <c r="AE1847" t="s">
        <v>474</v>
      </c>
    </row>
    <row r="1848" spans="1:31" x14ac:dyDescent="0.25">
      <c r="A1848">
        <v>9931</v>
      </c>
      <c r="B1848">
        <v>1963</v>
      </c>
      <c r="C1848" t="s">
        <v>33</v>
      </c>
      <c r="D1848" t="s">
        <v>34</v>
      </c>
      <c r="E1848" t="str">
        <f>IF(OR(Table1[[#This Row],[marital_status]]="Married", Table1[[#This Row],[marital_status]]="Together"), "Partnered", "Single")</f>
        <v>Partnered</v>
      </c>
      <c r="F1848" s="7">
        <v>4023</v>
      </c>
      <c r="G1848" s="8">
        <v>1</v>
      </c>
      <c r="H1848" s="8">
        <v>1</v>
      </c>
      <c r="I1848" s="8">
        <f>Table1[[#This Row],[kids]]+Table1[[#This Row],[teens]]</f>
        <v>2</v>
      </c>
      <c r="J1848" s="9">
        <v>41813</v>
      </c>
      <c r="K1848" s="8">
        <v>29</v>
      </c>
      <c r="L1848" s="6">
        <v>5</v>
      </c>
      <c r="M1848" s="5">
        <v>0</v>
      </c>
      <c r="N1848" s="5">
        <v>1</v>
      </c>
      <c r="O1848" s="5">
        <v>1</v>
      </c>
      <c r="P1848" s="5">
        <v>1</v>
      </c>
      <c r="Q1848" s="5">
        <v>1</v>
      </c>
      <c r="R1848" s="8">
        <v>15</v>
      </c>
      <c r="S1848" s="8">
        <v>0</v>
      </c>
      <c r="T1848" s="8">
        <v>0</v>
      </c>
      <c r="U1848" s="8">
        <v>0</v>
      </c>
      <c r="V1848" s="8">
        <v>19</v>
      </c>
      <c r="W1848" t="s">
        <v>473</v>
      </c>
      <c r="X1848" t="s">
        <v>473</v>
      </c>
      <c r="Y1848" t="s">
        <v>473</v>
      </c>
      <c r="Z1848" t="s">
        <v>473</v>
      </c>
      <c r="AA1848" t="s">
        <v>473</v>
      </c>
      <c r="AB1848" t="s">
        <v>473</v>
      </c>
      <c r="AC1848" s="10">
        <v>3</v>
      </c>
      <c r="AD1848" s="10">
        <v>11</v>
      </c>
      <c r="AE1848" t="s">
        <v>473</v>
      </c>
    </row>
    <row r="1849" spans="1:31" x14ac:dyDescent="0.25">
      <c r="A1849">
        <v>10595</v>
      </c>
      <c r="B1849">
        <v>1990</v>
      </c>
      <c r="C1849" t="s">
        <v>466</v>
      </c>
      <c r="D1849" t="s">
        <v>34</v>
      </c>
      <c r="E1849" t="str">
        <f>IF(OR(Table1[[#This Row],[marital_status]]="Married", Table1[[#This Row],[marital_status]]="Together"), "Partnered", "Single")</f>
        <v>Partnered</v>
      </c>
      <c r="F1849" s="7">
        <v>30093</v>
      </c>
      <c r="G1849" s="8">
        <v>0</v>
      </c>
      <c r="H1849" s="8">
        <v>0</v>
      </c>
      <c r="I1849" s="8">
        <f>Table1[[#This Row],[kids]]+Table1[[#This Row],[teens]]</f>
        <v>0</v>
      </c>
      <c r="J1849" s="9">
        <v>41463</v>
      </c>
      <c r="K1849" s="8">
        <v>19</v>
      </c>
      <c r="L1849" s="6">
        <v>2</v>
      </c>
      <c r="M1849" s="5">
        <v>6</v>
      </c>
      <c r="N1849" s="5">
        <v>28</v>
      </c>
      <c r="O1849" s="5">
        <v>13</v>
      </c>
      <c r="P1849" s="5">
        <v>4</v>
      </c>
      <c r="Q1849" s="5">
        <v>16</v>
      </c>
      <c r="R1849" s="8">
        <v>1</v>
      </c>
      <c r="S1849" s="8">
        <v>2</v>
      </c>
      <c r="T1849" s="8">
        <v>0</v>
      </c>
      <c r="U1849" s="8">
        <v>3</v>
      </c>
      <c r="V1849" s="8">
        <v>7</v>
      </c>
      <c r="W1849" t="s">
        <v>473</v>
      </c>
      <c r="X1849" t="s">
        <v>473</v>
      </c>
      <c r="Y1849" t="s">
        <v>473</v>
      </c>
      <c r="Z1849" t="s">
        <v>473</v>
      </c>
      <c r="AA1849" t="s">
        <v>473</v>
      </c>
      <c r="AB1849" t="s">
        <v>473</v>
      </c>
      <c r="AC1849" s="10">
        <v>3</v>
      </c>
      <c r="AD1849" s="10">
        <v>11</v>
      </c>
      <c r="AE1849" t="s">
        <v>473</v>
      </c>
    </row>
    <row r="1850" spans="1:31" x14ac:dyDescent="0.25">
      <c r="A1850">
        <v>4609</v>
      </c>
      <c r="B1850">
        <v>1966</v>
      </c>
      <c r="C1850" t="s">
        <v>33</v>
      </c>
      <c r="D1850" t="s">
        <v>34</v>
      </c>
      <c r="E1850" t="str">
        <f>IF(OR(Table1[[#This Row],[marital_status]]="Married", Table1[[#This Row],[marital_status]]="Together"), "Partnered", "Single")</f>
        <v>Partnered</v>
      </c>
      <c r="F1850" s="7">
        <v>57705</v>
      </c>
      <c r="G1850" s="8">
        <v>0</v>
      </c>
      <c r="H1850" s="8">
        <v>1</v>
      </c>
      <c r="I1850" s="8">
        <f>Table1[[#This Row],[kids]]+Table1[[#This Row],[teens]]</f>
        <v>1</v>
      </c>
      <c r="J1850" s="9">
        <v>41650</v>
      </c>
      <c r="K1850" s="8">
        <v>14</v>
      </c>
      <c r="L1850" s="6">
        <v>383</v>
      </c>
      <c r="M1850" s="5">
        <v>0</v>
      </c>
      <c r="N1850" s="5">
        <v>53</v>
      </c>
      <c r="O1850" s="5">
        <v>6</v>
      </c>
      <c r="P1850" s="5">
        <v>4</v>
      </c>
      <c r="Q1850" s="5">
        <v>40</v>
      </c>
      <c r="R1850" s="8">
        <v>3</v>
      </c>
      <c r="S1850" s="8">
        <v>8</v>
      </c>
      <c r="T1850" s="8">
        <v>1</v>
      </c>
      <c r="U1850" s="8">
        <v>6</v>
      </c>
      <c r="V1850" s="8">
        <v>6</v>
      </c>
      <c r="W1850" t="s">
        <v>473</v>
      </c>
      <c r="X1850" t="s">
        <v>473</v>
      </c>
      <c r="Y1850" t="s">
        <v>473</v>
      </c>
      <c r="Z1850" t="s">
        <v>473</v>
      </c>
      <c r="AA1850" t="s">
        <v>473</v>
      </c>
      <c r="AB1850" t="s">
        <v>473</v>
      </c>
      <c r="AC1850" s="10">
        <v>3</v>
      </c>
      <c r="AD1850" s="10">
        <v>11</v>
      </c>
      <c r="AE1850" t="s">
        <v>473</v>
      </c>
    </row>
    <row r="1851" spans="1:31" x14ac:dyDescent="0.25">
      <c r="A1851">
        <v>5010</v>
      </c>
      <c r="B1851">
        <v>1988</v>
      </c>
      <c r="C1851" t="s">
        <v>466</v>
      </c>
      <c r="D1851" t="s">
        <v>30</v>
      </c>
      <c r="E1851" t="str">
        <f>IF(OR(Table1[[#This Row],[marital_status]]="Married", Table1[[#This Row],[marital_status]]="Together"), "Partnered", "Single")</f>
        <v>Single</v>
      </c>
      <c r="F1851" s="7">
        <v>25008</v>
      </c>
      <c r="G1851" s="8">
        <v>1</v>
      </c>
      <c r="H1851" s="8">
        <v>0</v>
      </c>
      <c r="I1851" s="8">
        <f>Table1[[#This Row],[kids]]+Table1[[#This Row],[teens]]</f>
        <v>1</v>
      </c>
      <c r="J1851" s="9">
        <v>41672</v>
      </c>
      <c r="K1851" s="8">
        <v>72</v>
      </c>
      <c r="L1851" s="6">
        <v>2</v>
      </c>
      <c r="M1851" s="5">
        <v>8</v>
      </c>
      <c r="N1851" s="5">
        <v>8</v>
      </c>
      <c r="O1851" s="5">
        <v>6</v>
      </c>
      <c r="P1851" s="5">
        <v>1</v>
      </c>
      <c r="Q1851" s="5">
        <v>9</v>
      </c>
      <c r="R1851" s="8">
        <v>2</v>
      </c>
      <c r="S1851" s="8">
        <v>1</v>
      </c>
      <c r="T1851" s="8">
        <v>0</v>
      </c>
      <c r="U1851" s="8">
        <v>3</v>
      </c>
      <c r="V1851" s="8">
        <v>8</v>
      </c>
      <c r="W1851" t="s">
        <v>473</v>
      </c>
      <c r="X1851" t="s">
        <v>473</v>
      </c>
      <c r="Y1851" t="s">
        <v>473</v>
      </c>
      <c r="Z1851" t="s">
        <v>473</v>
      </c>
      <c r="AA1851" t="s">
        <v>473</v>
      </c>
      <c r="AB1851" t="s">
        <v>473</v>
      </c>
      <c r="AC1851" s="10">
        <v>3</v>
      </c>
      <c r="AD1851" s="10">
        <v>11</v>
      </c>
      <c r="AE1851" t="s">
        <v>473</v>
      </c>
    </row>
    <row r="1852" spans="1:31" x14ac:dyDescent="0.25">
      <c r="A1852">
        <v>4427</v>
      </c>
      <c r="B1852">
        <v>1995</v>
      </c>
      <c r="C1852" t="s">
        <v>46</v>
      </c>
      <c r="D1852" t="s">
        <v>30</v>
      </c>
      <c r="E1852" t="str">
        <f>IF(OR(Table1[[#This Row],[marital_status]]="Married", Table1[[#This Row],[marital_status]]="Together"), "Partnered", "Single")</f>
        <v>Single</v>
      </c>
      <c r="F1852" s="7">
        <v>83257</v>
      </c>
      <c r="G1852" s="8">
        <v>0</v>
      </c>
      <c r="H1852" s="8">
        <v>0</v>
      </c>
      <c r="I1852" s="8">
        <f>Table1[[#This Row],[kids]]+Table1[[#This Row],[teens]]</f>
        <v>0</v>
      </c>
      <c r="J1852" s="9">
        <v>41170</v>
      </c>
      <c r="K1852" s="8">
        <v>56</v>
      </c>
      <c r="L1852" s="6">
        <v>536</v>
      </c>
      <c r="M1852" s="5">
        <v>27</v>
      </c>
      <c r="N1852" s="5">
        <v>590</v>
      </c>
      <c r="O1852" s="5">
        <v>38</v>
      </c>
      <c r="P1852" s="5">
        <v>107</v>
      </c>
      <c r="Q1852" s="5">
        <v>67</v>
      </c>
      <c r="R1852" s="8">
        <v>1</v>
      </c>
      <c r="S1852" s="8">
        <v>5</v>
      </c>
      <c r="T1852" s="8">
        <v>10</v>
      </c>
      <c r="U1852" s="8">
        <v>12</v>
      </c>
      <c r="V1852" s="8">
        <v>6</v>
      </c>
      <c r="W1852" t="s">
        <v>474</v>
      </c>
      <c r="X1852" t="s">
        <v>473</v>
      </c>
      <c r="Y1852" t="s">
        <v>474</v>
      </c>
      <c r="Z1852" t="s">
        <v>473</v>
      </c>
      <c r="AA1852" t="s">
        <v>473</v>
      </c>
      <c r="AB1852" t="s">
        <v>474</v>
      </c>
      <c r="AC1852" s="10">
        <v>3</v>
      </c>
      <c r="AD1852" s="10">
        <v>11</v>
      </c>
      <c r="AE1852" t="s">
        <v>474</v>
      </c>
    </row>
    <row r="1853" spans="1:31" x14ac:dyDescent="0.25">
      <c r="A1853">
        <v>11148</v>
      </c>
      <c r="B1853">
        <v>1975</v>
      </c>
      <c r="C1853" t="s">
        <v>466</v>
      </c>
      <c r="D1853" t="s">
        <v>31</v>
      </c>
      <c r="E1853" t="str">
        <f>IF(OR(Table1[[#This Row],[marital_status]]="Married", Table1[[#This Row],[marital_status]]="Together"), "Partnered", "Single")</f>
        <v>Partnered</v>
      </c>
      <c r="F1853" s="7">
        <v>22280</v>
      </c>
      <c r="G1853" s="8">
        <v>1</v>
      </c>
      <c r="H1853" s="8">
        <v>0</v>
      </c>
      <c r="I1853" s="8">
        <f>Table1[[#This Row],[kids]]+Table1[[#This Row],[teens]]</f>
        <v>1</v>
      </c>
      <c r="J1853" s="9">
        <v>41413</v>
      </c>
      <c r="K1853" s="8">
        <v>85</v>
      </c>
      <c r="L1853" s="6">
        <v>2</v>
      </c>
      <c r="M1853" s="5">
        <v>1</v>
      </c>
      <c r="N1853" s="5">
        <v>4</v>
      </c>
      <c r="O1853" s="5">
        <v>3</v>
      </c>
      <c r="P1853" s="5">
        <v>1</v>
      </c>
      <c r="Q1853" s="5">
        <v>2</v>
      </c>
      <c r="R1853" s="8">
        <v>1</v>
      </c>
      <c r="S1853" s="8">
        <v>1</v>
      </c>
      <c r="T1853" s="8">
        <v>0</v>
      </c>
      <c r="U1853" s="8">
        <v>2</v>
      </c>
      <c r="V1853" s="8">
        <v>8</v>
      </c>
      <c r="W1853" t="s">
        <v>473</v>
      </c>
      <c r="X1853" t="s">
        <v>473</v>
      </c>
      <c r="Y1853" t="s">
        <v>473</v>
      </c>
      <c r="Z1853" t="s">
        <v>473</v>
      </c>
      <c r="AA1853" t="s">
        <v>473</v>
      </c>
      <c r="AB1853" t="s">
        <v>473</v>
      </c>
      <c r="AC1853" s="10">
        <v>3</v>
      </c>
      <c r="AD1853" s="10">
        <v>11</v>
      </c>
      <c r="AE1853" t="s">
        <v>473</v>
      </c>
    </row>
    <row r="1854" spans="1:31" x14ac:dyDescent="0.25">
      <c r="A1854">
        <v>1168</v>
      </c>
      <c r="B1854">
        <v>1978</v>
      </c>
      <c r="C1854" t="s">
        <v>33</v>
      </c>
      <c r="D1854" t="s">
        <v>34</v>
      </c>
      <c r="E1854" t="str">
        <f>IF(OR(Table1[[#This Row],[marital_status]]="Married", Table1[[#This Row],[marital_status]]="Together"), "Partnered", "Single")</f>
        <v>Partnered</v>
      </c>
      <c r="F1854" s="7">
        <v>72159</v>
      </c>
      <c r="G1854" s="8">
        <v>0</v>
      </c>
      <c r="H1854" s="8">
        <v>0</v>
      </c>
      <c r="I1854" s="8">
        <f>Table1[[#This Row],[kids]]+Table1[[#This Row],[teens]]</f>
        <v>0</v>
      </c>
      <c r="J1854" s="9">
        <v>41211</v>
      </c>
      <c r="K1854" s="8">
        <v>62</v>
      </c>
      <c r="L1854" s="6">
        <v>322</v>
      </c>
      <c r="M1854" s="5">
        <v>53</v>
      </c>
      <c r="N1854" s="5">
        <v>899</v>
      </c>
      <c r="O1854" s="5">
        <v>34</v>
      </c>
      <c r="P1854" s="5">
        <v>40</v>
      </c>
      <c r="Q1854" s="5">
        <v>53</v>
      </c>
      <c r="R1854" s="8">
        <v>1</v>
      </c>
      <c r="S1854" s="8">
        <v>4</v>
      </c>
      <c r="T1854" s="8">
        <v>6</v>
      </c>
      <c r="U1854" s="8">
        <v>10</v>
      </c>
      <c r="V1854" s="8">
        <v>2</v>
      </c>
      <c r="W1854" t="s">
        <v>473</v>
      </c>
      <c r="X1854" t="s">
        <v>473</v>
      </c>
      <c r="Y1854" t="s">
        <v>473</v>
      </c>
      <c r="Z1854" t="s">
        <v>473</v>
      </c>
      <c r="AA1854" t="s">
        <v>473</v>
      </c>
      <c r="AB1854" t="s">
        <v>473</v>
      </c>
      <c r="AC1854" s="10">
        <v>3</v>
      </c>
      <c r="AD1854" s="10">
        <v>11</v>
      </c>
      <c r="AE1854" t="s">
        <v>473</v>
      </c>
    </row>
    <row r="1855" spans="1:31" x14ac:dyDescent="0.25">
      <c r="A1855">
        <v>9595</v>
      </c>
      <c r="B1855">
        <v>1961</v>
      </c>
      <c r="C1855" t="s">
        <v>466</v>
      </c>
      <c r="D1855" t="s">
        <v>31</v>
      </c>
      <c r="E1855" t="str">
        <f>IF(OR(Table1[[#This Row],[marital_status]]="Married", Table1[[#This Row],[marital_status]]="Together"), "Partnered", "Single")</f>
        <v>Partnered</v>
      </c>
      <c r="F1855" s="7">
        <v>64260</v>
      </c>
      <c r="G1855" s="8">
        <v>0</v>
      </c>
      <c r="H1855" s="8">
        <v>0</v>
      </c>
      <c r="I1855" s="8">
        <f>Table1[[#This Row],[kids]]+Table1[[#This Row],[teens]]</f>
        <v>0</v>
      </c>
      <c r="J1855" s="9">
        <v>41285</v>
      </c>
      <c r="K1855" s="8">
        <v>1</v>
      </c>
      <c r="L1855" s="6">
        <v>539</v>
      </c>
      <c r="M1855" s="5">
        <v>169</v>
      </c>
      <c r="N1855" s="5">
        <v>816</v>
      </c>
      <c r="O1855" s="5">
        <v>20</v>
      </c>
      <c r="P1855" s="5">
        <v>0</v>
      </c>
      <c r="Q1855" s="5">
        <v>30</v>
      </c>
      <c r="R1855" s="8">
        <v>1</v>
      </c>
      <c r="S1855" s="8">
        <v>4</v>
      </c>
      <c r="T1855" s="8">
        <v>5</v>
      </c>
      <c r="U1855" s="8">
        <v>4</v>
      </c>
      <c r="V1855" s="8">
        <v>3</v>
      </c>
      <c r="W1855" t="s">
        <v>473</v>
      </c>
      <c r="X1855" t="s">
        <v>473</v>
      </c>
      <c r="Y1855" t="s">
        <v>473</v>
      </c>
      <c r="Z1855" t="s">
        <v>473</v>
      </c>
      <c r="AA1855" t="s">
        <v>473</v>
      </c>
      <c r="AB1855" t="s">
        <v>473</v>
      </c>
      <c r="AC1855" s="10">
        <v>3</v>
      </c>
      <c r="AD1855" s="10">
        <v>11</v>
      </c>
      <c r="AE1855" t="s">
        <v>474</v>
      </c>
    </row>
    <row r="1856" spans="1:31" x14ac:dyDescent="0.25">
      <c r="A1856">
        <v>10163</v>
      </c>
      <c r="B1856">
        <v>1984</v>
      </c>
      <c r="C1856" t="s">
        <v>33</v>
      </c>
      <c r="D1856" t="s">
        <v>30</v>
      </c>
      <c r="E1856" t="str">
        <f>IF(OR(Table1[[#This Row],[marital_status]]="Married", Table1[[#This Row],[marital_status]]="Together"), "Partnered", "Single")</f>
        <v>Single</v>
      </c>
      <c r="F1856" s="7">
        <v>82733</v>
      </c>
      <c r="G1856" s="8">
        <v>0</v>
      </c>
      <c r="H1856" s="8">
        <v>0</v>
      </c>
      <c r="I1856" s="8">
        <f>Table1[[#This Row],[kids]]+Table1[[#This Row],[teens]]</f>
        <v>0</v>
      </c>
      <c r="J1856" s="9">
        <v>41527</v>
      </c>
      <c r="K1856" s="8">
        <v>28</v>
      </c>
      <c r="L1856" s="6">
        <v>712</v>
      </c>
      <c r="M1856" s="5">
        <v>50</v>
      </c>
      <c r="N1856" s="5">
        <v>420</v>
      </c>
      <c r="O1856" s="5">
        <v>65</v>
      </c>
      <c r="P1856" s="5">
        <v>38</v>
      </c>
      <c r="Q1856" s="5">
        <v>38</v>
      </c>
      <c r="R1856" s="8">
        <v>1</v>
      </c>
      <c r="S1856" s="8">
        <v>8</v>
      </c>
      <c r="T1856" s="8">
        <v>4</v>
      </c>
      <c r="U1856" s="8">
        <v>7</v>
      </c>
      <c r="V1856" s="8">
        <v>4</v>
      </c>
      <c r="W1856" t="s">
        <v>473</v>
      </c>
      <c r="X1856" t="s">
        <v>473</v>
      </c>
      <c r="Y1856" t="s">
        <v>473</v>
      </c>
      <c r="Z1856" t="s">
        <v>473</v>
      </c>
      <c r="AA1856" t="s">
        <v>473</v>
      </c>
      <c r="AB1856" t="s">
        <v>473</v>
      </c>
      <c r="AC1856" s="10">
        <v>3</v>
      </c>
      <c r="AD1856" s="10">
        <v>11</v>
      </c>
      <c r="AE1856" t="s">
        <v>474</v>
      </c>
    </row>
    <row r="1857" spans="1:31" x14ac:dyDescent="0.25">
      <c r="A1857">
        <v>2886</v>
      </c>
      <c r="B1857">
        <v>1971</v>
      </c>
      <c r="C1857" t="s">
        <v>36</v>
      </c>
      <c r="D1857" t="s">
        <v>37</v>
      </c>
      <c r="E1857" t="str">
        <f>IF(OR(Table1[[#This Row],[marital_status]]="Married", Table1[[#This Row],[marital_status]]="Together"), "Partnered", "Single")</f>
        <v>Single</v>
      </c>
      <c r="F1857" s="7">
        <v>74290</v>
      </c>
      <c r="G1857" s="8">
        <v>0</v>
      </c>
      <c r="H1857" s="8">
        <v>1</v>
      </c>
      <c r="I1857" s="8">
        <f>Table1[[#This Row],[kids]]+Table1[[#This Row],[teens]]</f>
        <v>1</v>
      </c>
      <c r="J1857" s="9">
        <v>41498</v>
      </c>
      <c r="K1857" s="8">
        <v>70</v>
      </c>
      <c r="L1857" s="6">
        <v>1121</v>
      </c>
      <c r="M1857" s="5">
        <v>0</v>
      </c>
      <c r="N1857" s="5">
        <v>72</v>
      </c>
      <c r="O1857" s="5">
        <v>0</v>
      </c>
      <c r="P1857" s="5">
        <v>12</v>
      </c>
      <c r="Q1857" s="5">
        <v>12</v>
      </c>
      <c r="R1857" s="8">
        <v>4</v>
      </c>
      <c r="S1857" s="8">
        <v>10</v>
      </c>
      <c r="T1857" s="8">
        <v>8</v>
      </c>
      <c r="U1857" s="8">
        <v>10</v>
      </c>
      <c r="V1857" s="8">
        <v>6</v>
      </c>
      <c r="W1857" t="s">
        <v>473</v>
      </c>
      <c r="X1857" t="s">
        <v>474</v>
      </c>
      <c r="Y1857" t="s">
        <v>473</v>
      </c>
      <c r="Z1857" t="s">
        <v>474</v>
      </c>
      <c r="AA1857" t="s">
        <v>473</v>
      </c>
      <c r="AB1857" t="s">
        <v>473</v>
      </c>
      <c r="AC1857" s="10">
        <v>3</v>
      </c>
      <c r="AD1857" s="10">
        <v>11</v>
      </c>
      <c r="AE1857" t="s">
        <v>473</v>
      </c>
    </row>
    <row r="1858" spans="1:31" x14ac:dyDescent="0.25">
      <c r="A1858">
        <v>6710</v>
      </c>
      <c r="B1858">
        <v>1951</v>
      </c>
      <c r="C1858" t="s">
        <v>36</v>
      </c>
      <c r="D1858" t="s">
        <v>30</v>
      </c>
      <c r="E1858" t="str">
        <f>IF(OR(Table1[[#This Row],[marital_status]]="Married", Table1[[#This Row],[marital_status]]="Together"), "Partnered", "Single")</f>
        <v>Single</v>
      </c>
      <c r="F1858" s="7">
        <v>58217</v>
      </c>
      <c r="G1858" s="8">
        <v>2</v>
      </c>
      <c r="H1858" s="8">
        <v>1</v>
      </c>
      <c r="I1858" s="8">
        <f>Table1[[#This Row],[kids]]+Table1[[#This Row],[teens]]</f>
        <v>3</v>
      </c>
      <c r="J1858" s="9">
        <v>41230</v>
      </c>
      <c r="K1858" s="8">
        <v>84</v>
      </c>
      <c r="L1858" s="6">
        <v>68</v>
      </c>
      <c r="M1858" s="5">
        <v>1</v>
      </c>
      <c r="N1858" s="5">
        <v>13</v>
      </c>
      <c r="O1858" s="5">
        <v>3</v>
      </c>
      <c r="P1858" s="5">
        <v>5</v>
      </c>
      <c r="Q1858" s="5">
        <v>13</v>
      </c>
      <c r="R1858" s="8">
        <v>1</v>
      </c>
      <c r="S1858" s="8">
        <v>2</v>
      </c>
      <c r="T1858" s="8">
        <v>0</v>
      </c>
      <c r="U1858" s="8">
        <v>4</v>
      </c>
      <c r="V1858" s="8">
        <v>6</v>
      </c>
      <c r="W1858" t="s">
        <v>473</v>
      </c>
      <c r="X1858" t="s">
        <v>473</v>
      </c>
      <c r="Y1858" t="s">
        <v>473</v>
      </c>
      <c r="Z1858" t="s">
        <v>473</v>
      </c>
      <c r="AA1858" t="s">
        <v>473</v>
      </c>
      <c r="AB1858" t="s">
        <v>473</v>
      </c>
      <c r="AC1858" s="10">
        <v>3</v>
      </c>
      <c r="AD1858" s="10">
        <v>11</v>
      </c>
      <c r="AE1858" t="s">
        <v>473</v>
      </c>
    </row>
    <row r="1859" spans="1:31" x14ac:dyDescent="0.25">
      <c r="A1859">
        <v>5316</v>
      </c>
      <c r="B1859">
        <v>1976</v>
      </c>
      <c r="C1859" t="s">
        <v>36</v>
      </c>
      <c r="D1859" t="s">
        <v>31</v>
      </c>
      <c r="E1859" t="str">
        <f>IF(OR(Table1[[#This Row],[marital_status]]="Married", Table1[[#This Row],[marital_status]]="Together"), "Partnered", "Single")</f>
        <v>Partnered</v>
      </c>
      <c r="F1859" s="7">
        <v>21024</v>
      </c>
      <c r="G1859" s="8">
        <v>0</v>
      </c>
      <c r="H1859" s="8">
        <v>0</v>
      </c>
      <c r="I1859" s="8">
        <f>Table1[[#This Row],[kids]]+Table1[[#This Row],[teens]]</f>
        <v>0</v>
      </c>
      <c r="J1859" s="9">
        <v>41459</v>
      </c>
      <c r="K1859" s="8">
        <v>89</v>
      </c>
      <c r="L1859" s="6">
        <v>36</v>
      </c>
      <c r="M1859" s="5">
        <v>4</v>
      </c>
      <c r="N1859" s="5">
        <v>18</v>
      </c>
      <c r="O1859" s="5">
        <v>6</v>
      </c>
      <c r="P1859" s="5">
        <v>2</v>
      </c>
      <c r="Q1859" s="5">
        <v>18</v>
      </c>
      <c r="R1859" s="8">
        <v>1</v>
      </c>
      <c r="S1859" s="8">
        <v>2</v>
      </c>
      <c r="T1859" s="8">
        <v>0</v>
      </c>
      <c r="U1859" s="8">
        <v>4</v>
      </c>
      <c r="V1859" s="8">
        <v>7</v>
      </c>
      <c r="W1859" t="s">
        <v>473</v>
      </c>
      <c r="X1859" t="s">
        <v>473</v>
      </c>
      <c r="Y1859" t="s">
        <v>473</v>
      </c>
      <c r="Z1859" t="s">
        <v>473</v>
      </c>
      <c r="AA1859" t="s">
        <v>473</v>
      </c>
      <c r="AB1859" t="s">
        <v>473</v>
      </c>
      <c r="AC1859" s="10">
        <v>3</v>
      </c>
      <c r="AD1859" s="10">
        <v>11</v>
      </c>
      <c r="AE1859" t="s">
        <v>473</v>
      </c>
    </row>
    <row r="1860" spans="1:31" x14ac:dyDescent="0.25">
      <c r="A1860">
        <v>9029</v>
      </c>
      <c r="B1860">
        <v>1972</v>
      </c>
      <c r="C1860" t="s">
        <v>33</v>
      </c>
      <c r="D1860" t="s">
        <v>34</v>
      </c>
      <c r="E1860" t="str">
        <f>IF(OR(Table1[[#This Row],[marital_status]]="Married", Table1[[#This Row],[marital_status]]="Together"), "Partnered", "Single")</f>
        <v>Partnered</v>
      </c>
      <c r="F1860" s="7">
        <v>70116</v>
      </c>
      <c r="G1860" s="8">
        <v>0</v>
      </c>
      <c r="H1860" s="8">
        <v>0</v>
      </c>
      <c r="I1860" s="8">
        <f>Table1[[#This Row],[kids]]+Table1[[#This Row],[teens]]</f>
        <v>0</v>
      </c>
      <c r="J1860" s="9">
        <v>41300</v>
      </c>
      <c r="K1860" s="8">
        <v>73</v>
      </c>
      <c r="L1860" s="6">
        <v>707</v>
      </c>
      <c r="M1860" s="5">
        <v>44</v>
      </c>
      <c r="N1860" s="5">
        <v>603</v>
      </c>
      <c r="O1860" s="5">
        <v>95</v>
      </c>
      <c r="P1860" s="5">
        <v>58</v>
      </c>
      <c r="Q1860" s="5">
        <v>29</v>
      </c>
      <c r="R1860" s="8">
        <v>1</v>
      </c>
      <c r="S1860" s="8">
        <v>2</v>
      </c>
      <c r="T1860" s="8">
        <v>8</v>
      </c>
      <c r="U1860" s="8">
        <v>12</v>
      </c>
      <c r="V1860" s="8">
        <v>1</v>
      </c>
      <c r="W1860" t="s">
        <v>473</v>
      </c>
      <c r="X1860" t="s">
        <v>473</v>
      </c>
      <c r="Y1860" t="s">
        <v>473</v>
      </c>
      <c r="Z1860" t="s">
        <v>473</v>
      </c>
      <c r="AA1860" t="s">
        <v>473</v>
      </c>
      <c r="AB1860" t="s">
        <v>473</v>
      </c>
      <c r="AC1860" s="10">
        <v>3</v>
      </c>
      <c r="AD1860" s="10">
        <v>11</v>
      </c>
      <c r="AE1860" t="s">
        <v>473</v>
      </c>
    </row>
    <row r="1861" spans="1:31" x14ac:dyDescent="0.25">
      <c r="A1861">
        <v>521</v>
      </c>
      <c r="B1861">
        <v>1985</v>
      </c>
      <c r="C1861" t="s">
        <v>466</v>
      </c>
      <c r="D1861" t="s">
        <v>31</v>
      </c>
      <c r="E1861" t="str">
        <f>IF(OR(Table1[[#This Row],[marital_status]]="Married", Table1[[#This Row],[marital_status]]="Together"), "Partnered", "Single")</f>
        <v>Partnered</v>
      </c>
      <c r="F1861" s="7">
        <v>54006</v>
      </c>
      <c r="G1861" s="8">
        <v>1</v>
      </c>
      <c r="H1861" s="8">
        <v>0</v>
      </c>
      <c r="I1861" s="8">
        <f>Table1[[#This Row],[kids]]+Table1[[#This Row],[teens]]</f>
        <v>1</v>
      </c>
      <c r="J1861" s="9">
        <v>41170</v>
      </c>
      <c r="K1861" s="8">
        <v>42</v>
      </c>
      <c r="L1861" s="6">
        <v>174</v>
      </c>
      <c r="M1861" s="5">
        <v>77</v>
      </c>
      <c r="N1861" s="5">
        <v>203</v>
      </c>
      <c r="O1861" s="5">
        <v>6</v>
      </c>
      <c r="P1861" s="5">
        <v>24</v>
      </c>
      <c r="Q1861" s="5">
        <v>97</v>
      </c>
      <c r="R1861" s="8">
        <v>2</v>
      </c>
      <c r="S1861" s="8">
        <v>8</v>
      </c>
      <c r="T1861" s="8">
        <v>1</v>
      </c>
      <c r="U1861" s="8">
        <v>7</v>
      </c>
      <c r="V1861" s="8">
        <v>7</v>
      </c>
      <c r="W1861" t="s">
        <v>473</v>
      </c>
      <c r="X1861" t="s">
        <v>473</v>
      </c>
      <c r="Y1861" t="s">
        <v>473</v>
      </c>
      <c r="Z1861" t="s">
        <v>473</v>
      </c>
      <c r="AA1861" t="s">
        <v>473</v>
      </c>
      <c r="AB1861" t="s">
        <v>473</v>
      </c>
      <c r="AC1861" s="10">
        <v>3</v>
      </c>
      <c r="AD1861" s="10">
        <v>11</v>
      </c>
      <c r="AE1861" t="s">
        <v>473</v>
      </c>
    </row>
    <row r="1862" spans="1:31" x14ac:dyDescent="0.25">
      <c r="A1862">
        <v>1459</v>
      </c>
      <c r="B1862">
        <v>1966</v>
      </c>
      <c r="C1862" t="s">
        <v>33</v>
      </c>
      <c r="D1862" t="s">
        <v>34</v>
      </c>
      <c r="E1862" t="str">
        <f>IF(OR(Table1[[#This Row],[marital_status]]="Married", Table1[[#This Row],[marital_status]]="Together"), "Partnered", "Single")</f>
        <v>Partnered</v>
      </c>
      <c r="F1862" s="7">
        <v>69063</v>
      </c>
      <c r="G1862" s="8">
        <v>0</v>
      </c>
      <c r="H1862" s="8">
        <v>1</v>
      </c>
      <c r="I1862" s="8">
        <f>Table1[[#This Row],[kids]]+Table1[[#This Row],[teens]]</f>
        <v>1</v>
      </c>
      <c r="J1862" s="9">
        <v>41220</v>
      </c>
      <c r="K1862" s="8">
        <v>16</v>
      </c>
      <c r="L1862" s="6">
        <v>666</v>
      </c>
      <c r="M1862" s="5">
        <v>35</v>
      </c>
      <c r="N1862" s="5">
        <v>124</v>
      </c>
      <c r="O1862" s="5">
        <v>69</v>
      </c>
      <c r="P1862" s="5">
        <v>8</v>
      </c>
      <c r="Q1862" s="5">
        <v>26</v>
      </c>
      <c r="R1862" s="8">
        <v>1</v>
      </c>
      <c r="S1862" s="8">
        <v>5</v>
      </c>
      <c r="T1862" s="8">
        <v>3</v>
      </c>
      <c r="U1862" s="8">
        <v>5</v>
      </c>
      <c r="V1862" s="8">
        <v>3</v>
      </c>
      <c r="W1862" t="s">
        <v>473</v>
      </c>
      <c r="X1862" t="s">
        <v>473</v>
      </c>
      <c r="Y1862" t="s">
        <v>473</v>
      </c>
      <c r="Z1862" t="s">
        <v>473</v>
      </c>
      <c r="AA1862" t="s">
        <v>473</v>
      </c>
      <c r="AB1862" t="s">
        <v>473</v>
      </c>
      <c r="AC1862" s="10">
        <v>3</v>
      </c>
      <c r="AD1862" s="10">
        <v>11</v>
      </c>
      <c r="AE1862" t="s">
        <v>473</v>
      </c>
    </row>
    <row r="1863" spans="1:31" x14ac:dyDescent="0.25">
      <c r="A1863">
        <v>10241</v>
      </c>
      <c r="B1863">
        <v>1975</v>
      </c>
      <c r="C1863" t="s">
        <v>46</v>
      </c>
      <c r="D1863" t="s">
        <v>37</v>
      </c>
      <c r="E1863" t="str">
        <f>IF(OR(Table1[[#This Row],[marital_status]]="Married", Table1[[#This Row],[marital_status]]="Together"), "Partnered", "Single")</f>
        <v>Single</v>
      </c>
      <c r="F1863" s="7">
        <v>11448</v>
      </c>
      <c r="G1863" s="8">
        <v>0</v>
      </c>
      <c r="H1863" s="8">
        <v>0</v>
      </c>
      <c r="I1863" s="8">
        <f>Table1[[#This Row],[kids]]+Table1[[#This Row],[teens]]</f>
        <v>0</v>
      </c>
      <c r="J1863" s="9">
        <v>41623</v>
      </c>
      <c r="K1863" s="8">
        <v>16</v>
      </c>
      <c r="L1863" s="6">
        <v>0</v>
      </c>
      <c r="M1863" s="5">
        <v>0</v>
      </c>
      <c r="N1863" s="5">
        <v>0</v>
      </c>
      <c r="O1863" s="5">
        <v>6</v>
      </c>
      <c r="P1863" s="5">
        <v>2</v>
      </c>
      <c r="Q1863" s="5">
        <v>6</v>
      </c>
      <c r="R1863" s="8">
        <v>1</v>
      </c>
      <c r="S1863" s="8">
        <v>1</v>
      </c>
      <c r="T1863" s="8">
        <v>0</v>
      </c>
      <c r="U1863" s="8">
        <v>2</v>
      </c>
      <c r="V1863" s="8">
        <v>6</v>
      </c>
      <c r="W1863" t="s">
        <v>473</v>
      </c>
      <c r="X1863" t="s">
        <v>473</v>
      </c>
      <c r="Y1863" t="s">
        <v>473</v>
      </c>
      <c r="Z1863" t="s">
        <v>473</v>
      </c>
      <c r="AA1863" t="s">
        <v>473</v>
      </c>
      <c r="AB1863" t="s">
        <v>473</v>
      </c>
      <c r="AC1863" s="10">
        <v>3</v>
      </c>
      <c r="AD1863" s="10">
        <v>11</v>
      </c>
      <c r="AE1863" t="s">
        <v>473</v>
      </c>
    </row>
    <row r="1864" spans="1:31" x14ac:dyDescent="0.25">
      <c r="A1864">
        <v>1630</v>
      </c>
      <c r="B1864">
        <v>1979</v>
      </c>
      <c r="C1864" t="s">
        <v>466</v>
      </c>
      <c r="D1864" t="s">
        <v>30</v>
      </c>
      <c r="E1864" t="str">
        <f>IF(OR(Table1[[#This Row],[marital_status]]="Married", Table1[[#This Row],[marital_status]]="Together"), "Partnered", "Single")</f>
        <v>Single</v>
      </c>
      <c r="F1864" s="7">
        <v>61825</v>
      </c>
      <c r="G1864" s="8">
        <v>0</v>
      </c>
      <c r="H1864" s="8">
        <v>1</v>
      </c>
      <c r="I1864" s="8">
        <f>Table1[[#This Row],[kids]]+Table1[[#This Row],[teens]]</f>
        <v>1</v>
      </c>
      <c r="J1864" s="9">
        <v>41493</v>
      </c>
      <c r="K1864" s="8">
        <v>56</v>
      </c>
      <c r="L1864" s="6">
        <v>162</v>
      </c>
      <c r="M1864" s="5">
        <v>50</v>
      </c>
      <c r="N1864" s="5">
        <v>100</v>
      </c>
      <c r="O1864" s="5">
        <v>55</v>
      </c>
      <c r="P1864" s="5">
        <v>30</v>
      </c>
      <c r="Q1864" s="5">
        <v>27</v>
      </c>
      <c r="R1864" s="8">
        <v>1</v>
      </c>
      <c r="S1864" s="8">
        <v>4</v>
      </c>
      <c r="T1864" s="8">
        <v>2</v>
      </c>
      <c r="U1864" s="8">
        <v>8</v>
      </c>
      <c r="V1864" s="8">
        <v>4</v>
      </c>
      <c r="W1864" t="s">
        <v>473</v>
      </c>
      <c r="X1864" t="s">
        <v>473</v>
      </c>
      <c r="Y1864" t="s">
        <v>473</v>
      </c>
      <c r="Z1864" t="s">
        <v>473</v>
      </c>
      <c r="AA1864" t="s">
        <v>473</v>
      </c>
      <c r="AB1864" t="s">
        <v>473</v>
      </c>
      <c r="AC1864" s="10">
        <v>3</v>
      </c>
      <c r="AD1864" s="10">
        <v>11</v>
      </c>
      <c r="AE1864" t="s">
        <v>473</v>
      </c>
    </row>
    <row r="1865" spans="1:31" x14ac:dyDescent="0.25">
      <c r="A1865">
        <v>3254</v>
      </c>
      <c r="B1865">
        <v>1971</v>
      </c>
      <c r="C1865" t="s">
        <v>466</v>
      </c>
      <c r="D1865" t="s">
        <v>34</v>
      </c>
      <c r="E1865" t="str">
        <f>IF(OR(Table1[[#This Row],[marital_status]]="Married", Table1[[#This Row],[marital_status]]="Together"), "Partnered", "Single")</f>
        <v>Partnered</v>
      </c>
      <c r="F1865" s="7">
        <v>70886</v>
      </c>
      <c r="G1865" s="8">
        <v>1</v>
      </c>
      <c r="H1865" s="8">
        <v>0</v>
      </c>
      <c r="I1865" s="8">
        <f>Table1[[#This Row],[kids]]+Table1[[#This Row],[teens]]</f>
        <v>1</v>
      </c>
      <c r="J1865" s="9">
        <v>41561</v>
      </c>
      <c r="K1865" s="8">
        <v>65</v>
      </c>
      <c r="L1865" s="6">
        <v>407</v>
      </c>
      <c r="M1865" s="5">
        <v>70</v>
      </c>
      <c r="N1865" s="5">
        <v>239</v>
      </c>
      <c r="O1865" s="5">
        <v>103</v>
      </c>
      <c r="P1865" s="5">
        <v>88</v>
      </c>
      <c r="Q1865" s="5">
        <v>53</v>
      </c>
      <c r="R1865" s="8">
        <v>1</v>
      </c>
      <c r="S1865" s="8">
        <v>5</v>
      </c>
      <c r="T1865" s="8">
        <v>4</v>
      </c>
      <c r="U1865" s="8">
        <v>4</v>
      </c>
      <c r="V1865" s="8">
        <v>2</v>
      </c>
      <c r="W1865" t="s">
        <v>473</v>
      </c>
      <c r="X1865" t="s">
        <v>473</v>
      </c>
      <c r="Y1865" t="s">
        <v>473</v>
      </c>
      <c r="Z1865" t="s">
        <v>473</v>
      </c>
      <c r="AA1865" t="s">
        <v>473</v>
      </c>
      <c r="AB1865" t="s">
        <v>473</v>
      </c>
      <c r="AC1865" s="10">
        <v>3</v>
      </c>
      <c r="AD1865" s="10">
        <v>11</v>
      </c>
      <c r="AE1865" t="s">
        <v>473</v>
      </c>
    </row>
    <row r="1866" spans="1:31" x14ac:dyDescent="0.25">
      <c r="A1866">
        <v>9064</v>
      </c>
      <c r="B1866">
        <v>1982</v>
      </c>
      <c r="C1866" t="s">
        <v>466</v>
      </c>
      <c r="D1866" t="s">
        <v>34</v>
      </c>
      <c r="E1866" t="str">
        <f>IF(OR(Table1[[#This Row],[marital_status]]="Married", Table1[[#This Row],[marital_status]]="Together"), "Partnered", "Single")</f>
        <v>Partnered</v>
      </c>
      <c r="F1866" s="7">
        <v>69109</v>
      </c>
      <c r="G1866" s="8">
        <v>0</v>
      </c>
      <c r="H1866" s="8">
        <v>0</v>
      </c>
      <c r="I1866" s="8">
        <f>Table1[[#This Row],[kids]]+Table1[[#This Row],[teens]]</f>
        <v>0</v>
      </c>
      <c r="J1866" s="9">
        <v>41222</v>
      </c>
      <c r="K1866" s="8">
        <v>10</v>
      </c>
      <c r="L1866" s="6">
        <v>823</v>
      </c>
      <c r="M1866" s="5">
        <v>25</v>
      </c>
      <c r="N1866" s="5">
        <v>459</v>
      </c>
      <c r="O1866" s="5">
        <v>124</v>
      </c>
      <c r="P1866" s="5">
        <v>29</v>
      </c>
      <c r="Q1866" s="5">
        <v>95</v>
      </c>
      <c r="R1866" s="8">
        <v>1</v>
      </c>
      <c r="S1866" s="8">
        <v>6</v>
      </c>
      <c r="T1866" s="8">
        <v>6</v>
      </c>
      <c r="U1866" s="8">
        <v>7</v>
      </c>
      <c r="V1866" s="8">
        <v>4</v>
      </c>
      <c r="W1866" t="s">
        <v>473</v>
      </c>
      <c r="X1866" t="s">
        <v>473</v>
      </c>
      <c r="Y1866" t="s">
        <v>474</v>
      </c>
      <c r="Z1866" t="s">
        <v>473</v>
      </c>
      <c r="AA1866" t="s">
        <v>473</v>
      </c>
      <c r="AB1866" t="s">
        <v>473</v>
      </c>
      <c r="AC1866" s="10">
        <v>3</v>
      </c>
      <c r="AD1866" s="10">
        <v>11</v>
      </c>
      <c r="AE1866" t="s">
        <v>474</v>
      </c>
    </row>
    <row r="1867" spans="1:31" x14ac:dyDescent="0.25">
      <c r="A1867">
        <v>3678</v>
      </c>
      <c r="B1867">
        <v>1973</v>
      </c>
      <c r="C1867" t="s">
        <v>466</v>
      </c>
      <c r="D1867" t="s">
        <v>57</v>
      </c>
      <c r="E1867" t="str">
        <f>IF(OR(Table1[[#This Row],[marital_status]]="Married", Table1[[#This Row],[marital_status]]="Together"), "Partnered", "Single")</f>
        <v>Single</v>
      </c>
      <c r="F1867" s="7">
        <v>60208</v>
      </c>
      <c r="G1867" s="8">
        <v>1</v>
      </c>
      <c r="H1867" s="8">
        <v>1</v>
      </c>
      <c r="I1867" s="8">
        <f>Table1[[#This Row],[kids]]+Table1[[#This Row],[teens]]</f>
        <v>2</v>
      </c>
      <c r="J1867" s="9">
        <v>41189</v>
      </c>
      <c r="K1867" s="8">
        <v>13</v>
      </c>
      <c r="L1867" s="6">
        <v>488</v>
      </c>
      <c r="M1867" s="5">
        <v>23</v>
      </c>
      <c r="N1867" s="5">
        <v>71</v>
      </c>
      <c r="O1867" s="5">
        <v>15</v>
      </c>
      <c r="P1867" s="5">
        <v>0</v>
      </c>
      <c r="Q1867" s="5">
        <v>59</v>
      </c>
      <c r="R1867" s="8">
        <v>11</v>
      </c>
      <c r="S1867" s="8">
        <v>8</v>
      </c>
      <c r="T1867" s="8">
        <v>3</v>
      </c>
      <c r="U1867" s="8">
        <v>7</v>
      </c>
      <c r="V1867" s="8">
        <v>7</v>
      </c>
      <c r="W1867" t="s">
        <v>473</v>
      </c>
      <c r="X1867" t="s">
        <v>474</v>
      </c>
      <c r="Y1867" t="s">
        <v>473</v>
      </c>
      <c r="Z1867" t="s">
        <v>473</v>
      </c>
      <c r="AA1867" t="s">
        <v>473</v>
      </c>
      <c r="AB1867" t="s">
        <v>473</v>
      </c>
      <c r="AC1867" s="10">
        <v>3</v>
      </c>
      <c r="AD1867" s="10">
        <v>11</v>
      </c>
      <c r="AE1867" t="s">
        <v>474</v>
      </c>
    </row>
    <row r="1868" spans="1:31" x14ac:dyDescent="0.25">
      <c r="A1868">
        <v>4227</v>
      </c>
      <c r="B1868">
        <v>1968</v>
      </c>
      <c r="C1868" t="s">
        <v>36</v>
      </c>
      <c r="D1868" t="s">
        <v>31</v>
      </c>
      <c r="E1868" t="str">
        <f>IF(OR(Table1[[#This Row],[marital_status]]="Married", Table1[[#This Row],[marital_status]]="Together"), "Partnered", "Single")</f>
        <v>Partnered</v>
      </c>
      <c r="F1868" s="7">
        <v>32889</v>
      </c>
      <c r="G1868" s="8">
        <v>1</v>
      </c>
      <c r="H1868" s="8">
        <v>1</v>
      </c>
      <c r="I1868" s="8">
        <f>Table1[[#This Row],[kids]]+Table1[[#This Row],[teens]]</f>
        <v>2</v>
      </c>
      <c r="J1868" s="9">
        <v>41523</v>
      </c>
      <c r="K1868" s="8">
        <v>78</v>
      </c>
      <c r="L1868" s="6">
        <v>28</v>
      </c>
      <c r="M1868" s="5">
        <v>0</v>
      </c>
      <c r="N1868" s="5">
        <v>13</v>
      </c>
      <c r="O1868" s="5">
        <v>4</v>
      </c>
      <c r="P1868" s="5">
        <v>2</v>
      </c>
      <c r="Q1868" s="5">
        <v>8</v>
      </c>
      <c r="R1868" s="8">
        <v>3</v>
      </c>
      <c r="S1868" s="8">
        <v>2</v>
      </c>
      <c r="T1868" s="8">
        <v>1</v>
      </c>
      <c r="U1868" s="8">
        <v>3</v>
      </c>
      <c r="V1868" s="8">
        <v>5</v>
      </c>
      <c r="W1868" t="s">
        <v>473</v>
      </c>
      <c r="X1868" t="s">
        <v>473</v>
      </c>
      <c r="Y1868" t="s">
        <v>473</v>
      </c>
      <c r="Z1868" t="s">
        <v>473</v>
      </c>
      <c r="AA1868" t="s">
        <v>473</v>
      </c>
      <c r="AB1868" t="s">
        <v>473</v>
      </c>
      <c r="AC1868" s="10">
        <v>3</v>
      </c>
      <c r="AD1868" s="10">
        <v>11</v>
      </c>
      <c r="AE1868" t="s">
        <v>473</v>
      </c>
    </row>
    <row r="1869" spans="1:31" x14ac:dyDescent="0.25">
      <c r="A1869">
        <v>9467</v>
      </c>
      <c r="B1869">
        <v>1984</v>
      </c>
      <c r="C1869" t="s">
        <v>466</v>
      </c>
      <c r="D1869" t="s">
        <v>30</v>
      </c>
      <c r="E1869" t="str">
        <f>IF(OR(Table1[[#This Row],[marital_status]]="Married", Table1[[#This Row],[marital_status]]="Together"), "Partnered", "Single")</f>
        <v>Single</v>
      </c>
      <c r="F1869" s="7">
        <v>34738</v>
      </c>
      <c r="G1869" s="8">
        <v>1</v>
      </c>
      <c r="H1869" s="8">
        <v>0</v>
      </c>
      <c r="I1869" s="8">
        <f>Table1[[#This Row],[kids]]+Table1[[#This Row],[teens]]</f>
        <v>1</v>
      </c>
      <c r="J1869" s="9">
        <v>41770</v>
      </c>
      <c r="K1869" s="8">
        <v>51</v>
      </c>
      <c r="L1869" s="6">
        <v>3</v>
      </c>
      <c r="M1869" s="5">
        <v>2</v>
      </c>
      <c r="N1869" s="5">
        <v>10</v>
      </c>
      <c r="O1869" s="5">
        <v>3</v>
      </c>
      <c r="P1869" s="5">
        <v>0</v>
      </c>
      <c r="Q1869" s="5">
        <v>2</v>
      </c>
      <c r="R1869" s="8">
        <v>1</v>
      </c>
      <c r="S1869" s="8">
        <v>1</v>
      </c>
      <c r="T1869" s="8">
        <v>0</v>
      </c>
      <c r="U1869" s="8">
        <v>3</v>
      </c>
      <c r="V1869" s="8">
        <v>6</v>
      </c>
      <c r="W1869" t="s">
        <v>473</v>
      </c>
      <c r="X1869" t="s">
        <v>473</v>
      </c>
      <c r="Y1869" t="s">
        <v>473</v>
      </c>
      <c r="Z1869" t="s">
        <v>473</v>
      </c>
      <c r="AA1869" t="s">
        <v>473</v>
      </c>
      <c r="AB1869" t="s">
        <v>473</v>
      </c>
      <c r="AC1869" s="10">
        <v>3</v>
      </c>
      <c r="AD1869" s="10">
        <v>11</v>
      </c>
      <c r="AE1869" t="s">
        <v>473</v>
      </c>
    </row>
    <row r="1870" spans="1:31" x14ac:dyDescent="0.25">
      <c r="A1870">
        <v>8486</v>
      </c>
      <c r="B1870">
        <v>1971</v>
      </c>
      <c r="C1870" t="s">
        <v>36</v>
      </c>
      <c r="D1870" t="s">
        <v>31</v>
      </c>
      <c r="E1870" t="str">
        <f>IF(OR(Table1[[#This Row],[marital_status]]="Married", Table1[[#This Row],[marital_status]]="Together"), "Partnered", "Single")</f>
        <v>Partnered</v>
      </c>
      <c r="F1870" s="7">
        <v>30538</v>
      </c>
      <c r="G1870" s="8">
        <v>1</v>
      </c>
      <c r="H1870" s="8">
        <v>0</v>
      </c>
      <c r="I1870" s="8">
        <f>Table1[[#This Row],[kids]]+Table1[[#This Row],[teens]]</f>
        <v>1</v>
      </c>
      <c r="J1870" s="9">
        <v>41183</v>
      </c>
      <c r="K1870" s="8">
        <v>27</v>
      </c>
      <c r="L1870" s="6">
        <v>284</v>
      </c>
      <c r="M1870" s="5">
        <v>0</v>
      </c>
      <c r="N1870" s="5">
        <v>52</v>
      </c>
      <c r="O1870" s="5">
        <v>8</v>
      </c>
      <c r="P1870" s="5">
        <v>3</v>
      </c>
      <c r="Q1870" s="5">
        <v>20</v>
      </c>
      <c r="R1870" s="8">
        <v>4</v>
      </c>
      <c r="S1870" s="8">
        <v>9</v>
      </c>
      <c r="T1870" s="8">
        <v>0</v>
      </c>
      <c r="U1870" s="8">
        <v>4</v>
      </c>
      <c r="V1870" s="8">
        <v>10</v>
      </c>
      <c r="W1870" t="s">
        <v>473</v>
      </c>
      <c r="X1870" t="s">
        <v>473</v>
      </c>
      <c r="Y1870" t="s">
        <v>473</v>
      </c>
      <c r="Z1870" t="s">
        <v>473</v>
      </c>
      <c r="AA1870" t="s">
        <v>473</v>
      </c>
      <c r="AB1870" t="s">
        <v>473</v>
      </c>
      <c r="AC1870" s="10">
        <v>3</v>
      </c>
      <c r="AD1870" s="10">
        <v>11</v>
      </c>
      <c r="AE1870" t="s">
        <v>473</v>
      </c>
    </row>
    <row r="1871" spans="1:31" x14ac:dyDescent="0.25">
      <c r="A1871">
        <v>2186</v>
      </c>
      <c r="B1871">
        <v>1977</v>
      </c>
      <c r="C1871" t="s">
        <v>46</v>
      </c>
      <c r="D1871" t="s">
        <v>31</v>
      </c>
      <c r="E1871" t="str">
        <f>IF(OR(Table1[[#This Row],[marital_status]]="Married", Table1[[#This Row],[marital_status]]="Together"), "Partnered", "Single")</f>
        <v>Partnered</v>
      </c>
      <c r="F1871" s="7">
        <v>82326</v>
      </c>
      <c r="G1871" s="8">
        <v>0</v>
      </c>
      <c r="H1871" s="8">
        <v>0</v>
      </c>
      <c r="I1871" s="8">
        <f>Table1[[#This Row],[kids]]+Table1[[#This Row],[teens]]</f>
        <v>0</v>
      </c>
      <c r="J1871" s="9">
        <v>41708</v>
      </c>
      <c r="K1871" s="8">
        <v>30</v>
      </c>
      <c r="L1871" s="6">
        <v>938</v>
      </c>
      <c r="M1871" s="5">
        <v>142</v>
      </c>
      <c r="N1871" s="5">
        <v>754</v>
      </c>
      <c r="O1871" s="5">
        <v>159</v>
      </c>
      <c r="P1871" s="5">
        <v>81</v>
      </c>
      <c r="Q1871" s="5">
        <v>183</v>
      </c>
      <c r="R1871" s="8">
        <v>1</v>
      </c>
      <c r="S1871" s="8">
        <v>5</v>
      </c>
      <c r="T1871" s="8">
        <v>10</v>
      </c>
      <c r="U1871" s="8">
        <v>6</v>
      </c>
      <c r="V1871" s="8">
        <v>2</v>
      </c>
      <c r="W1871" t="s">
        <v>473</v>
      </c>
      <c r="X1871" t="s">
        <v>474</v>
      </c>
      <c r="Y1871" t="s">
        <v>474</v>
      </c>
      <c r="Z1871" t="s">
        <v>474</v>
      </c>
      <c r="AA1871" t="s">
        <v>473</v>
      </c>
      <c r="AB1871" t="s">
        <v>473</v>
      </c>
      <c r="AC1871" s="10">
        <v>3</v>
      </c>
      <c r="AD1871" s="10">
        <v>11</v>
      </c>
      <c r="AE1871" t="s">
        <v>474</v>
      </c>
    </row>
    <row r="1872" spans="1:31" x14ac:dyDescent="0.25">
      <c r="A1872">
        <v>3286</v>
      </c>
      <c r="B1872">
        <v>1967</v>
      </c>
      <c r="C1872" t="s">
        <v>33</v>
      </c>
      <c r="D1872" t="s">
        <v>37</v>
      </c>
      <c r="E1872" t="str">
        <f>IF(OR(Table1[[#This Row],[marital_status]]="Married", Table1[[#This Row],[marital_status]]="Together"), "Partnered", "Single")</f>
        <v>Single</v>
      </c>
      <c r="F1872" s="7">
        <v>26642</v>
      </c>
      <c r="G1872" s="8">
        <v>1</v>
      </c>
      <c r="H1872" s="8">
        <v>0</v>
      </c>
      <c r="I1872" s="8">
        <f>Table1[[#This Row],[kids]]+Table1[[#This Row],[teens]]</f>
        <v>1</v>
      </c>
      <c r="J1872" s="9">
        <v>41699</v>
      </c>
      <c r="K1872" s="8">
        <v>71</v>
      </c>
      <c r="L1872" s="6">
        <v>13</v>
      </c>
      <c r="M1872" s="5">
        <v>2</v>
      </c>
      <c r="N1872" s="5">
        <v>15</v>
      </c>
      <c r="O1872" s="5">
        <v>2</v>
      </c>
      <c r="P1872" s="5">
        <v>2</v>
      </c>
      <c r="Q1872" s="5">
        <v>8</v>
      </c>
      <c r="R1872" s="8">
        <v>2</v>
      </c>
      <c r="S1872" s="8">
        <v>2</v>
      </c>
      <c r="T1872" s="8">
        <v>0</v>
      </c>
      <c r="U1872" s="8">
        <v>3</v>
      </c>
      <c r="V1872" s="8">
        <v>6</v>
      </c>
      <c r="W1872" t="s">
        <v>473</v>
      </c>
      <c r="X1872" t="s">
        <v>473</v>
      </c>
      <c r="Y1872" t="s">
        <v>473</v>
      </c>
      <c r="Z1872" t="s">
        <v>473</v>
      </c>
      <c r="AA1872" t="s">
        <v>473</v>
      </c>
      <c r="AB1872" t="s">
        <v>473</v>
      </c>
      <c r="AC1872" s="10">
        <v>3</v>
      </c>
      <c r="AD1872" s="10">
        <v>11</v>
      </c>
      <c r="AE1872" t="s">
        <v>473</v>
      </c>
    </row>
    <row r="1873" spans="1:31" x14ac:dyDescent="0.25">
      <c r="A1873">
        <v>8602</v>
      </c>
      <c r="B1873">
        <v>1964</v>
      </c>
      <c r="C1873" t="s">
        <v>466</v>
      </c>
      <c r="D1873" t="s">
        <v>37</v>
      </c>
      <c r="E1873" t="str">
        <f>IF(OR(Table1[[#This Row],[marital_status]]="Married", Table1[[#This Row],[marital_status]]="Together"), "Partnered", "Single")</f>
        <v>Single</v>
      </c>
      <c r="F1873" s="7">
        <v>69932</v>
      </c>
      <c r="G1873" s="8">
        <v>0</v>
      </c>
      <c r="H1873" s="8">
        <v>1</v>
      </c>
      <c r="I1873" s="8">
        <f>Table1[[#This Row],[kids]]+Table1[[#This Row],[teens]]</f>
        <v>1</v>
      </c>
      <c r="J1873" s="9">
        <v>41437</v>
      </c>
      <c r="K1873" s="8">
        <v>97</v>
      </c>
      <c r="L1873" s="6">
        <v>412</v>
      </c>
      <c r="M1873" s="5">
        <v>172</v>
      </c>
      <c r="N1873" s="5">
        <v>153</v>
      </c>
      <c r="O1873" s="5">
        <v>150</v>
      </c>
      <c r="P1873" s="5">
        <v>105</v>
      </c>
      <c r="Q1873" s="5">
        <v>57</v>
      </c>
      <c r="R1873" s="8">
        <v>2</v>
      </c>
      <c r="S1873" s="8">
        <v>7</v>
      </c>
      <c r="T1873" s="8">
        <v>6</v>
      </c>
      <c r="U1873" s="8">
        <v>11</v>
      </c>
      <c r="V1873" s="8">
        <v>4</v>
      </c>
      <c r="W1873" t="s">
        <v>473</v>
      </c>
      <c r="X1873" t="s">
        <v>473</v>
      </c>
      <c r="Y1873" t="s">
        <v>473</v>
      </c>
      <c r="Z1873" t="s">
        <v>473</v>
      </c>
      <c r="AA1873" t="s">
        <v>473</v>
      </c>
      <c r="AB1873" t="s">
        <v>473</v>
      </c>
      <c r="AC1873" s="10">
        <v>3</v>
      </c>
      <c r="AD1873" s="10">
        <v>11</v>
      </c>
      <c r="AE1873" t="s">
        <v>473</v>
      </c>
    </row>
    <row r="1874" spans="1:31" x14ac:dyDescent="0.25">
      <c r="A1874">
        <v>3722</v>
      </c>
      <c r="B1874">
        <v>1972</v>
      </c>
      <c r="C1874" t="s">
        <v>466</v>
      </c>
      <c r="D1874" t="s">
        <v>30</v>
      </c>
      <c r="E1874" t="str">
        <f>IF(OR(Table1[[#This Row],[marital_status]]="Married", Table1[[#This Row],[marital_status]]="Together"), "Partnered", "Single")</f>
        <v>Single</v>
      </c>
      <c r="F1874" s="7">
        <v>44503</v>
      </c>
      <c r="G1874" s="8">
        <v>1</v>
      </c>
      <c r="H1874" s="8">
        <v>1</v>
      </c>
      <c r="I1874" s="8">
        <f>Table1[[#This Row],[kids]]+Table1[[#This Row],[teens]]</f>
        <v>2</v>
      </c>
      <c r="J1874" s="9">
        <v>41745</v>
      </c>
      <c r="K1874" s="8">
        <v>83</v>
      </c>
      <c r="L1874" s="6">
        <v>31</v>
      </c>
      <c r="M1874" s="5">
        <v>1</v>
      </c>
      <c r="N1874" s="5">
        <v>8</v>
      </c>
      <c r="O1874" s="5">
        <v>0</v>
      </c>
      <c r="P1874" s="5">
        <v>0</v>
      </c>
      <c r="Q1874" s="5">
        <v>8</v>
      </c>
      <c r="R1874" s="8">
        <v>2</v>
      </c>
      <c r="S1874" s="8">
        <v>2</v>
      </c>
      <c r="T1874" s="8">
        <v>0</v>
      </c>
      <c r="U1874" s="8">
        <v>3</v>
      </c>
      <c r="V1874" s="8">
        <v>6</v>
      </c>
      <c r="W1874" t="s">
        <v>473</v>
      </c>
      <c r="X1874" t="s">
        <v>473</v>
      </c>
      <c r="Y1874" t="s">
        <v>473</v>
      </c>
      <c r="Z1874" t="s">
        <v>473</v>
      </c>
      <c r="AA1874" t="s">
        <v>473</v>
      </c>
      <c r="AB1874" t="s">
        <v>473</v>
      </c>
      <c r="AC1874" s="10">
        <v>3</v>
      </c>
      <c r="AD1874" s="10">
        <v>11</v>
      </c>
      <c r="AE1874" t="s">
        <v>473</v>
      </c>
    </row>
    <row r="1875" spans="1:31" x14ac:dyDescent="0.25">
      <c r="A1875">
        <v>6715</v>
      </c>
      <c r="B1875">
        <v>1948</v>
      </c>
      <c r="C1875" t="s">
        <v>33</v>
      </c>
      <c r="D1875" t="s">
        <v>30</v>
      </c>
      <c r="E1875" t="str">
        <f>IF(OR(Table1[[#This Row],[marital_status]]="Married", Table1[[#This Row],[marital_status]]="Together"), "Partnered", "Single")</f>
        <v>Single</v>
      </c>
      <c r="F1875" s="7">
        <v>60200</v>
      </c>
      <c r="G1875" s="8">
        <v>0</v>
      </c>
      <c r="H1875" s="8">
        <v>1</v>
      </c>
      <c r="I1875" s="8">
        <f>Table1[[#This Row],[kids]]+Table1[[#This Row],[teens]]</f>
        <v>1</v>
      </c>
      <c r="J1875" s="9">
        <v>41276</v>
      </c>
      <c r="K1875" s="8">
        <v>3</v>
      </c>
      <c r="L1875" s="6">
        <v>502</v>
      </c>
      <c r="M1875" s="5">
        <v>19</v>
      </c>
      <c r="N1875" s="5">
        <v>132</v>
      </c>
      <c r="O1875" s="5">
        <v>0</v>
      </c>
      <c r="P1875" s="5">
        <v>6</v>
      </c>
      <c r="Q1875" s="5">
        <v>26</v>
      </c>
      <c r="R1875" s="8">
        <v>6</v>
      </c>
      <c r="S1875" s="8">
        <v>6</v>
      </c>
      <c r="T1875" s="8">
        <v>2</v>
      </c>
      <c r="U1875" s="8">
        <v>11</v>
      </c>
      <c r="V1875" s="8">
        <v>6</v>
      </c>
      <c r="W1875" t="s">
        <v>473</v>
      </c>
      <c r="X1875" t="s">
        <v>473</v>
      </c>
      <c r="Y1875" t="s">
        <v>473</v>
      </c>
      <c r="Z1875" t="s">
        <v>473</v>
      </c>
      <c r="AA1875" t="s">
        <v>473</v>
      </c>
      <c r="AB1875" t="s">
        <v>473</v>
      </c>
      <c r="AC1875" s="10">
        <v>3</v>
      </c>
      <c r="AD1875" s="10">
        <v>11</v>
      </c>
      <c r="AE1875" t="s">
        <v>473</v>
      </c>
    </row>
    <row r="1876" spans="1:31" x14ac:dyDescent="0.25">
      <c r="A1876">
        <v>4796</v>
      </c>
      <c r="B1876">
        <v>1952</v>
      </c>
      <c r="C1876" t="s">
        <v>466</v>
      </c>
      <c r="D1876" t="s">
        <v>37</v>
      </c>
      <c r="E1876" t="str">
        <f>IF(OR(Table1[[#This Row],[marital_status]]="Married", Table1[[#This Row],[marital_status]]="Together"), "Partnered", "Single")</f>
        <v>Single</v>
      </c>
      <c r="F1876" s="7">
        <v>49638</v>
      </c>
      <c r="G1876" s="8">
        <v>0</v>
      </c>
      <c r="H1876" s="8">
        <v>1</v>
      </c>
      <c r="I1876" s="8">
        <f>Table1[[#This Row],[kids]]+Table1[[#This Row],[teens]]</f>
        <v>1</v>
      </c>
      <c r="J1876" s="9">
        <v>41748</v>
      </c>
      <c r="K1876" s="8">
        <v>71</v>
      </c>
      <c r="L1876" s="6">
        <v>18</v>
      </c>
      <c r="M1876" s="5">
        <v>10</v>
      </c>
      <c r="N1876" s="5">
        <v>3</v>
      </c>
      <c r="O1876" s="5">
        <v>3</v>
      </c>
      <c r="P1876" s="5">
        <v>5</v>
      </c>
      <c r="Q1876" s="5">
        <v>0</v>
      </c>
      <c r="R1876" s="8">
        <v>1</v>
      </c>
      <c r="S1876" s="8">
        <v>1</v>
      </c>
      <c r="T1876" s="8">
        <v>0</v>
      </c>
      <c r="U1876" s="8">
        <v>3</v>
      </c>
      <c r="V1876" s="8">
        <v>2</v>
      </c>
      <c r="W1876" t="s">
        <v>473</v>
      </c>
      <c r="X1876" t="s">
        <v>473</v>
      </c>
      <c r="Y1876" t="s">
        <v>473</v>
      </c>
      <c r="Z1876" t="s">
        <v>473</v>
      </c>
      <c r="AA1876" t="s">
        <v>473</v>
      </c>
      <c r="AB1876" t="s">
        <v>473</v>
      </c>
      <c r="AC1876" s="10">
        <v>3</v>
      </c>
      <c r="AD1876" s="10">
        <v>11</v>
      </c>
      <c r="AE1876" t="s">
        <v>473</v>
      </c>
    </row>
    <row r="1877" spans="1:31" x14ac:dyDescent="0.25">
      <c r="A1877">
        <v>9612</v>
      </c>
      <c r="B1877">
        <v>1987</v>
      </c>
      <c r="C1877" t="s">
        <v>46</v>
      </c>
      <c r="D1877" t="s">
        <v>30</v>
      </c>
      <c r="E1877" t="str">
        <f>IF(OR(Table1[[#This Row],[marital_status]]="Married", Table1[[#This Row],[marital_status]]="Together"), "Partnered", "Single")</f>
        <v>Single</v>
      </c>
      <c r="F1877" s="7">
        <v>23830</v>
      </c>
      <c r="G1877" s="8">
        <v>0</v>
      </c>
      <c r="H1877" s="8">
        <v>0</v>
      </c>
      <c r="I1877" s="8">
        <f>Table1[[#This Row],[kids]]+Table1[[#This Row],[teens]]</f>
        <v>0</v>
      </c>
      <c r="J1877" s="9">
        <v>41677</v>
      </c>
      <c r="K1877" s="8">
        <v>3</v>
      </c>
      <c r="L1877" s="6">
        <v>1</v>
      </c>
      <c r="M1877" s="5">
        <v>8</v>
      </c>
      <c r="N1877" s="5">
        <v>6</v>
      </c>
      <c r="O1877" s="5">
        <v>4</v>
      </c>
      <c r="P1877" s="5">
        <v>8</v>
      </c>
      <c r="Q1877" s="5">
        <v>16</v>
      </c>
      <c r="R1877" s="8">
        <v>1</v>
      </c>
      <c r="S1877" s="8">
        <v>1</v>
      </c>
      <c r="T1877" s="8">
        <v>0</v>
      </c>
      <c r="U1877" s="8">
        <v>3</v>
      </c>
      <c r="V1877" s="8">
        <v>7</v>
      </c>
      <c r="W1877" t="s">
        <v>473</v>
      </c>
      <c r="X1877" t="s">
        <v>473</v>
      </c>
      <c r="Y1877" t="s">
        <v>473</v>
      </c>
      <c r="Z1877" t="s">
        <v>473</v>
      </c>
      <c r="AA1877" t="s">
        <v>473</v>
      </c>
      <c r="AB1877" t="s">
        <v>473</v>
      </c>
      <c r="AC1877" s="10">
        <v>3</v>
      </c>
      <c r="AD1877" s="10">
        <v>11</v>
      </c>
      <c r="AE1877" t="s">
        <v>473</v>
      </c>
    </row>
    <row r="1878" spans="1:31" x14ac:dyDescent="0.25">
      <c r="A1878">
        <v>3766</v>
      </c>
      <c r="B1878">
        <v>1959</v>
      </c>
      <c r="C1878" t="s">
        <v>36</v>
      </c>
      <c r="D1878" t="s">
        <v>57</v>
      </c>
      <c r="E1878" t="str">
        <f>IF(OR(Table1[[#This Row],[marital_status]]="Married", Table1[[#This Row],[marital_status]]="Together"), "Partnered", "Single")</f>
        <v>Single</v>
      </c>
      <c r="F1878" s="7">
        <v>33051</v>
      </c>
      <c r="G1878" s="8">
        <v>0</v>
      </c>
      <c r="H1878" s="8">
        <v>0</v>
      </c>
      <c r="I1878" s="8">
        <f>Table1[[#This Row],[kids]]+Table1[[#This Row],[teens]]</f>
        <v>0</v>
      </c>
      <c r="J1878" s="9">
        <v>41137</v>
      </c>
      <c r="K1878" s="8">
        <v>15</v>
      </c>
      <c r="L1878" s="6">
        <v>100</v>
      </c>
      <c r="M1878" s="5">
        <v>71</v>
      </c>
      <c r="N1878" s="5">
        <v>243</v>
      </c>
      <c r="O1878" s="5">
        <v>108</v>
      </c>
      <c r="P1878" s="5">
        <v>94</v>
      </c>
      <c r="Q1878" s="5">
        <v>219</v>
      </c>
      <c r="R1878" s="8">
        <v>3</v>
      </c>
      <c r="S1878" s="8">
        <v>9</v>
      </c>
      <c r="T1878" s="8">
        <v>1</v>
      </c>
      <c r="U1878" s="8">
        <v>8</v>
      </c>
      <c r="V1878" s="8">
        <v>9</v>
      </c>
      <c r="W1878" t="s">
        <v>473</v>
      </c>
      <c r="X1878" t="s">
        <v>473</v>
      </c>
      <c r="Y1878" t="s">
        <v>473</v>
      </c>
      <c r="Z1878" t="s">
        <v>473</v>
      </c>
      <c r="AA1878" t="s">
        <v>473</v>
      </c>
      <c r="AB1878" t="s">
        <v>473</v>
      </c>
      <c r="AC1878" s="10">
        <v>3</v>
      </c>
      <c r="AD1878" s="10">
        <v>11</v>
      </c>
      <c r="AE1878" t="s">
        <v>474</v>
      </c>
    </row>
    <row r="1879" spans="1:31" x14ac:dyDescent="0.25">
      <c r="A1879">
        <v>1399</v>
      </c>
      <c r="B1879">
        <v>1958</v>
      </c>
      <c r="C1879" t="s">
        <v>466</v>
      </c>
      <c r="D1879" t="s">
        <v>34</v>
      </c>
      <c r="E1879" t="str">
        <f>IF(OR(Table1[[#This Row],[marital_status]]="Married", Table1[[#This Row],[marital_status]]="Together"), "Partnered", "Single")</f>
        <v>Partnered</v>
      </c>
      <c r="F1879" s="7">
        <v>72905</v>
      </c>
      <c r="G1879" s="8">
        <v>0</v>
      </c>
      <c r="H1879" s="8">
        <v>0</v>
      </c>
      <c r="I1879" s="8">
        <f>Table1[[#This Row],[kids]]+Table1[[#This Row],[teens]]</f>
        <v>0</v>
      </c>
      <c r="J1879" s="9">
        <v>41660</v>
      </c>
      <c r="K1879" s="8">
        <v>52</v>
      </c>
      <c r="L1879" s="6">
        <v>407</v>
      </c>
      <c r="M1879" s="5">
        <v>114</v>
      </c>
      <c r="N1879" s="5">
        <v>445</v>
      </c>
      <c r="O1879" s="5">
        <v>181</v>
      </c>
      <c r="P1879" s="5">
        <v>165</v>
      </c>
      <c r="Q1879" s="5">
        <v>203</v>
      </c>
      <c r="R1879" s="8">
        <v>1</v>
      </c>
      <c r="S1879" s="8">
        <v>3</v>
      </c>
      <c r="T1879" s="8">
        <v>7</v>
      </c>
      <c r="U1879" s="8">
        <v>9</v>
      </c>
      <c r="V1879" s="8">
        <v>1</v>
      </c>
      <c r="W1879" t="s">
        <v>473</v>
      </c>
      <c r="X1879" t="s">
        <v>473</v>
      </c>
      <c r="Y1879" t="s">
        <v>473</v>
      </c>
      <c r="Z1879" t="s">
        <v>474</v>
      </c>
      <c r="AA1879" t="s">
        <v>473</v>
      </c>
      <c r="AB1879" t="s">
        <v>473</v>
      </c>
      <c r="AC1879" s="10">
        <v>3</v>
      </c>
      <c r="AD1879" s="10">
        <v>11</v>
      </c>
      <c r="AE1879" t="s">
        <v>473</v>
      </c>
    </row>
    <row r="1880" spans="1:31" x14ac:dyDescent="0.25">
      <c r="A1880">
        <v>1570</v>
      </c>
      <c r="B1880">
        <v>1951</v>
      </c>
      <c r="C1880" t="s">
        <v>33</v>
      </c>
      <c r="D1880" t="s">
        <v>31</v>
      </c>
      <c r="E1880" t="str">
        <f>IF(OR(Table1[[#This Row],[marital_status]]="Married", Table1[[#This Row],[marital_status]]="Together"), "Partnered", "Single")</f>
        <v>Partnered</v>
      </c>
      <c r="F1880" s="7">
        <v>69702</v>
      </c>
      <c r="G1880" s="8">
        <v>0</v>
      </c>
      <c r="H1880" s="8">
        <v>1</v>
      </c>
      <c r="I1880" s="8">
        <f>Table1[[#This Row],[kids]]+Table1[[#This Row],[teens]]</f>
        <v>1</v>
      </c>
      <c r="J1880" s="9">
        <v>41324</v>
      </c>
      <c r="K1880" s="8">
        <v>8</v>
      </c>
      <c r="L1880" s="6">
        <v>664</v>
      </c>
      <c r="M1880" s="5">
        <v>9</v>
      </c>
      <c r="N1880" s="5">
        <v>240</v>
      </c>
      <c r="O1880" s="5">
        <v>50</v>
      </c>
      <c r="P1880" s="5">
        <v>19</v>
      </c>
      <c r="Q1880" s="5">
        <v>57</v>
      </c>
      <c r="R1880" s="8">
        <v>2</v>
      </c>
      <c r="S1880" s="8">
        <v>7</v>
      </c>
      <c r="T1880" s="8">
        <v>7</v>
      </c>
      <c r="U1880" s="8">
        <v>10</v>
      </c>
      <c r="V1880" s="8">
        <v>4</v>
      </c>
      <c r="W1880" t="s">
        <v>473</v>
      </c>
      <c r="X1880" t="s">
        <v>473</v>
      </c>
      <c r="Y1880" t="s">
        <v>473</v>
      </c>
      <c r="Z1880" t="s">
        <v>473</v>
      </c>
      <c r="AA1880" t="s">
        <v>473</v>
      </c>
      <c r="AB1880" t="s">
        <v>473</v>
      </c>
      <c r="AC1880" s="10">
        <v>3</v>
      </c>
      <c r="AD1880" s="10">
        <v>11</v>
      </c>
      <c r="AE1880" t="s">
        <v>473</v>
      </c>
    </row>
    <row r="1881" spans="1:31" x14ac:dyDescent="0.25">
      <c r="A1881">
        <v>3426</v>
      </c>
      <c r="B1881">
        <v>1975</v>
      </c>
      <c r="C1881" t="s">
        <v>466</v>
      </c>
      <c r="D1881" t="s">
        <v>37</v>
      </c>
      <c r="E1881" t="str">
        <f>IF(OR(Table1[[#This Row],[marital_status]]="Married", Table1[[#This Row],[marital_status]]="Together"), "Partnered", "Single")</f>
        <v>Single</v>
      </c>
      <c r="F1881" s="7">
        <v>70300</v>
      </c>
      <c r="G1881" s="8">
        <v>1</v>
      </c>
      <c r="H1881" s="8">
        <v>0</v>
      </c>
      <c r="I1881" s="8">
        <f>Table1[[#This Row],[kids]]+Table1[[#This Row],[teens]]</f>
        <v>1</v>
      </c>
      <c r="J1881" s="9">
        <v>41470</v>
      </c>
      <c r="K1881" s="8">
        <v>89</v>
      </c>
      <c r="L1881" s="6">
        <v>1045</v>
      </c>
      <c r="M1881" s="5">
        <v>61</v>
      </c>
      <c r="N1881" s="5">
        <v>338</v>
      </c>
      <c r="O1881" s="5">
        <v>60</v>
      </c>
      <c r="P1881" s="5">
        <v>46</v>
      </c>
      <c r="Q1881" s="5">
        <v>46</v>
      </c>
      <c r="R1881" s="8">
        <v>3</v>
      </c>
      <c r="S1881" s="8">
        <v>5</v>
      </c>
      <c r="T1881" s="8">
        <v>5</v>
      </c>
      <c r="U1881" s="8">
        <v>13</v>
      </c>
      <c r="V1881" s="8">
        <v>8</v>
      </c>
      <c r="W1881" t="s">
        <v>473</v>
      </c>
      <c r="X1881" t="s">
        <v>473</v>
      </c>
      <c r="Y1881" t="s">
        <v>473</v>
      </c>
      <c r="Z1881" t="s">
        <v>473</v>
      </c>
      <c r="AA1881" t="s">
        <v>473</v>
      </c>
      <c r="AB1881" t="s">
        <v>473</v>
      </c>
      <c r="AC1881" s="10">
        <v>3</v>
      </c>
      <c r="AD1881" s="10">
        <v>11</v>
      </c>
      <c r="AE1881" t="s">
        <v>473</v>
      </c>
    </row>
    <row r="1882" spans="1:31" x14ac:dyDescent="0.25">
      <c r="A1882">
        <v>3074</v>
      </c>
      <c r="B1882">
        <v>1984</v>
      </c>
      <c r="C1882" t="s">
        <v>33</v>
      </c>
      <c r="D1882" t="s">
        <v>34</v>
      </c>
      <c r="E1882" t="str">
        <f>IF(OR(Table1[[#This Row],[marital_status]]="Married", Table1[[#This Row],[marital_status]]="Together"), "Partnered", "Single")</f>
        <v>Partnered</v>
      </c>
      <c r="F1882" s="7">
        <v>70643</v>
      </c>
      <c r="G1882" s="8">
        <v>0</v>
      </c>
      <c r="H1882" s="8">
        <v>0</v>
      </c>
      <c r="I1882" s="8">
        <f>Table1[[#This Row],[kids]]+Table1[[#This Row],[teens]]</f>
        <v>0</v>
      </c>
      <c r="J1882" s="9">
        <v>41197</v>
      </c>
      <c r="K1882" s="8">
        <v>66</v>
      </c>
      <c r="L1882" s="6">
        <v>1218</v>
      </c>
      <c r="M1882" s="5">
        <v>107</v>
      </c>
      <c r="N1882" s="5">
        <v>304</v>
      </c>
      <c r="O1882" s="5">
        <v>23</v>
      </c>
      <c r="P1882" s="5">
        <v>143</v>
      </c>
      <c r="Q1882" s="5">
        <v>33</v>
      </c>
      <c r="R1882" s="8">
        <v>1</v>
      </c>
      <c r="S1882" s="8">
        <v>5</v>
      </c>
      <c r="T1882" s="8">
        <v>8</v>
      </c>
      <c r="U1882" s="8">
        <v>4</v>
      </c>
      <c r="V1882" s="8">
        <v>6</v>
      </c>
      <c r="W1882" t="s">
        <v>473</v>
      </c>
      <c r="X1882" t="s">
        <v>473</v>
      </c>
      <c r="Y1882" t="s">
        <v>473</v>
      </c>
      <c r="Z1882" t="s">
        <v>473</v>
      </c>
      <c r="AA1882" t="s">
        <v>473</v>
      </c>
      <c r="AB1882" t="s">
        <v>473</v>
      </c>
      <c r="AC1882" s="10">
        <v>3</v>
      </c>
      <c r="AD1882" s="10">
        <v>11</v>
      </c>
      <c r="AE1882" t="s">
        <v>474</v>
      </c>
    </row>
    <row r="1883" spans="1:31" x14ac:dyDescent="0.25">
      <c r="A1883">
        <v>8341</v>
      </c>
      <c r="B1883">
        <v>1969</v>
      </c>
      <c r="C1883" t="s">
        <v>33</v>
      </c>
      <c r="D1883" t="s">
        <v>34</v>
      </c>
      <c r="E1883" t="str">
        <f>IF(OR(Table1[[#This Row],[marital_status]]="Married", Table1[[#This Row],[marital_status]]="Together"), "Partnered", "Single")</f>
        <v>Partnered</v>
      </c>
      <c r="F1883" s="7">
        <v>30396</v>
      </c>
      <c r="G1883" s="8">
        <v>1</v>
      </c>
      <c r="H1883" s="8">
        <v>0</v>
      </c>
      <c r="I1883" s="8">
        <f>Table1[[#This Row],[kids]]+Table1[[#This Row],[teens]]</f>
        <v>1</v>
      </c>
      <c r="J1883" s="9">
        <v>41759</v>
      </c>
      <c r="K1883" s="8">
        <v>22</v>
      </c>
      <c r="L1883" s="6">
        <v>15</v>
      </c>
      <c r="M1883" s="5">
        <v>0</v>
      </c>
      <c r="N1883" s="5">
        <v>6</v>
      </c>
      <c r="O1883" s="5">
        <v>0</v>
      </c>
      <c r="P1883" s="5">
        <v>1</v>
      </c>
      <c r="Q1883" s="5">
        <v>12</v>
      </c>
      <c r="R1883" s="8">
        <v>2</v>
      </c>
      <c r="S1883" s="8">
        <v>1</v>
      </c>
      <c r="T1883" s="8">
        <v>1</v>
      </c>
      <c r="U1883" s="8">
        <v>2</v>
      </c>
      <c r="V1883" s="8">
        <v>7</v>
      </c>
      <c r="W1883" t="s">
        <v>474</v>
      </c>
      <c r="X1883" t="s">
        <v>473</v>
      </c>
      <c r="Y1883" t="s">
        <v>473</v>
      </c>
      <c r="Z1883" t="s">
        <v>473</v>
      </c>
      <c r="AA1883" t="s">
        <v>473</v>
      </c>
      <c r="AB1883" t="s">
        <v>473</v>
      </c>
      <c r="AC1883" s="10">
        <v>3</v>
      </c>
      <c r="AD1883" s="10">
        <v>11</v>
      </c>
      <c r="AE1883" t="s">
        <v>474</v>
      </c>
    </row>
    <row r="1884" spans="1:31" x14ac:dyDescent="0.25">
      <c r="A1884">
        <v>5180</v>
      </c>
      <c r="B1884">
        <v>1968</v>
      </c>
      <c r="C1884" t="s">
        <v>33</v>
      </c>
      <c r="D1884" t="s">
        <v>37</v>
      </c>
      <c r="E1884" t="str">
        <f>IF(OR(Table1[[#This Row],[marital_status]]="Married", Table1[[#This Row],[marital_status]]="Together"), "Partnered", "Single")</f>
        <v>Single</v>
      </c>
      <c r="F1884" s="7">
        <v>50616</v>
      </c>
      <c r="G1884" s="8">
        <v>0</v>
      </c>
      <c r="H1884" s="8">
        <v>1</v>
      </c>
      <c r="I1884" s="8">
        <f>Table1[[#This Row],[kids]]+Table1[[#This Row],[teens]]</f>
        <v>1</v>
      </c>
      <c r="J1884" s="9">
        <v>41747</v>
      </c>
      <c r="K1884" s="8">
        <v>56</v>
      </c>
      <c r="L1884" s="6">
        <v>128</v>
      </c>
      <c r="M1884" s="5">
        <v>0</v>
      </c>
      <c r="N1884" s="5">
        <v>16</v>
      </c>
      <c r="O1884" s="5">
        <v>0</v>
      </c>
      <c r="P1884" s="5">
        <v>1</v>
      </c>
      <c r="Q1884" s="5">
        <v>4</v>
      </c>
      <c r="R1884" s="8">
        <v>2</v>
      </c>
      <c r="S1884" s="8">
        <v>4</v>
      </c>
      <c r="T1884" s="8">
        <v>0</v>
      </c>
      <c r="U1884" s="8">
        <v>4</v>
      </c>
      <c r="V1884" s="8">
        <v>7</v>
      </c>
      <c r="W1884" t="s">
        <v>473</v>
      </c>
      <c r="X1884" t="s">
        <v>473</v>
      </c>
      <c r="Y1884" t="s">
        <v>473</v>
      </c>
      <c r="Z1884" t="s">
        <v>473</v>
      </c>
      <c r="AA1884" t="s">
        <v>473</v>
      </c>
      <c r="AB1884" t="s">
        <v>473</v>
      </c>
      <c r="AC1884" s="10">
        <v>3</v>
      </c>
      <c r="AD1884" s="10">
        <v>11</v>
      </c>
      <c r="AE1884" t="s">
        <v>473</v>
      </c>
    </row>
    <row r="1885" spans="1:31" x14ac:dyDescent="0.25">
      <c r="A1885">
        <v>6461</v>
      </c>
      <c r="B1885">
        <v>1969</v>
      </c>
      <c r="C1885" t="s">
        <v>36</v>
      </c>
      <c r="D1885" t="s">
        <v>30</v>
      </c>
      <c r="E1885" t="str">
        <f>IF(OR(Table1[[#This Row],[marital_status]]="Married", Table1[[#This Row],[marital_status]]="Together"), "Partnered", "Single")</f>
        <v>Single</v>
      </c>
      <c r="F1885" s="7">
        <v>62772</v>
      </c>
      <c r="G1885" s="8">
        <v>0</v>
      </c>
      <c r="H1885" s="8">
        <v>1</v>
      </c>
      <c r="I1885" s="8">
        <f>Table1[[#This Row],[kids]]+Table1[[#This Row],[teens]]</f>
        <v>1</v>
      </c>
      <c r="J1885" s="9">
        <v>41413</v>
      </c>
      <c r="K1885" s="8">
        <v>74</v>
      </c>
      <c r="L1885" s="6">
        <v>581</v>
      </c>
      <c r="M1885" s="5">
        <v>49</v>
      </c>
      <c r="N1885" s="5">
        <v>157</v>
      </c>
      <c r="O1885" s="5">
        <v>43</v>
      </c>
      <c r="P1885" s="5">
        <v>8</v>
      </c>
      <c r="Q1885" s="5">
        <v>108</v>
      </c>
      <c r="R1885" s="8">
        <v>1</v>
      </c>
      <c r="S1885" s="8">
        <v>5</v>
      </c>
      <c r="T1885" s="8">
        <v>6</v>
      </c>
      <c r="U1885" s="8">
        <v>11</v>
      </c>
      <c r="V1885" s="8">
        <v>2</v>
      </c>
      <c r="W1885" t="s">
        <v>473</v>
      </c>
      <c r="X1885" t="s">
        <v>474</v>
      </c>
      <c r="Y1885" t="s">
        <v>473</v>
      </c>
      <c r="Z1885" t="s">
        <v>473</v>
      </c>
      <c r="AA1885" t="s">
        <v>473</v>
      </c>
      <c r="AB1885" t="s">
        <v>473</v>
      </c>
      <c r="AC1885" s="10">
        <v>3</v>
      </c>
      <c r="AD1885" s="10">
        <v>11</v>
      </c>
      <c r="AE1885" t="s">
        <v>473</v>
      </c>
    </row>
    <row r="1886" spans="1:31" x14ac:dyDescent="0.25">
      <c r="A1886">
        <v>7679</v>
      </c>
      <c r="B1886">
        <v>1985</v>
      </c>
      <c r="C1886" t="s">
        <v>33</v>
      </c>
      <c r="D1886" t="s">
        <v>30</v>
      </c>
      <c r="E1886" t="str">
        <f>IF(OR(Table1[[#This Row],[marital_status]]="Married", Table1[[#This Row],[marital_status]]="Together"), "Partnered", "Single")</f>
        <v>Single</v>
      </c>
      <c r="F1886" s="7">
        <v>30298</v>
      </c>
      <c r="G1886" s="8">
        <v>0</v>
      </c>
      <c r="H1886" s="8">
        <v>0</v>
      </c>
      <c r="I1886" s="8">
        <f>Table1[[#This Row],[kids]]+Table1[[#This Row],[teens]]</f>
        <v>0</v>
      </c>
      <c r="J1886" s="9">
        <v>41778</v>
      </c>
      <c r="K1886" s="8">
        <v>48</v>
      </c>
      <c r="L1886" s="6">
        <v>6</v>
      </c>
      <c r="M1886" s="5">
        <v>3</v>
      </c>
      <c r="N1886" s="5">
        <v>12</v>
      </c>
      <c r="O1886" s="5">
        <v>6</v>
      </c>
      <c r="P1886" s="5">
        <v>1</v>
      </c>
      <c r="Q1886" s="5">
        <v>0</v>
      </c>
      <c r="R1886" s="8">
        <v>1</v>
      </c>
      <c r="S1886" s="8">
        <v>1</v>
      </c>
      <c r="T1886" s="8">
        <v>1</v>
      </c>
      <c r="U1886" s="8">
        <v>3</v>
      </c>
      <c r="V1886" s="8">
        <v>3</v>
      </c>
      <c r="W1886" t="s">
        <v>473</v>
      </c>
      <c r="X1886" t="s">
        <v>473</v>
      </c>
      <c r="Y1886" t="s">
        <v>473</v>
      </c>
      <c r="Z1886" t="s">
        <v>473</v>
      </c>
      <c r="AA1886" t="s">
        <v>473</v>
      </c>
      <c r="AB1886" t="s">
        <v>473</v>
      </c>
      <c r="AC1886" s="10">
        <v>3</v>
      </c>
      <c r="AD1886" s="10">
        <v>11</v>
      </c>
      <c r="AE1886" t="s">
        <v>473</v>
      </c>
    </row>
    <row r="1887" spans="1:31" x14ac:dyDescent="0.25">
      <c r="A1887">
        <v>10702</v>
      </c>
      <c r="B1887">
        <v>1984</v>
      </c>
      <c r="C1887" t="s">
        <v>466</v>
      </c>
      <c r="D1887" t="s">
        <v>30</v>
      </c>
      <c r="E1887" t="str">
        <f>IF(OR(Table1[[#This Row],[marital_status]]="Married", Table1[[#This Row],[marital_status]]="Together"), "Partnered", "Single")</f>
        <v>Single</v>
      </c>
      <c r="F1887" s="7">
        <v>52413</v>
      </c>
      <c r="G1887" s="8">
        <v>1</v>
      </c>
      <c r="H1887" s="8">
        <v>0</v>
      </c>
      <c r="I1887" s="8">
        <f>Table1[[#This Row],[kids]]+Table1[[#This Row],[teens]]</f>
        <v>1</v>
      </c>
      <c r="J1887" s="9">
        <v>41216</v>
      </c>
      <c r="K1887" s="8">
        <v>67</v>
      </c>
      <c r="L1887" s="6">
        <v>185</v>
      </c>
      <c r="M1887" s="5">
        <v>8</v>
      </c>
      <c r="N1887" s="5">
        <v>133</v>
      </c>
      <c r="O1887" s="5">
        <v>56</v>
      </c>
      <c r="P1887" s="5">
        <v>56</v>
      </c>
      <c r="Q1887" s="5">
        <v>12</v>
      </c>
      <c r="R1887" s="8">
        <v>2</v>
      </c>
      <c r="S1887" s="8">
        <v>7</v>
      </c>
      <c r="T1887" s="8">
        <v>1</v>
      </c>
      <c r="U1887" s="8">
        <v>7</v>
      </c>
      <c r="V1887" s="8">
        <v>7</v>
      </c>
      <c r="W1887" t="s">
        <v>473</v>
      </c>
      <c r="X1887" t="s">
        <v>473</v>
      </c>
      <c r="Y1887" t="s">
        <v>473</v>
      </c>
      <c r="Z1887" t="s">
        <v>473</v>
      </c>
      <c r="AA1887" t="s">
        <v>473</v>
      </c>
      <c r="AB1887" t="s">
        <v>473</v>
      </c>
      <c r="AC1887" s="10">
        <v>3</v>
      </c>
      <c r="AD1887" s="10">
        <v>11</v>
      </c>
      <c r="AE1887" t="s">
        <v>473</v>
      </c>
    </row>
    <row r="1888" spans="1:31" x14ac:dyDescent="0.25">
      <c r="A1888">
        <v>7505</v>
      </c>
      <c r="B1888">
        <v>1957</v>
      </c>
      <c r="C1888" t="s">
        <v>33</v>
      </c>
      <c r="D1888" t="s">
        <v>34</v>
      </c>
      <c r="E1888" t="str">
        <f>IF(OR(Table1[[#This Row],[marital_status]]="Married", Table1[[#This Row],[marital_status]]="Together"), "Partnered", "Single")</f>
        <v>Partnered</v>
      </c>
      <c r="F1888" s="7">
        <v>44155</v>
      </c>
      <c r="G1888" s="8">
        <v>1</v>
      </c>
      <c r="H1888" s="8">
        <v>1</v>
      </c>
      <c r="I1888" s="8">
        <f>Table1[[#This Row],[kids]]+Table1[[#This Row],[teens]]</f>
        <v>2</v>
      </c>
      <c r="J1888" s="9">
        <v>41658</v>
      </c>
      <c r="K1888" s="8">
        <v>24</v>
      </c>
      <c r="L1888" s="6">
        <v>22</v>
      </c>
      <c r="M1888" s="5">
        <v>1</v>
      </c>
      <c r="N1888" s="5">
        <v>9</v>
      </c>
      <c r="O1888" s="5">
        <v>0</v>
      </c>
      <c r="P1888" s="5">
        <v>0</v>
      </c>
      <c r="Q1888" s="5">
        <v>14</v>
      </c>
      <c r="R1888" s="8">
        <v>1</v>
      </c>
      <c r="S1888" s="8">
        <v>1</v>
      </c>
      <c r="T1888" s="8">
        <v>1</v>
      </c>
      <c r="U1888" s="8">
        <v>2</v>
      </c>
      <c r="V1888" s="8">
        <v>4</v>
      </c>
      <c r="W1888" t="s">
        <v>473</v>
      </c>
      <c r="X1888" t="s">
        <v>473</v>
      </c>
      <c r="Y1888" t="s">
        <v>473</v>
      </c>
      <c r="Z1888" t="s">
        <v>473</v>
      </c>
      <c r="AA1888" t="s">
        <v>473</v>
      </c>
      <c r="AB1888" t="s">
        <v>473</v>
      </c>
      <c r="AC1888" s="10">
        <v>3</v>
      </c>
      <c r="AD1888" s="10">
        <v>11</v>
      </c>
      <c r="AE1888" t="s">
        <v>473</v>
      </c>
    </row>
    <row r="1889" spans="1:31" x14ac:dyDescent="0.25">
      <c r="A1889">
        <v>5113</v>
      </c>
      <c r="B1889">
        <v>1971</v>
      </c>
      <c r="C1889" t="s">
        <v>33</v>
      </c>
      <c r="D1889" t="s">
        <v>37</v>
      </c>
      <c r="E1889" t="str">
        <f>IF(OR(Table1[[#This Row],[marital_status]]="Married", Table1[[#This Row],[marital_status]]="Together"), "Partnered", "Single")</f>
        <v>Single</v>
      </c>
      <c r="F1889" s="7">
        <v>86979</v>
      </c>
      <c r="G1889" s="8">
        <v>0</v>
      </c>
      <c r="H1889" s="8">
        <v>0</v>
      </c>
      <c r="I1889" s="8">
        <f>Table1[[#This Row],[kids]]+Table1[[#This Row],[teens]]</f>
        <v>0</v>
      </c>
      <c r="J1889" s="9">
        <v>41585</v>
      </c>
      <c r="K1889" s="8">
        <v>67</v>
      </c>
      <c r="L1889" s="6">
        <v>584</v>
      </c>
      <c r="M1889" s="5">
        <v>100</v>
      </c>
      <c r="N1889" s="5">
        <v>835</v>
      </c>
      <c r="O1889" s="5">
        <v>65</v>
      </c>
      <c r="P1889" s="5">
        <v>83</v>
      </c>
      <c r="Q1889" s="5">
        <v>35</v>
      </c>
      <c r="R1889" s="8">
        <v>1</v>
      </c>
      <c r="S1889" s="8">
        <v>5</v>
      </c>
      <c r="T1889" s="8">
        <v>5</v>
      </c>
      <c r="U1889" s="8">
        <v>5</v>
      </c>
      <c r="V1889" s="8">
        <v>2</v>
      </c>
      <c r="W1889" t="s">
        <v>474</v>
      </c>
      <c r="X1889" t="s">
        <v>473</v>
      </c>
      <c r="Y1889" t="s">
        <v>473</v>
      </c>
      <c r="Z1889" t="s">
        <v>473</v>
      </c>
      <c r="AA1889" t="s">
        <v>473</v>
      </c>
      <c r="AB1889" t="s">
        <v>473</v>
      </c>
      <c r="AC1889" s="10">
        <v>3</v>
      </c>
      <c r="AD1889" s="10">
        <v>11</v>
      </c>
      <c r="AE1889" t="s">
        <v>474</v>
      </c>
    </row>
    <row r="1890" spans="1:31" x14ac:dyDescent="0.25">
      <c r="A1890">
        <v>10858</v>
      </c>
      <c r="B1890">
        <v>1975</v>
      </c>
      <c r="C1890" t="s">
        <v>466</v>
      </c>
      <c r="D1890" t="s">
        <v>31</v>
      </c>
      <c r="E1890" t="str">
        <f>IF(OR(Table1[[#This Row],[marital_status]]="Married", Table1[[#This Row],[marital_status]]="Together"), "Partnered", "Single")</f>
        <v>Partnered</v>
      </c>
      <c r="F1890" s="7">
        <v>76532</v>
      </c>
      <c r="G1890" s="8">
        <v>1</v>
      </c>
      <c r="H1890" s="8">
        <v>1</v>
      </c>
      <c r="I1890" s="8">
        <f>Table1[[#This Row],[kids]]+Table1[[#This Row],[teens]]</f>
        <v>2</v>
      </c>
      <c r="J1890" s="9">
        <v>41526</v>
      </c>
      <c r="K1890" s="8">
        <v>38</v>
      </c>
      <c r="L1890" s="6">
        <v>355</v>
      </c>
      <c r="M1890" s="5">
        <v>30</v>
      </c>
      <c r="N1890" s="5">
        <v>177</v>
      </c>
      <c r="O1890" s="5">
        <v>90</v>
      </c>
      <c r="P1890" s="5">
        <v>138</v>
      </c>
      <c r="Q1890" s="5">
        <v>30</v>
      </c>
      <c r="R1890" s="8">
        <v>4</v>
      </c>
      <c r="S1890" s="8">
        <v>9</v>
      </c>
      <c r="T1890" s="8">
        <v>5</v>
      </c>
      <c r="U1890" s="8">
        <v>7</v>
      </c>
      <c r="V1890" s="8">
        <v>5</v>
      </c>
      <c r="W1890" t="s">
        <v>473</v>
      </c>
      <c r="X1890" t="s">
        <v>473</v>
      </c>
      <c r="Y1890" t="s">
        <v>473</v>
      </c>
      <c r="Z1890" t="s">
        <v>473</v>
      </c>
      <c r="AA1890" t="s">
        <v>473</v>
      </c>
      <c r="AB1890" t="s">
        <v>473</v>
      </c>
      <c r="AC1890" s="10">
        <v>3</v>
      </c>
      <c r="AD1890" s="10">
        <v>11</v>
      </c>
      <c r="AE1890" t="s">
        <v>473</v>
      </c>
    </row>
    <row r="1891" spans="1:31" x14ac:dyDescent="0.25">
      <c r="A1891">
        <v>2961</v>
      </c>
      <c r="B1891">
        <v>1982</v>
      </c>
      <c r="C1891" t="s">
        <v>466</v>
      </c>
      <c r="D1891" t="s">
        <v>34</v>
      </c>
      <c r="E1891" t="str">
        <f>IF(OR(Table1[[#This Row],[marital_status]]="Married", Table1[[#This Row],[marital_status]]="Together"), "Partnered", "Single")</f>
        <v>Partnered</v>
      </c>
      <c r="F1891" s="7">
        <v>42081</v>
      </c>
      <c r="G1891" s="8">
        <v>1</v>
      </c>
      <c r="H1891" s="8">
        <v>0</v>
      </c>
      <c r="I1891" s="8">
        <f>Table1[[#This Row],[kids]]+Table1[[#This Row],[teens]]</f>
        <v>1</v>
      </c>
      <c r="J1891" s="9">
        <v>41331</v>
      </c>
      <c r="K1891" s="8">
        <v>86</v>
      </c>
      <c r="L1891" s="6">
        <v>175</v>
      </c>
      <c r="M1891" s="5">
        <v>10</v>
      </c>
      <c r="N1891" s="5">
        <v>110</v>
      </c>
      <c r="O1891" s="5">
        <v>54</v>
      </c>
      <c r="P1891" s="5">
        <v>6</v>
      </c>
      <c r="Q1891" s="5">
        <v>27</v>
      </c>
      <c r="R1891" s="8">
        <v>2</v>
      </c>
      <c r="S1891" s="8">
        <v>6</v>
      </c>
      <c r="T1891" s="8">
        <v>3</v>
      </c>
      <c r="U1891" s="8">
        <v>4</v>
      </c>
      <c r="V1891" s="8">
        <v>6</v>
      </c>
      <c r="W1891" t="s">
        <v>474</v>
      </c>
      <c r="X1891" t="s">
        <v>473</v>
      </c>
      <c r="Y1891" t="s">
        <v>473</v>
      </c>
      <c r="Z1891" t="s">
        <v>473</v>
      </c>
      <c r="AA1891" t="s">
        <v>473</v>
      </c>
      <c r="AB1891" t="s">
        <v>473</v>
      </c>
      <c r="AC1891" s="10">
        <v>3</v>
      </c>
      <c r="AD1891" s="10">
        <v>11</v>
      </c>
      <c r="AE1891" t="s">
        <v>473</v>
      </c>
    </row>
    <row r="1892" spans="1:31" x14ac:dyDescent="0.25">
      <c r="A1892">
        <v>2747</v>
      </c>
      <c r="B1892">
        <v>1988</v>
      </c>
      <c r="C1892" t="s">
        <v>33</v>
      </c>
      <c r="D1892" t="s">
        <v>34</v>
      </c>
      <c r="E1892" t="str">
        <f>IF(OR(Table1[[#This Row],[marital_status]]="Married", Table1[[#This Row],[marital_status]]="Together"), "Partnered", "Single")</f>
        <v>Partnered</v>
      </c>
      <c r="F1892" s="7">
        <v>67546</v>
      </c>
      <c r="G1892" s="8">
        <v>0</v>
      </c>
      <c r="H1892" s="8">
        <v>0</v>
      </c>
      <c r="I1892" s="8">
        <f>Table1[[#This Row],[kids]]+Table1[[#This Row],[teens]]</f>
        <v>0</v>
      </c>
      <c r="J1892" s="9">
        <v>41152</v>
      </c>
      <c r="K1892" s="8">
        <v>90</v>
      </c>
      <c r="L1892" s="6">
        <v>864</v>
      </c>
      <c r="M1892" s="5">
        <v>134</v>
      </c>
      <c r="N1892" s="5">
        <v>768</v>
      </c>
      <c r="O1892" s="5">
        <v>150</v>
      </c>
      <c r="P1892" s="5">
        <v>38</v>
      </c>
      <c r="Q1892" s="5">
        <v>172</v>
      </c>
      <c r="R1892" s="8">
        <v>1</v>
      </c>
      <c r="S1892" s="8">
        <v>4</v>
      </c>
      <c r="T1892" s="8">
        <v>10</v>
      </c>
      <c r="U1892" s="8">
        <v>5</v>
      </c>
      <c r="V1892" s="8">
        <v>3</v>
      </c>
      <c r="W1892" t="s">
        <v>473</v>
      </c>
      <c r="X1892" t="s">
        <v>473</v>
      </c>
      <c r="Y1892" t="s">
        <v>473</v>
      </c>
      <c r="Z1892" t="s">
        <v>473</v>
      </c>
      <c r="AA1892" t="s">
        <v>473</v>
      </c>
      <c r="AB1892" t="s">
        <v>473</v>
      </c>
      <c r="AC1892" s="10">
        <v>3</v>
      </c>
      <c r="AD1892" s="10">
        <v>11</v>
      </c>
      <c r="AE1892" t="s">
        <v>473</v>
      </c>
    </row>
    <row r="1893" spans="1:31" x14ac:dyDescent="0.25">
      <c r="A1893">
        <v>3010</v>
      </c>
      <c r="B1893">
        <v>1989</v>
      </c>
      <c r="C1893" t="s">
        <v>36</v>
      </c>
      <c r="D1893" t="s">
        <v>31</v>
      </c>
      <c r="E1893" t="str">
        <f>IF(OR(Table1[[#This Row],[marital_status]]="Married", Table1[[#This Row],[marital_status]]="Together"), "Partnered", "Single")</f>
        <v>Partnered</v>
      </c>
      <c r="F1893" s="7">
        <v>88420</v>
      </c>
      <c r="G1893" s="8">
        <v>0</v>
      </c>
      <c r="H1893" s="8">
        <v>0</v>
      </c>
      <c r="I1893" s="8">
        <f>Table1[[#This Row],[kids]]+Table1[[#This Row],[teens]]</f>
        <v>0</v>
      </c>
      <c r="J1893" s="9">
        <v>41761</v>
      </c>
      <c r="K1893" s="8">
        <v>87</v>
      </c>
      <c r="L1893" s="6">
        <v>957</v>
      </c>
      <c r="M1893" s="5">
        <v>153</v>
      </c>
      <c r="N1893" s="5">
        <v>612</v>
      </c>
      <c r="O1893" s="5">
        <v>99</v>
      </c>
      <c r="P1893" s="5">
        <v>95</v>
      </c>
      <c r="Q1893" s="5">
        <v>153</v>
      </c>
      <c r="R1893" s="8">
        <v>1</v>
      </c>
      <c r="S1893" s="8">
        <v>4</v>
      </c>
      <c r="T1893" s="8">
        <v>7</v>
      </c>
      <c r="U1893" s="8">
        <v>8</v>
      </c>
      <c r="V1893" s="8">
        <v>1</v>
      </c>
      <c r="W1893" t="s">
        <v>474</v>
      </c>
      <c r="X1893" t="s">
        <v>473</v>
      </c>
      <c r="Y1893" t="s">
        <v>474</v>
      </c>
      <c r="Z1893" t="s">
        <v>474</v>
      </c>
      <c r="AA1893" t="s">
        <v>473</v>
      </c>
      <c r="AB1893" t="s">
        <v>473</v>
      </c>
      <c r="AC1893" s="10">
        <v>3</v>
      </c>
      <c r="AD1893" s="10">
        <v>11</v>
      </c>
      <c r="AE1893" t="s">
        <v>473</v>
      </c>
    </row>
    <row r="1894" spans="1:31" x14ac:dyDescent="0.25">
      <c r="A1894">
        <v>5790</v>
      </c>
      <c r="B1894">
        <v>1985</v>
      </c>
      <c r="C1894" t="s">
        <v>466</v>
      </c>
      <c r="D1894" t="s">
        <v>34</v>
      </c>
      <c r="E1894" t="str">
        <f>IF(OR(Table1[[#This Row],[marital_status]]="Married", Table1[[#This Row],[marital_status]]="Together"), "Partnered", "Single")</f>
        <v>Partnered</v>
      </c>
      <c r="F1894" s="7">
        <v>31158</v>
      </c>
      <c r="G1894" s="8">
        <v>1</v>
      </c>
      <c r="H1894" s="8">
        <v>0</v>
      </c>
      <c r="I1894" s="8">
        <f>Table1[[#This Row],[kids]]+Table1[[#This Row],[teens]]</f>
        <v>1</v>
      </c>
      <c r="J1894" s="9">
        <v>41301</v>
      </c>
      <c r="K1894" s="8">
        <v>62</v>
      </c>
      <c r="L1894" s="6">
        <v>25</v>
      </c>
      <c r="M1894" s="5">
        <v>6</v>
      </c>
      <c r="N1894" s="5">
        <v>16</v>
      </c>
      <c r="O1894" s="5">
        <v>20</v>
      </c>
      <c r="P1894" s="5">
        <v>0</v>
      </c>
      <c r="Q1894" s="5">
        <v>5</v>
      </c>
      <c r="R1894" s="8">
        <v>2</v>
      </c>
      <c r="S1894" s="8">
        <v>2</v>
      </c>
      <c r="T1894" s="8">
        <v>0</v>
      </c>
      <c r="U1894" s="8">
        <v>3</v>
      </c>
      <c r="V1894" s="8">
        <v>8</v>
      </c>
      <c r="W1894" t="s">
        <v>473</v>
      </c>
      <c r="X1894" t="s">
        <v>473</v>
      </c>
      <c r="Y1894" t="s">
        <v>473</v>
      </c>
      <c r="Z1894" t="s">
        <v>473</v>
      </c>
      <c r="AA1894" t="s">
        <v>473</v>
      </c>
      <c r="AB1894" t="s">
        <v>473</v>
      </c>
      <c r="AC1894" s="10">
        <v>3</v>
      </c>
      <c r="AD1894" s="10">
        <v>11</v>
      </c>
      <c r="AE1894" t="s">
        <v>473</v>
      </c>
    </row>
    <row r="1895" spans="1:31" x14ac:dyDescent="0.25">
      <c r="A1895">
        <v>6892</v>
      </c>
      <c r="B1895">
        <v>1968</v>
      </c>
      <c r="C1895" t="s">
        <v>466</v>
      </c>
      <c r="D1895" t="s">
        <v>37</v>
      </c>
      <c r="E1895" t="str">
        <f>IF(OR(Table1[[#This Row],[marital_status]]="Married", Table1[[#This Row],[marital_status]]="Together"), "Partnered", "Single")</f>
        <v>Single</v>
      </c>
      <c r="F1895" s="7">
        <v>61671</v>
      </c>
      <c r="G1895" s="8">
        <v>0</v>
      </c>
      <c r="H1895" s="8">
        <v>1</v>
      </c>
      <c r="I1895" s="8">
        <f>Table1[[#This Row],[kids]]+Table1[[#This Row],[teens]]</f>
        <v>1</v>
      </c>
      <c r="J1895" s="9">
        <v>41793</v>
      </c>
      <c r="K1895" s="8">
        <v>23</v>
      </c>
      <c r="L1895" s="6">
        <v>641</v>
      </c>
      <c r="M1895" s="5">
        <v>7</v>
      </c>
      <c r="N1895" s="5">
        <v>56</v>
      </c>
      <c r="O1895" s="5">
        <v>0</v>
      </c>
      <c r="P1895" s="5">
        <v>0</v>
      </c>
      <c r="Q1895" s="5">
        <v>28</v>
      </c>
      <c r="R1895" s="8">
        <v>8</v>
      </c>
      <c r="S1895" s="8">
        <v>10</v>
      </c>
      <c r="T1895" s="8">
        <v>4</v>
      </c>
      <c r="U1895" s="8">
        <v>6</v>
      </c>
      <c r="V1895" s="8">
        <v>8</v>
      </c>
      <c r="W1895" t="s">
        <v>473</v>
      </c>
      <c r="X1895" t="s">
        <v>474</v>
      </c>
      <c r="Y1895" t="s">
        <v>473</v>
      </c>
      <c r="Z1895" t="s">
        <v>474</v>
      </c>
      <c r="AA1895" t="s">
        <v>473</v>
      </c>
      <c r="AB1895" t="s">
        <v>473</v>
      </c>
      <c r="AC1895" s="10">
        <v>3</v>
      </c>
      <c r="AD1895" s="10">
        <v>11</v>
      </c>
      <c r="AE1895" t="s">
        <v>473</v>
      </c>
    </row>
    <row r="1896" spans="1:31" x14ac:dyDescent="0.25">
      <c r="A1896">
        <v>1743</v>
      </c>
      <c r="B1896">
        <v>1974</v>
      </c>
      <c r="C1896" t="s">
        <v>466</v>
      </c>
      <c r="D1896" t="s">
        <v>30</v>
      </c>
      <c r="E1896" t="str">
        <f>IF(OR(Table1[[#This Row],[marital_status]]="Married", Table1[[#This Row],[marital_status]]="Together"), "Partnered", "Single")</f>
        <v>Single</v>
      </c>
      <c r="F1896" s="7">
        <v>69719</v>
      </c>
      <c r="G1896" s="8">
        <v>0</v>
      </c>
      <c r="H1896" s="8">
        <v>0</v>
      </c>
      <c r="I1896" s="8">
        <f>Table1[[#This Row],[kids]]+Table1[[#This Row],[teens]]</f>
        <v>0</v>
      </c>
      <c r="J1896" s="9">
        <v>41785</v>
      </c>
      <c r="K1896" s="8">
        <v>99</v>
      </c>
      <c r="L1896" s="6">
        <v>273</v>
      </c>
      <c r="M1896" s="5">
        <v>86</v>
      </c>
      <c r="N1896" s="5">
        <v>208</v>
      </c>
      <c r="O1896" s="5">
        <v>177</v>
      </c>
      <c r="P1896" s="5">
        <v>14</v>
      </c>
      <c r="Q1896" s="5">
        <v>43</v>
      </c>
      <c r="R1896" s="8">
        <v>1</v>
      </c>
      <c r="S1896" s="8">
        <v>2</v>
      </c>
      <c r="T1896" s="8">
        <v>3</v>
      </c>
      <c r="U1896" s="8">
        <v>5</v>
      </c>
      <c r="V1896" s="8">
        <v>1</v>
      </c>
      <c r="W1896" t="s">
        <v>473</v>
      </c>
      <c r="X1896" t="s">
        <v>473</v>
      </c>
      <c r="Y1896" t="s">
        <v>473</v>
      </c>
      <c r="Z1896" t="s">
        <v>473</v>
      </c>
      <c r="AA1896" t="s">
        <v>473</v>
      </c>
      <c r="AB1896" t="s">
        <v>473</v>
      </c>
      <c r="AC1896" s="10">
        <v>3</v>
      </c>
      <c r="AD1896" s="10">
        <v>11</v>
      </c>
      <c r="AE1896" t="s">
        <v>473</v>
      </c>
    </row>
    <row r="1897" spans="1:31" x14ac:dyDescent="0.25">
      <c r="A1897">
        <v>3578</v>
      </c>
      <c r="B1897">
        <v>1949</v>
      </c>
      <c r="C1897" t="s">
        <v>466</v>
      </c>
      <c r="D1897" t="s">
        <v>37</v>
      </c>
      <c r="E1897" t="str">
        <f>IF(OR(Table1[[#This Row],[marital_status]]="Married", Table1[[#This Row],[marital_status]]="Together"), "Partnered", "Single")</f>
        <v>Single</v>
      </c>
      <c r="F1897" s="7">
        <v>49160</v>
      </c>
      <c r="G1897" s="8">
        <v>0</v>
      </c>
      <c r="H1897" s="8">
        <v>1</v>
      </c>
      <c r="I1897" s="8">
        <f>Table1[[#This Row],[kids]]+Table1[[#This Row],[teens]]</f>
        <v>1</v>
      </c>
      <c r="J1897" s="9">
        <v>41567</v>
      </c>
      <c r="K1897" s="8">
        <v>29</v>
      </c>
      <c r="L1897" s="6">
        <v>122</v>
      </c>
      <c r="M1897" s="5">
        <v>21</v>
      </c>
      <c r="N1897" s="5">
        <v>43</v>
      </c>
      <c r="O1897" s="5">
        <v>25</v>
      </c>
      <c r="P1897" s="5">
        <v>10</v>
      </c>
      <c r="Q1897" s="5">
        <v>15</v>
      </c>
      <c r="R1897" s="8">
        <v>2</v>
      </c>
      <c r="S1897" s="8">
        <v>3</v>
      </c>
      <c r="T1897" s="8">
        <v>1</v>
      </c>
      <c r="U1897" s="8">
        <v>6</v>
      </c>
      <c r="V1897" s="8">
        <v>6</v>
      </c>
      <c r="W1897" t="s">
        <v>473</v>
      </c>
      <c r="X1897" t="s">
        <v>473</v>
      </c>
      <c r="Y1897" t="s">
        <v>473</v>
      </c>
      <c r="Z1897" t="s">
        <v>473</v>
      </c>
      <c r="AA1897" t="s">
        <v>473</v>
      </c>
      <c r="AB1897" t="s">
        <v>473</v>
      </c>
      <c r="AC1897" s="10">
        <v>3</v>
      </c>
      <c r="AD1897" s="10">
        <v>11</v>
      </c>
      <c r="AE1897" t="s">
        <v>473</v>
      </c>
    </row>
    <row r="1898" spans="1:31" x14ac:dyDescent="0.25">
      <c r="A1898">
        <v>8462</v>
      </c>
      <c r="B1898">
        <v>1978</v>
      </c>
      <c r="C1898" t="s">
        <v>41</v>
      </c>
      <c r="D1898" t="s">
        <v>31</v>
      </c>
      <c r="E1898" t="str">
        <f>IF(OR(Table1[[#This Row],[marital_status]]="Married", Table1[[#This Row],[marital_status]]="Together"), "Partnered", "Single")</f>
        <v>Partnered</v>
      </c>
      <c r="F1898" s="7">
        <v>24882</v>
      </c>
      <c r="G1898" s="8">
        <v>1</v>
      </c>
      <c r="H1898" s="8">
        <v>0</v>
      </c>
      <c r="I1898" s="8">
        <f>Table1[[#This Row],[kids]]+Table1[[#This Row],[teens]]</f>
        <v>1</v>
      </c>
      <c r="J1898" s="9">
        <v>41161</v>
      </c>
      <c r="K1898" s="8">
        <v>52</v>
      </c>
      <c r="L1898" s="6">
        <v>1</v>
      </c>
      <c r="M1898" s="5">
        <v>4</v>
      </c>
      <c r="N1898" s="5">
        <v>10</v>
      </c>
      <c r="O1898" s="5">
        <v>29</v>
      </c>
      <c r="P1898" s="5">
        <v>0</v>
      </c>
      <c r="Q1898" s="5">
        <v>36</v>
      </c>
      <c r="R1898" s="8">
        <v>1</v>
      </c>
      <c r="S1898" s="8">
        <v>1</v>
      </c>
      <c r="T1898" s="8">
        <v>1</v>
      </c>
      <c r="U1898" s="8">
        <v>2</v>
      </c>
      <c r="V1898" s="8">
        <v>6</v>
      </c>
      <c r="W1898" t="s">
        <v>474</v>
      </c>
      <c r="X1898" t="s">
        <v>473</v>
      </c>
      <c r="Y1898" t="s">
        <v>473</v>
      </c>
      <c r="Z1898" t="s">
        <v>473</v>
      </c>
      <c r="AA1898" t="s">
        <v>473</v>
      </c>
      <c r="AB1898" t="s">
        <v>473</v>
      </c>
      <c r="AC1898" s="10">
        <v>3</v>
      </c>
      <c r="AD1898" s="10">
        <v>11</v>
      </c>
      <c r="AE1898" t="s">
        <v>473</v>
      </c>
    </row>
    <row r="1899" spans="1:31" x14ac:dyDescent="0.25">
      <c r="A1899">
        <v>5558</v>
      </c>
      <c r="B1899">
        <v>1954</v>
      </c>
      <c r="C1899" t="s">
        <v>33</v>
      </c>
      <c r="D1899" t="s">
        <v>30</v>
      </c>
      <c r="E1899" t="str">
        <f>IF(OR(Table1[[#This Row],[marital_status]]="Married", Table1[[#This Row],[marital_status]]="Together"), "Partnered", "Single")</f>
        <v>Single</v>
      </c>
      <c r="F1899" s="7">
        <v>90933</v>
      </c>
      <c r="G1899" s="8">
        <v>0</v>
      </c>
      <c r="H1899" s="8">
        <v>0</v>
      </c>
      <c r="I1899" s="8">
        <f>Table1[[#This Row],[kids]]+Table1[[#This Row],[teens]]</f>
        <v>0</v>
      </c>
      <c r="J1899" s="9">
        <v>41729</v>
      </c>
      <c r="K1899" s="8">
        <v>90</v>
      </c>
      <c r="L1899" s="6">
        <v>1020</v>
      </c>
      <c r="M1899" s="5">
        <v>31</v>
      </c>
      <c r="N1899" s="5">
        <v>430</v>
      </c>
      <c r="O1899" s="5">
        <v>62</v>
      </c>
      <c r="P1899" s="5">
        <v>63</v>
      </c>
      <c r="Q1899" s="5">
        <v>79</v>
      </c>
      <c r="R1899" s="8">
        <v>1</v>
      </c>
      <c r="S1899" s="8">
        <v>4</v>
      </c>
      <c r="T1899" s="8">
        <v>6</v>
      </c>
      <c r="U1899" s="8">
        <v>4</v>
      </c>
      <c r="V1899" s="8">
        <v>1</v>
      </c>
      <c r="W1899" t="s">
        <v>473</v>
      </c>
      <c r="X1899" t="s">
        <v>473</v>
      </c>
      <c r="Y1899" t="s">
        <v>474</v>
      </c>
      <c r="Z1899" t="s">
        <v>473</v>
      </c>
      <c r="AA1899" t="s">
        <v>473</v>
      </c>
      <c r="AB1899" t="s">
        <v>473</v>
      </c>
      <c r="AC1899" s="10">
        <v>3</v>
      </c>
      <c r="AD1899" s="10">
        <v>11</v>
      </c>
      <c r="AE1899" t="s">
        <v>473</v>
      </c>
    </row>
    <row r="1900" spans="1:31" x14ac:dyDescent="0.25">
      <c r="A1900">
        <v>4619</v>
      </c>
      <c r="B1900">
        <v>1945</v>
      </c>
      <c r="C1900" t="s">
        <v>33</v>
      </c>
      <c r="D1900" t="s">
        <v>30</v>
      </c>
      <c r="E1900" t="str">
        <f>IF(OR(Table1[[#This Row],[marital_status]]="Married", Table1[[#This Row],[marital_status]]="Together"), "Partnered", "Single")</f>
        <v>Single</v>
      </c>
      <c r="F1900" s="7">
        <v>113734</v>
      </c>
      <c r="G1900" s="8">
        <v>0</v>
      </c>
      <c r="H1900" s="8">
        <v>0</v>
      </c>
      <c r="I1900" s="8">
        <f>Table1[[#This Row],[kids]]+Table1[[#This Row],[teens]]</f>
        <v>0</v>
      </c>
      <c r="J1900" s="9">
        <v>41787</v>
      </c>
      <c r="K1900" s="8">
        <v>9</v>
      </c>
      <c r="L1900" s="6">
        <v>6</v>
      </c>
      <c r="M1900" s="5">
        <v>2</v>
      </c>
      <c r="N1900" s="5">
        <v>3</v>
      </c>
      <c r="O1900" s="5">
        <v>1</v>
      </c>
      <c r="P1900" s="5">
        <v>262</v>
      </c>
      <c r="Q1900" s="5">
        <v>3</v>
      </c>
      <c r="R1900" s="8">
        <v>0</v>
      </c>
      <c r="S1900" s="8">
        <v>27</v>
      </c>
      <c r="T1900" s="8">
        <v>0</v>
      </c>
      <c r="U1900" s="8">
        <v>0</v>
      </c>
      <c r="V1900" s="8">
        <v>1</v>
      </c>
      <c r="W1900" t="s">
        <v>473</v>
      </c>
      <c r="X1900" t="s">
        <v>473</v>
      </c>
      <c r="Y1900" t="s">
        <v>473</v>
      </c>
      <c r="Z1900" t="s">
        <v>473</v>
      </c>
      <c r="AA1900" t="s">
        <v>473</v>
      </c>
      <c r="AB1900" t="s">
        <v>473</v>
      </c>
      <c r="AC1900" s="10">
        <v>3</v>
      </c>
      <c r="AD1900" s="10">
        <v>11</v>
      </c>
      <c r="AE1900" t="s">
        <v>473</v>
      </c>
    </row>
    <row r="1901" spans="1:31" x14ac:dyDescent="0.25">
      <c r="A1901">
        <v>8780</v>
      </c>
      <c r="B1901">
        <v>1950</v>
      </c>
      <c r="C1901" t="s">
        <v>33</v>
      </c>
      <c r="D1901" t="s">
        <v>31</v>
      </c>
      <c r="E1901" t="str">
        <f>IF(OR(Table1[[#This Row],[marital_status]]="Married", Table1[[#This Row],[marital_status]]="Together"), "Partnered", "Single")</f>
        <v>Partnered</v>
      </c>
      <c r="F1901" s="7">
        <v>59292</v>
      </c>
      <c r="G1901" s="8">
        <v>0</v>
      </c>
      <c r="H1901" s="8">
        <v>1</v>
      </c>
      <c r="I1901" s="8">
        <f>Table1[[#This Row],[kids]]+Table1[[#This Row],[teens]]</f>
        <v>1</v>
      </c>
      <c r="J1901" s="9">
        <v>41438</v>
      </c>
      <c r="K1901" s="8">
        <v>71</v>
      </c>
      <c r="L1901" s="6">
        <v>378</v>
      </c>
      <c r="M1901" s="5">
        <v>14</v>
      </c>
      <c r="N1901" s="5">
        <v>68</v>
      </c>
      <c r="O1901" s="5">
        <v>19</v>
      </c>
      <c r="P1901" s="5">
        <v>14</v>
      </c>
      <c r="Q1901" s="5">
        <v>14</v>
      </c>
      <c r="R1901" s="8">
        <v>2</v>
      </c>
      <c r="S1901" s="8">
        <v>3</v>
      </c>
      <c r="T1901" s="8">
        <v>5</v>
      </c>
      <c r="U1901" s="8">
        <v>8</v>
      </c>
      <c r="V1901" s="8">
        <v>3</v>
      </c>
      <c r="W1901" t="s">
        <v>473</v>
      </c>
      <c r="X1901" t="s">
        <v>473</v>
      </c>
      <c r="Y1901" t="s">
        <v>473</v>
      </c>
      <c r="Z1901" t="s">
        <v>473</v>
      </c>
      <c r="AA1901" t="s">
        <v>473</v>
      </c>
      <c r="AB1901" t="s">
        <v>473</v>
      </c>
      <c r="AC1901" s="10">
        <v>3</v>
      </c>
      <c r="AD1901" s="10">
        <v>11</v>
      </c>
      <c r="AE1901" t="s">
        <v>473</v>
      </c>
    </row>
    <row r="1902" spans="1:31" x14ac:dyDescent="0.25">
      <c r="A1902">
        <v>10789</v>
      </c>
      <c r="B1902">
        <v>1964</v>
      </c>
      <c r="C1902" t="s">
        <v>33</v>
      </c>
      <c r="D1902" t="s">
        <v>34</v>
      </c>
      <c r="E1902" t="str">
        <f>IF(OR(Table1[[#This Row],[marital_status]]="Married", Table1[[#This Row],[marital_status]]="Together"), "Partnered", "Single")</f>
        <v>Partnered</v>
      </c>
      <c r="F1902" s="7">
        <v>45759</v>
      </c>
      <c r="G1902" s="8">
        <v>1</v>
      </c>
      <c r="H1902" s="8">
        <v>1</v>
      </c>
      <c r="I1902" s="8">
        <f>Table1[[#This Row],[kids]]+Table1[[#This Row],[teens]]</f>
        <v>2</v>
      </c>
      <c r="J1902" s="9">
        <v>41328</v>
      </c>
      <c r="K1902" s="8">
        <v>13</v>
      </c>
      <c r="L1902" s="6">
        <v>42</v>
      </c>
      <c r="M1902" s="5">
        <v>1</v>
      </c>
      <c r="N1902" s="5">
        <v>18</v>
      </c>
      <c r="O1902" s="5">
        <v>3</v>
      </c>
      <c r="P1902" s="5">
        <v>0</v>
      </c>
      <c r="Q1902" s="5">
        <v>4</v>
      </c>
      <c r="R1902" s="8">
        <v>2</v>
      </c>
      <c r="S1902" s="8">
        <v>2</v>
      </c>
      <c r="T1902" s="8">
        <v>0</v>
      </c>
      <c r="U1902" s="8">
        <v>3</v>
      </c>
      <c r="V1902" s="8">
        <v>7</v>
      </c>
      <c r="W1902" t="s">
        <v>473</v>
      </c>
      <c r="X1902" t="s">
        <v>473</v>
      </c>
      <c r="Y1902" t="s">
        <v>473</v>
      </c>
      <c r="Z1902" t="s">
        <v>473</v>
      </c>
      <c r="AA1902" t="s">
        <v>473</v>
      </c>
      <c r="AB1902" t="s">
        <v>473</v>
      </c>
      <c r="AC1902" s="10">
        <v>3</v>
      </c>
      <c r="AD1902" s="10">
        <v>11</v>
      </c>
      <c r="AE1902" t="s">
        <v>473</v>
      </c>
    </row>
    <row r="1903" spans="1:31" x14ac:dyDescent="0.25">
      <c r="A1903">
        <v>10779</v>
      </c>
      <c r="B1903">
        <v>1983</v>
      </c>
      <c r="C1903" t="s">
        <v>466</v>
      </c>
      <c r="D1903" t="s">
        <v>30</v>
      </c>
      <c r="E1903" t="str">
        <f>IF(OR(Table1[[#This Row],[marital_status]]="Married", Table1[[#This Row],[marital_status]]="Together"), "Partnered", "Single")</f>
        <v>Single</v>
      </c>
      <c r="F1903" s="7">
        <v>22148</v>
      </c>
      <c r="G1903" s="8">
        <v>0</v>
      </c>
      <c r="H1903" s="8">
        <v>0</v>
      </c>
      <c r="I1903" s="8">
        <f>Table1[[#This Row],[kids]]+Table1[[#This Row],[teens]]</f>
        <v>0</v>
      </c>
      <c r="J1903" s="9">
        <v>41742</v>
      </c>
      <c r="K1903" s="8">
        <v>16</v>
      </c>
      <c r="L1903" s="6">
        <v>15</v>
      </c>
      <c r="M1903" s="5">
        <v>5</v>
      </c>
      <c r="N1903" s="5">
        <v>14</v>
      </c>
      <c r="O1903" s="5">
        <v>0</v>
      </c>
      <c r="P1903" s="5">
        <v>4</v>
      </c>
      <c r="Q1903" s="5">
        <v>11</v>
      </c>
      <c r="R1903" s="8">
        <v>1</v>
      </c>
      <c r="S1903" s="8">
        <v>1</v>
      </c>
      <c r="T1903" s="8">
        <v>0</v>
      </c>
      <c r="U1903" s="8">
        <v>3</v>
      </c>
      <c r="V1903" s="8">
        <v>7</v>
      </c>
      <c r="W1903" t="s">
        <v>473</v>
      </c>
      <c r="X1903" t="s">
        <v>473</v>
      </c>
      <c r="Y1903" t="s">
        <v>473</v>
      </c>
      <c r="Z1903" t="s">
        <v>473</v>
      </c>
      <c r="AA1903" t="s">
        <v>473</v>
      </c>
      <c r="AB1903" t="s">
        <v>473</v>
      </c>
      <c r="AC1903" s="10">
        <v>3</v>
      </c>
      <c r="AD1903" s="10">
        <v>11</v>
      </c>
      <c r="AE1903" t="s">
        <v>473</v>
      </c>
    </row>
    <row r="1904" spans="1:31" x14ac:dyDescent="0.25">
      <c r="A1904">
        <v>5896</v>
      </c>
      <c r="B1904">
        <v>1987</v>
      </c>
      <c r="C1904" t="s">
        <v>36</v>
      </c>
      <c r="D1904" t="s">
        <v>34</v>
      </c>
      <c r="E1904" t="str">
        <f>IF(OR(Table1[[#This Row],[marital_status]]="Married", Table1[[#This Row],[marital_status]]="Together"), "Partnered", "Single")</f>
        <v>Partnered</v>
      </c>
      <c r="F1904" s="7">
        <v>73395</v>
      </c>
      <c r="G1904" s="8">
        <v>0</v>
      </c>
      <c r="H1904" s="8">
        <v>0</v>
      </c>
      <c r="I1904" s="8">
        <f>Table1[[#This Row],[kids]]+Table1[[#This Row],[teens]]</f>
        <v>0</v>
      </c>
      <c r="J1904" s="9">
        <v>41716</v>
      </c>
      <c r="K1904" s="8">
        <v>94</v>
      </c>
      <c r="L1904" s="6">
        <v>272</v>
      </c>
      <c r="M1904" s="5">
        <v>7</v>
      </c>
      <c r="N1904" s="5">
        <v>80</v>
      </c>
      <c r="O1904" s="5">
        <v>20</v>
      </c>
      <c r="P1904" s="5">
        <v>7</v>
      </c>
      <c r="Q1904" s="5">
        <v>11</v>
      </c>
      <c r="R1904" s="8">
        <v>1</v>
      </c>
      <c r="S1904" s="8">
        <v>4</v>
      </c>
      <c r="T1904" s="8">
        <v>4</v>
      </c>
      <c r="U1904" s="8">
        <v>6</v>
      </c>
      <c r="V1904" s="8">
        <v>2</v>
      </c>
      <c r="W1904" t="s">
        <v>473</v>
      </c>
      <c r="X1904" t="s">
        <v>473</v>
      </c>
      <c r="Y1904" t="s">
        <v>473</v>
      </c>
      <c r="Z1904" t="s">
        <v>473</v>
      </c>
      <c r="AA1904" t="s">
        <v>473</v>
      </c>
      <c r="AB1904" t="s">
        <v>473</v>
      </c>
      <c r="AC1904" s="10">
        <v>3</v>
      </c>
      <c r="AD1904" s="10">
        <v>11</v>
      </c>
      <c r="AE1904" t="s">
        <v>473</v>
      </c>
    </row>
    <row r="1905" spans="1:31" x14ac:dyDescent="0.25">
      <c r="A1905">
        <v>2337</v>
      </c>
      <c r="B1905">
        <v>1971</v>
      </c>
      <c r="C1905" t="s">
        <v>466</v>
      </c>
      <c r="D1905" t="s">
        <v>37</v>
      </c>
      <c r="E1905" t="str">
        <f>IF(OR(Table1[[#This Row],[marital_status]]="Married", Table1[[#This Row],[marital_status]]="Together"), "Partnered", "Single")</f>
        <v>Single</v>
      </c>
      <c r="F1905" s="7">
        <v>29819</v>
      </c>
      <c r="G1905" s="8">
        <v>1</v>
      </c>
      <c r="H1905" s="8">
        <v>0</v>
      </c>
      <c r="I1905" s="8">
        <f>Table1[[#This Row],[kids]]+Table1[[#This Row],[teens]]</f>
        <v>1</v>
      </c>
      <c r="J1905" s="9">
        <v>41571</v>
      </c>
      <c r="K1905" s="8">
        <v>77</v>
      </c>
      <c r="L1905" s="6">
        <v>9</v>
      </c>
      <c r="M1905" s="5">
        <v>1</v>
      </c>
      <c r="N1905" s="5">
        <v>24</v>
      </c>
      <c r="O1905" s="5">
        <v>2</v>
      </c>
      <c r="P1905" s="5">
        <v>1</v>
      </c>
      <c r="Q1905" s="5">
        <v>2</v>
      </c>
      <c r="R1905" s="8">
        <v>3</v>
      </c>
      <c r="S1905" s="8">
        <v>3</v>
      </c>
      <c r="T1905" s="8">
        <v>0</v>
      </c>
      <c r="U1905" s="8">
        <v>3</v>
      </c>
      <c r="V1905" s="8">
        <v>6</v>
      </c>
      <c r="W1905" t="s">
        <v>473</v>
      </c>
      <c r="X1905" t="s">
        <v>473</v>
      </c>
      <c r="Y1905" t="s">
        <v>473</v>
      </c>
      <c r="Z1905" t="s">
        <v>473</v>
      </c>
      <c r="AA1905" t="s">
        <v>473</v>
      </c>
      <c r="AB1905" t="s">
        <v>473</v>
      </c>
      <c r="AC1905" s="10">
        <v>3</v>
      </c>
      <c r="AD1905" s="10">
        <v>11</v>
      </c>
      <c r="AE1905" t="s">
        <v>473</v>
      </c>
    </row>
    <row r="1906" spans="1:31" x14ac:dyDescent="0.25">
      <c r="A1906">
        <v>10951</v>
      </c>
      <c r="B1906">
        <v>1968</v>
      </c>
      <c r="C1906" t="s">
        <v>466</v>
      </c>
      <c r="D1906" t="s">
        <v>34</v>
      </c>
      <c r="E1906" t="str">
        <f>IF(OR(Table1[[#This Row],[marital_status]]="Married", Table1[[#This Row],[marital_status]]="Together"), "Partnered", "Single")</f>
        <v>Partnered</v>
      </c>
      <c r="F1906" s="7">
        <v>45688</v>
      </c>
      <c r="G1906" s="8">
        <v>0</v>
      </c>
      <c r="H1906" s="8">
        <v>1</v>
      </c>
      <c r="I1906" s="8">
        <f>Table1[[#This Row],[kids]]+Table1[[#This Row],[teens]]</f>
        <v>1</v>
      </c>
      <c r="J1906" s="9">
        <v>41664</v>
      </c>
      <c r="K1906" s="8">
        <v>20</v>
      </c>
      <c r="L1906" s="6">
        <v>279</v>
      </c>
      <c r="M1906" s="5">
        <v>0</v>
      </c>
      <c r="N1906" s="5">
        <v>18</v>
      </c>
      <c r="O1906" s="5">
        <v>0</v>
      </c>
      <c r="P1906" s="5">
        <v>0</v>
      </c>
      <c r="Q1906" s="5">
        <v>9</v>
      </c>
      <c r="R1906" s="8">
        <v>2</v>
      </c>
      <c r="S1906" s="8">
        <v>3</v>
      </c>
      <c r="T1906" s="8">
        <v>1</v>
      </c>
      <c r="U1906" s="8">
        <v>8</v>
      </c>
      <c r="V1906" s="8">
        <v>4</v>
      </c>
      <c r="W1906" t="s">
        <v>473</v>
      </c>
      <c r="X1906" t="s">
        <v>474</v>
      </c>
      <c r="Y1906" t="s">
        <v>473</v>
      </c>
      <c r="Z1906" t="s">
        <v>473</v>
      </c>
      <c r="AA1906" t="s">
        <v>473</v>
      </c>
      <c r="AB1906" t="s">
        <v>473</v>
      </c>
      <c r="AC1906" s="10">
        <v>3</v>
      </c>
      <c r="AD1906" s="10">
        <v>11</v>
      </c>
      <c r="AE1906" t="s">
        <v>473</v>
      </c>
    </row>
    <row r="1907" spans="1:31" x14ac:dyDescent="0.25">
      <c r="A1907">
        <v>544</v>
      </c>
      <c r="B1907">
        <v>1954</v>
      </c>
      <c r="C1907" t="s">
        <v>466</v>
      </c>
      <c r="D1907" t="s">
        <v>34</v>
      </c>
      <c r="E1907" t="str">
        <f>IF(OR(Table1[[#This Row],[marital_status]]="Married", Table1[[#This Row],[marital_status]]="Together"), "Partnered", "Single")</f>
        <v>Partnered</v>
      </c>
      <c r="F1907" s="7">
        <v>62820</v>
      </c>
      <c r="G1907" s="8">
        <v>0</v>
      </c>
      <c r="H1907" s="8">
        <v>0</v>
      </c>
      <c r="I1907" s="8">
        <f>Table1[[#This Row],[kids]]+Table1[[#This Row],[teens]]</f>
        <v>0</v>
      </c>
      <c r="J1907" s="9">
        <v>41405</v>
      </c>
      <c r="K1907" s="8">
        <v>51</v>
      </c>
      <c r="L1907" s="6">
        <v>398</v>
      </c>
      <c r="M1907" s="5">
        <v>61</v>
      </c>
      <c r="N1907" s="5">
        <v>265</v>
      </c>
      <c r="O1907" s="5">
        <v>138</v>
      </c>
      <c r="P1907" s="5">
        <v>61</v>
      </c>
      <c r="Q1907" s="5">
        <v>53</v>
      </c>
      <c r="R1907" s="8">
        <v>1</v>
      </c>
      <c r="S1907" s="8">
        <v>3</v>
      </c>
      <c r="T1907" s="8">
        <v>4</v>
      </c>
      <c r="U1907" s="8">
        <v>6</v>
      </c>
      <c r="V1907" s="8">
        <v>1</v>
      </c>
      <c r="W1907" t="s">
        <v>473</v>
      </c>
      <c r="X1907" t="s">
        <v>473</v>
      </c>
      <c r="Y1907" t="s">
        <v>473</v>
      </c>
      <c r="Z1907" t="s">
        <v>473</v>
      </c>
      <c r="AA1907" t="s">
        <v>473</v>
      </c>
      <c r="AB1907" t="s">
        <v>473</v>
      </c>
      <c r="AC1907" s="10">
        <v>3</v>
      </c>
      <c r="AD1907" s="10">
        <v>11</v>
      </c>
      <c r="AE1907" t="s">
        <v>473</v>
      </c>
    </row>
    <row r="1908" spans="1:31" x14ac:dyDescent="0.25">
      <c r="A1908">
        <v>17</v>
      </c>
      <c r="B1908">
        <v>1971</v>
      </c>
      <c r="C1908" t="s">
        <v>33</v>
      </c>
      <c r="D1908" t="s">
        <v>34</v>
      </c>
      <c r="E1908" t="str">
        <f>IF(OR(Table1[[#This Row],[marital_status]]="Married", Table1[[#This Row],[marital_status]]="Together"), "Partnered", "Single")</f>
        <v>Partnered</v>
      </c>
      <c r="F1908" s="7">
        <v>60491</v>
      </c>
      <c r="G1908" s="8">
        <v>0</v>
      </c>
      <c r="H1908" s="8">
        <v>1</v>
      </c>
      <c r="I1908" s="8">
        <f>Table1[[#This Row],[kids]]+Table1[[#This Row],[teens]]</f>
        <v>1</v>
      </c>
      <c r="J1908" s="9">
        <v>41523</v>
      </c>
      <c r="K1908" s="8">
        <v>81</v>
      </c>
      <c r="L1908" s="6">
        <v>637</v>
      </c>
      <c r="M1908" s="5">
        <v>47</v>
      </c>
      <c r="N1908" s="5">
        <v>237</v>
      </c>
      <c r="O1908" s="5">
        <v>12</v>
      </c>
      <c r="P1908" s="5">
        <v>19</v>
      </c>
      <c r="Q1908" s="5">
        <v>76</v>
      </c>
      <c r="R1908" s="8">
        <v>4</v>
      </c>
      <c r="S1908" s="8">
        <v>6</v>
      </c>
      <c r="T1908" s="8">
        <v>11</v>
      </c>
      <c r="U1908" s="8">
        <v>7</v>
      </c>
      <c r="V1908" s="8">
        <v>5</v>
      </c>
      <c r="W1908" t="s">
        <v>473</v>
      </c>
      <c r="X1908" t="s">
        <v>473</v>
      </c>
      <c r="Y1908" t="s">
        <v>473</v>
      </c>
      <c r="Z1908" t="s">
        <v>473</v>
      </c>
      <c r="AA1908" t="s">
        <v>473</v>
      </c>
      <c r="AB1908" t="s">
        <v>473</v>
      </c>
      <c r="AC1908" s="10">
        <v>3</v>
      </c>
      <c r="AD1908" s="10">
        <v>11</v>
      </c>
      <c r="AE1908" t="s">
        <v>473</v>
      </c>
    </row>
    <row r="1909" spans="1:31" x14ac:dyDescent="0.25">
      <c r="A1909">
        <v>10680</v>
      </c>
      <c r="B1909">
        <v>1986</v>
      </c>
      <c r="C1909" t="s">
        <v>466</v>
      </c>
      <c r="D1909" t="s">
        <v>31</v>
      </c>
      <c r="E1909" t="str">
        <f>IF(OR(Table1[[#This Row],[marital_status]]="Married", Table1[[#This Row],[marital_status]]="Together"), "Partnered", "Single")</f>
        <v>Partnered</v>
      </c>
      <c r="F1909" s="7">
        <v>33235</v>
      </c>
      <c r="G1909" s="8">
        <v>1</v>
      </c>
      <c r="H1909" s="8">
        <v>0</v>
      </c>
      <c r="I1909" s="8">
        <f>Table1[[#This Row],[kids]]+Table1[[#This Row],[teens]]</f>
        <v>1</v>
      </c>
      <c r="J1909" s="9">
        <v>41675</v>
      </c>
      <c r="K1909" s="8">
        <v>71</v>
      </c>
      <c r="L1909" s="6">
        <v>45</v>
      </c>
      <c r="M1909" s="5">
        <v>0</v>
      </c>
      <c r="N1909" s="5">
        <v>16</v>
      </c>
      <c r="O1909" s="5">
        <v>2</v>
      </c>
      <c r="P1909" s="5">
        <v>1</v>
      </c>
      <c r="Q1909" s="5">
        <v>6</v>
      </c>
      <c r="R1909" s="8">
        <v>1</v>
      </c>
      <c r="S1909" s="8">
        <v>3</v>
      </c>
      <c r="T1909" s="8">
        <v>0</v>
      </c>
      <c r="U1909" s="8">
        <v>3</v>
      </c>
      <c r="V1909" s="8">
        <v>7</v>
      </c>
      <c r="W1909" t="s">
        <v>473</v>
      </c>
      <c r="X1909" t="s">
        <v>473</v>
      </c>
      <c r="Y1909" t="s">
        <v>473</v>
      </c>
      <c r="Z1909" t="s">
        <v>473</v>
      </c>
      <c r="AA1909" t="s">
        <v>473</v>
      </c>
      <c r="AB1909" t="s">
        <v>473</v>
      </c>
      <c r="AC1909" s="10">
        <v>3</v>
      </c>
      <c r="AD1909" s="10">
        <v>11</v>
      </c>
      <c r="AE1909" t="s">
        <v>473</v>
      </c>
    </row>
    <row r="1910" spans="1:31" x14ac:dyDescent="0.25">
      <c r="A1910">
        <v>3265</v>
      </c>
      <c r="B1910">
        <v>1959</v>
      </c>
      <c r="C1910" t="s">
        <v>466</v>
      </c>
      <c r="D1910" t="s">
        <v>34</v>
      </c>
      <c r="E1910" t="str">
        <f>IF(OR(Table1[[#This Row],[marital_status]]="Married", Table1[[#This Row],[marital_status]]="Together"), "Partnered", "Single")</f>
        <v>Partnered</v>
      </c>
      <c r="F1910" s="7">
        <v>35701</v>
      </c>
      <c r="G1910" s="8">
        <v>0</v>
      </c>
      <c r="H1910" s="8">
        <v>0</v>
      </c>
      <c r="I1910" s="8">
        <f>Table1[[#This Row],[kids]]+Table1[[#This Row],[teens]]</f>
        <v>0</v>
      </c>
      <c r="J1910" s="9">
        <v>41352</v>
      </c>
      <c r="K1910" s="8">
        <v>36</v>
      </c>
      <c r="L1910" s="6">
        <v>21</v>
      </c>
      <c r="M1910" s="5">
        <v>1</v>
      </c>
      <c r="N1910" s="5">
        <v>9</v>
      </c>
      <c r="O1910" s="5">
        <v>7</v>
      </c>
      <c r="P1910" s="5">
        <v>3</v>
      </c>
      <c r="Q1910" s="5">
        <v>5</v>
      </c>
      <c r="R1910" s="8">
        <v>1</v>
      </c>
      <c r="S1910" s="8">
        <v>1</v>
      </c>
      <c r="T1910" s="8">
        <v>0</v>
      </c>
      <c r="U1910" s="8">
        <v>3</v>
      </c>
      <c r="V1910" s="8">
        <v>6</v>
      </c>
      <c r="W1910" t="s">
        <v>473</v>
      </c>
      <c r="X1910" t="s">
        <v>473</v>
      </c>
      <c r="Y1910" t="s">
        <v>473</v>
      </c>
      <c r="Z1910" t="s">
        <v>473</v>
      </c>
      <c r="AA1910" t="s">
        <v>473</v>
      </c>
      <c r="AB1910" t="s">
        <v>473</v>
      </c>
      <c r="AC1910" s="10">
        <v>3</v>
      </c>
      <c r="AD1910" s="10">
        <v>11</v>
      </c>
      <c r="AE1910" t="s">
        <v>473</v>
      </c>
    </row>
    <row r="1911" spans="1:31" x14ac:dyDescent="0.25">
      <c r="A1911">
        <v>5623</v>
      </c>
      <c r="B1911">
        <v>1980</v>
      </c>
      <c r="C1911" t="s">
        <v>36</v>
      </c>
      <c r="D1911" t="s">
        <v>34</v>
      </c>
      <c r="E1911" t="str">
        <f>IF(OR(Table1[[#This Row],[marital_status]]="Married", Table1[[#This Row],[marital_status]]="Together"), "Partnered", "Single")</f>
        <v>Partnered</v>
      </c>
      <c r="F1911" s="7">
        <v>31535</v>
      </c>
      <c r="G1911" s="8">
        <v>1</v>
      </c>
      <c r="H1911" s="8">
        <v>0</v>
      </c>
      <c r="I1911" s="8">
        <f>Table1[[#This Row],[kids]]+Table1[[#This Row],[teens]]</f>
        <v>1</v>
      </c>
      <c r="J1911" s="9">
        <v>41543</v>
      </c>
      <c r="K1911" s="8">
        <v>95</v>
      </c>
      <c r="L1911" s="6">
        <v>15</v>
      </c>
      <c r="M1911" s="5">
        <v>4</v>
      </c>
      <c r="N1911" s="5">
        <v>13</v>
      </c>
      <c r="O1911" s="5">
        <v>0</v>
      </c>
      <c r="P1911" s="5">
        <v>0</v>
      </c>
      <c r="Q1911" s="5">
        <v>19</v>
      </c>
      <c r="R1911" s="8">
        <v>1</v>
      </c>
      <c r="S1911" s="8">
        <v>1</v>
      </c>
      <c r="T1911" s="8">
        <v>1</v>
      </c>
      <c r="U1911" s="8">
        <v>2</v>
      </c>
      <c r="V1911" s="8">
        <v>7</v>
      </c>
      <c r="W1911" t="s">
        <v>474</v>
      </c>
      <c r="X1911" t="s">
        <v>473</v>
      </c>
      <c r="Y1911" t="s">
        <v>473</v>
      </c>
      <c r="Z1911" t="s">
        <v>473</v>
      </c>
      <c r="AA1911" t="s">
        <v>473</v>
      </c>
      <c r="AB1911" t="s">
        <v>473</v>
      </c>
      <c r="AC1911" s="10">
        <v>3</v>
      </c>
      <c r="AD1911" s="10">
        <v>11</v>
      </c>
      <c r="AE1911" t="s">
        <v>473</v>
      </c>
    </row>
    <row r="1912" spans="1:31" x14ac:dyDescent="0.25">
      <c r="A1912">
        <v>5832</v>
      </c>
      <c r="B1912">
        <v>1960</v>
      </c>
      <c r="C1912" t="s">
        <v>46</v>
      </c>
      <c r="D1912" t="s">
        <v>31</v>
      </c>
      <c r="E1912" t="str">
        <f>IF(OR(Table1[[#This Row],[marital_status]]="Married", Table1[[#This Row],[marital_status]]="Together"), "Partnered", "Single")</f>
        <v>Partnered</v>
      </c>
      <c r="F1912" s="7">
        <v>92556</v>
      </c>
      <c r="G1912" s="8">
        <v>0</v>
      </c>
      <c r="H1912" s="8">
        <v>0</v>
      </c>
      <c r="I1912" s="8">
        <f>Table1[[#This Row],[kids]]+Table1[[#This Row],[teens]]</f>
        <v>0</v>
      </c>
      <c r="J1912" s="9">
        <v>41749</v>
      </c>
      <c r="K1912" s="8">
        <v>32</v>
      </c>
      <c r="L1912" s="6">
        <v>493</v>
      </c>
      <c r="M1912" s="5">
        <v>183</v>
      </c>
      <c r="N1912" s="5">
        <v>352</v>
      </c>
      <c r="O1912" s="5">
        <v>184</v>
      </c>
      <c r="P1912" s="5">
        <v>23</v>
      </c>
      <c r="Q1912" s="5">
        <v>28</v>
      </c>
      <c r="R1912" s="8">
        <v>0</v>
      </c>
      <c r="S1912" s="8">
        <v>3</v>
      </c>
      <c r="T1912" s="8">
        <v>5</v>
      </c>
      <c r="U1912" s="8">
        <v>13</v>
      </c>
      <c r="V1912" s="8">
        <v>0</v>
      </c>
      <c r="W1912" t="s">
        <v>473</v>
      </c>
      <c r="X1912" t="s">
        <v>473</v>
      </c>
      <c r="Y1912" t="s">
        <v>473</v>
      </c>
      <c r="Z1912" t="s">
        <v>473</v>
      </c>
      <c r="AA1912" t="s">
        <v>473</v>
      </c>
      <c r="AB1912" t="s">
        <v>473</v>
      </c>
      <c r="AC1912" s="10">
        <v>3</v>
      </c>
      <c r="AD1912" s="10">
        <v>11</v>
      </c>
      <c r="AE1912" t="s">
        <v>473</v>
      </c>
    </row>
    <row r="1913" spans="1:31" x14ac:dyDescent="0.25">
      <c r="A1913">
        <v>5544</v>
      </c>
      <c r="B1913">
        <v>1970</v>
      </c>
      <c r="C1913" t="s">
        <v>466</v>
      </c>
      <c r="D1913" t="s">
        <v>30</v>
      </c>
      <c r="E1913" t="str">
        <f>IF(OR(Table1[[#This Row],[marital_status]]="Married", Table1[[#This Row],[marital_status]]="Together"), "Partnered", "Single")</f>
        <v>Single</v>
      </c>
      <c r="F1913" s="7">
        <v>67384</v>
      </c>
      <c r="G1913" s="8">
        <v>0</v>
      </c>
      <c r="H1913" s="8">
        <v>1</v>
      </c>
      <c r="I1913" s="8">
        <f>Table1[[#This Row],[kids]]+Table1[[#This Row],[teens]]</f>
        <v>1</v>
      </c>
      <c r="J1913" s="9">
        <v>41223</v>
      </c>
      <c r="K1913" s="8">
        <v>32</v>
      </c>
      <c r="L1913" s="6">
        <v>957</v>
      </c>
      <c r="M1913" s="5">
        <v>40</v>
      </c>
      <c r="N1913" s="5">
        <v>175</v>
      </c>
      <c r="O1913" s="5">
        <v>158</v>
      </c>
      <c r="P1913" s="5">
        <v>53</v>
      </c>
      <c r="Q1913" s="5">
        <v>107</v>
      </c>
      <c r="R1913" s="8">
        <v>2</v>
      </c>
      <c r="S1913" s="8">
        <v>7</v>
      </c>
      <c r="T1913" s="8">
        <v>8</v>
      </c>
      <c r="U1913" s="8">
        <v>5</v>
      </c>
      <c r="V1913" s="8">
        <v>5</v>
      </c>
      <c r="W1913" t="s">
        <v>473</v>
      </c>
      <c r="X1913" t="s">
        <v>474</v>
      </c>
      <c r="Y1913" t="s">
        <v>473</v>
      </c>
      <c r="Z1913" t="s">
        <v>473</v>
      </c>
      <c r="AA1913" t="s">
        <v>473</v>
      </c>
      <c r="AB1913" t="s">
        <v>473</v>
      </c>
      <c r="AC1913" s="10">
        <v>3</v>
      </c>
      <c r="AD1913" s="10">
        <v>11</v>
      </c>
      <c r="AE1913" t="s">
        <v>473</v>
      </c>
    </row>
    <row r="1914" spans="1:31" x14ac:dyDescent="0.25">
      <c r="A1914">
        <v>6417</v>
      </c>
      <c r="B1914">
        <v>1971</v>
      </c>
      <c r="C1914" t="s">
        <v>36</v>
      </c>
      <c r="D1914" t="s">
        <v>31</v>
      </c>
      <c r="E1914" t="str">
        <f>IF(OR(Table1[[#This Row],[marital_status]]="Married", Table1[[#This Row],[marital_status]]="Together"), "Partnered", "Single")</f>
        <v>Partnered</v>
      </c>
      <c r="F1914" s="7">
        <v>80573</v>
      </c>
      <c r="G1914" s="8">
        <v>0</v>
      </c>
      <c r="H1914" s="8">
        <v>0</v>
      </c>
      <c r="I1914" s="8">
        <f>Table1[[#This Row],[kids]]+Table1[[#This Row],[teens]]</f>
        <v>0</v>
      </c>
      <c r="J1914" s="9">
        <v>41196</v>
      </c>
      <c r="K1914" s="8">
        <v>85</v>
      </c>
      <c r="L1914" s="6">
        <v>829</v>
      </c>
      <c r="M1914" s="5">
        <v>138</v>
      </c>
      <c r="N1914" s="5">
        <v>430</v>
      </c>
      <c r="O1914" s="5">
        <v>60</v>
      </c>
      <c r="P1914" s="5">
        <v>92</v>
      </c>
      <c r="Q1914" s="5">
        <v>15</v>
      </c>
      <c r="R1914" s="8">
        <v>1</v>
      </c>
      <c r="S1914" s="8">
        <v>4</v>
      </c>
      <c r="T1914" s="8">
        <v>6</v>
      </c>
      <c r="U1914" s="8">
        <v>13</v>
      </c>
      <c r="V1914" s="8">
        <v>2</v>
      </c>
      <c r="W1914" t="s">
        <v>473</v>
      </c>
      <c r="X1914" t="s">
        <v>473</v>
      </c>
      <c r="Y1914" t="s">
        <v>473</v>
      </c>
      <c r="Z1914" t="s">
        <v>473</v>
      </c>
      <c r="AA1914" t="s">
        <v>473</v>
      </c>
      <c r="AB1914" t="s">
        <v>473</v>
      </c>
      <c r="AC1914" s="10">
        <v>3</v>
      </c>
      <c r="AD1914" s="10">
        <v>11</v>
      </c>
      <c r="AE1914" t="s">
        <v>473</v>
      </c>
    </row>
    <row r="1915" spans="1:31" x14ac:dyDescent="0.25">
      <c r="A1915">
        <v>5831</v>
      </c>
      <c r="B1915">
        <v>1967</v>
      </c>
      <c r="C1915" t="s">
        <v>466</v>
      </c>
      <c r="D1915" t="s">
        <v>34</v>
      </c>
      <c r="E1915" t="str">
        <f>IF(OR(Table1[[#This Row],[marital_status]]="Married", Table1[[#This Row],[marital_status]]="Together"), "Partnered", "Single")</f>
        <v>Partnered</v>
      </c>
      <c r="F1915" s="7">
        <v>77870</v>
      </c>
      <c r="G1915" s="8">
        <v>0</v>
      </c>
      <c r="H1915" s="8">
        <v>1</v>
      </c>
      <c r="I1915" s="8">
        <f>Table1[[#This Row],[kids]]+Table1[[#This Row],[teens]]</f>
        <v>1</v>
      </c>
      <c r="J1915" s="9">
        <v>41143</v>
      </c>
      <c r="K1915" s="8">
        <v>93</v>
      </c>
      <c r="L1915" s="6">
        <v>1017</v>
      </c>
      <c r="M1915" s="5">
        <v>50</v>
      </c>
      <c r="N1915" s="5">
        <v>500</v>
      </c>
      <c r="O1915" s="5">
        <v>65</v>
      </c>
      <c r="P1915" s="5">
        <v>50</v>
      </c>
      <c r="Q1915" s="5">
        <v>133</v>
      </c>
      <c r="R1915" s="8">
        <v>3</v>
      </c>
      <c r="S1915" s="8">
        <v>5</v>
      </c>
      <c r="T1915" s="8">
        <v>5</v>
      </c>
      <c r="U1915" s="8">
        <v>5</v>
      </c>
      <c r="V1915" s="8">
        <v>8</v>
      </c>
      <c r="W1915" t="s">
        <v>473</v>
      </c>
      <c r="X1915" t="s">
        <v>474</v>
      </c>
      <c r="Y1915" t="s">
        <v>473</v>
      </c>
      <c r="Z1915" t="s">
        <v>474</v>
      </c>
      <c r="AA1915" t="s">
        <v>473</v>
      </c>
      <c r="AB1915" t="s">
        <v>473</v>
      </c>
      <c r="AC1915" s="10">
        <v>3</v>
      </c>
      <c r="AD1915" s="10">
        <v>11</v>
      </c>
      <c r="AE1915" t="s">
        <v>474</v>
      </c>
    </row>
    <row r="1916" spans="1:31" x14ac:dyDescent="0.25">
      <c r="A1916">
        <v>7101</v>
      </c>
      <c r="B1916">
        <v>1963</v>
      </c>
      <c r="C1916" t="s">
        <v>33</v>
      </c>
      <c r="D1916" t="s">
        <v>57</v>
      </c>
      <c r="E1916" t="str">
        <f>IF(OR(Table1[[#This Row],[marital_status]]="Married", Table1[[#This Row],[marital_status]]="Together"), "Partnered", "Single")</f>
        <v>Single</v>
      </c>
      <c r="F1916" s="7">
        <v>52278</v>
      </c>
      <c r="G1916" s="8">
        <v>0</v>
      </c>
      <c r="H1916" s="8">
        <v>1</v>
      </c>
      <c r="I1916" s="8">
        <f>Table1[[#This Row],[kids]]+Table1[[#This Row],[teens]]</f>
        <v>1</v>
      </c>
      <c r="J1916" s="9">
        <v>41299</v>
      </c>
      <c r="K1916" s="8">
        <v>24</v>
      </c>
      <c r="L1916" s="6">
        <v>953</v>
      </c>
      <c r="M1916" s="5">
        <v>0</v>
      </c>
      <c r="N1916" s="5">
        <v>71</v>
      </c>
      <c r="O1916" s="5">
        <v>0</v>
      </c>
      <c r="P1916" s="5">
        <v>0</v>
      </c>
      <c r="Q1916" s="5">
        <v>174</v>
      </c>
      <c r="R1916" s="8">
        <v>6</v>
      </c>
      <c r="S1916" s="8">
        <v>10</v>
      </c>
      <c r="T1916" s="8">
        <v>5</v>
      </c>
      <c r="U1916" s="8">
        <v>10</v>
      </c>
      <c r="V1916" s="8">
        <v>8</v>
      </c>
      <c r="W1916" t="s">
        <v>473</v>
      </c>
      <c r="X1916" t="s">
        <v>473</v>
      </c>
      <c r="Y1916" t="s">
        <v>473</v>
      </c>
      <c r="Z1916" t="s">
        <v>473</v>
      </c>
      <c r="AA1916" t="s">
        <v>473</v>
      </c>
      <c r="AB1916" t="s">
        <v>473</v>
      </c>
      <c r="AC1916" s="10">
        <v>3</v>
      </c>
      <c r="AD1916" s="10">
        <v>11</v>
      </c>
      <c r="AE1916" t="s">
        <v>473</v>
      </c>
    </row>
    <row r="1917" spans="1:31" x14ac:dyDescent="0.25">
      <c r="A1917">
        <v>10176</v>
      </c>
      <c r="B1917">
        <v>1968</v>
      </c>
      <c r="C1917" t="s">
        <v>466</v>
      </c>
      <c r="D1917" t="s">
        <v>30</v>
      </c>
      <c r="E1917" t="str">
        <f>IF(OR(Table1[[#This Row],[marital_status]]="Married", Table1[[#This Row],[marital_status]]="Together"), "Partnered", "Single")</f>
        <v>Single</v>
      </c>
      <c r="F1917" s="7">
        <v>57107</v>
      </c>
      <c r="G1917" s="8">
        <v>0</v>
      </c>
      <c r="H1917" s="8">
        <v>1</v>
      </c>
      <c r="I1917" s="8">
        <f>Table1[[#This Row],[kids]]+Table1[[#This Row],[teens]]</f>
        <v>1</v>
      </c>
      <c r="J1917" s="9">
        <v>41145</v>
      </c>
      <c r="K1917" s="8">
        <v>44</v>
      </c>
      <c r="L1917" s="6">
        <v>159</v>
      </c>
      <c r="M1917" s="5">
        <v>0</v>
      </c>
      <c r="N1917" s="5">
        <v>120</v>
      </c>
      <c r="O1917" s="5">
        <v>0</v>
      </c>
      <c r="P1917" s="5">
        <v>0</v>
      </c>
      <c r="Q1917" s="5">
        <v>137</v>
      </c>
      <c r="R1917" s="8">
        <v>7</v>
      </c>
      <c r="S1917" s="8">
        <v>4</v>
      </c>
      <c r="T1917" s="8">
        <v>4</v>
      </c>
      <c r="U1917" s="8">
        <v>8</v>
      </c>
      <c r="V1917" s="8">
        <v>8</v>
      </c>
      <c r="W1917" t="s">
        <v>473</v>
      </c>
      <c r="X1917" t="s">
        <v>474</v>
      </c>
      <c r="Y1917" t="s">
        <v>473</v>
      </c>
      <c r="Z1917" t="s">
        <v>473</v>
      </c>
      <c r="AA1917" t="s">
        <v>474</v>
      </c>
      <c r="AB1917" t="s">
        <v>473</v>
      </c>
      <c r="AC1917" s="10">
        <v>3</v>
      </c>
      <c r="AD1917" s="10">
        <v>11</v>
      </c>
      <c r="AE1917" t="s">
        <v>474</v>
      </c>
    </row>
    <row r="1918" spans="1:31" x14ac:dyDescent="0.25">
      <c r="A1918">
        <v>2326</v>
      </c>
      <c r="B1918">
        <v>1990</v>
      </c>
      <c r="C1918" t="s">
        <v>466</v>
      </c>
      <c r="D1918" t="s">
        <v>34</v>
      </c>
      <c r="E1918" t="str">
        <f>IF(OR(Table1[[#This Row],[marital_status]]="Married", Table1[[#This Row],[marital_status]]="Together"), "Partnered", "Single")</f>
        <v>Partnered</v>
      </c>
      <c r="F1918" s="7">
        <v>18929</v>
      </c>
      <c r="G1918" s="8">
        <v>0</v>
      </c>
      <c r="H1918" s="8">
        <v>0</v>
      </c>
      <c r="I1918" s="8">
        <f>Table1[[#This Row],[kids]]+Table1[[#This Row],[teens]]</f>
        <v>0</v>
      </c>
      <c r="J1918" s="9">
        <v>41321</v>
      </c>
      <c r="K1918" s="8">
        <v>15</v>
      </c>
      <c r="L1918" s="6">
        <v>32</v>
      </c>
      <c r="M1918" s="5">
        <v>0</v>
      </c>
      <c r="N1918" s="5">
        <v>8</v>
      </c>
      <c r="O1918" s="5">
        <v>23</v>
      </c>
      <c r="P1918" s="5">
        <v>4</v>
      </c>
      <c r="Q1918" s="5">
        <v>18</v>
      </c>
      <c r="R1918" s="8">
        <v>1</v>
      </c>
      <c r="S1918" s="8">
        <v>1</v>
      </c>
      <c r="T1918" s="8">
        <v>0</v>
      </c>
      <c r="U1918" s="8">
        <v>4</v>
      </c>
      <c r="V1918" s="8">
        <v>6</v>
      </c>
      <c r="W1918" t="s">
        <v>473</v>
      </c>
      <c r="X1918" t="s">
        <v>473</v>
      </c>
      <c r="Y1918" t="s">
        <v>473</v>
      </c>
      <c r="Z1918" t="s">
        <v>473</v>
      </c>
      <c r="AA1918" t="s">
        <v>473</v>
      </c>
      <c r="AB1918" t="s">
        <v>473</v>
      </c>
      <c r="AC1918" s="10">
        <v>3</v>
      </c>
      <c r="AD1918" s="10">
        <v>11</v>
      </c>
      <c r="AE1918" t="s">
        <v>473</v>
      </c>
    </row>
    <row r="1919" spans="1:31" x14ac:dyDescent="0.25">
      <c r="A1919">
        <v>4385</v>
      </c>
      <c r="B1919">
        <v>1981</v>
      </c>
      <c r="C1919" t="s">
        <v>33</v>
      </c>
      <c r="D1919" t="s">
        <v>30</v>
      </c>
      <c r="E1919" t="str">
        <f>IF(OR(Table1[[#This Row],[marital_status]]="Married", Table1[[#This Row],[marital_status]]="Together"), "Partnered", "Single")</f>
        <v>Single</v>
      </c>
      <c r="F1919" s="7">
        <v>36038</v>
      </c>
      <c r="G1919" s="8">
        <v>1</v>
      </c>
      <c r="H1919" s="8">
        <v>0</v>
      </c>
      <c r="I1919" s="8">
        <f>Table1[[#This Row],[kids]]+Table1[[#This Row],[teens]]</f>
        <v>1</v>
      </c>
      <c r="J1919" s="9">
        <v>41425</v>
      </c>
      <c r="K1919" s="8">
        <v>82</v>
      </c>
      <c r="L1919" s="6">
        <v>23</v>
      </c>
      <c r="M1919" s="5">
        <v>0</v>
      </c>
      <c r="N1919" s="5">
        <v>15</v>
      </c>
      <c r="O1919" s="5">
        <v>0</v>
      </c>
      <c r="P1919" s="5">
        <v>2</v>
      </c>
      <c r="Q1919" s="5">
        <v>7</v>
      </c>
      <c r="R1919" s="8">
        <v>2</v>
      </c>
      <c r="S1919" s="8">
        <v>3</v>
      </c>
      <c r="T1919" s="8">
        <v>0</v>
      </c>
      <c r="U1919" s="8">
        <v>3</v>
      </c>
      <c r="V1919" s="8">
        <v>6</v>
      </c>
      <c r="W1919" t="s">
        <v>473</v>
      </c>
      <c r="X1919" t="s">
        <v>473</v>
      </c>
      <c r="Y1919" t="s">
        <v>473</v>
      </c>
      <c r="Z1919" t="s">
        <v>473</v>
      </c>
      <c r="AA1919" t="s">
        <v>473</v>
      </c>
      <c r="AB1919" t="s">
        <v>473</v>
      </c>
      <c r="AC1919" s="10">
        <v>3</v>
      </c>
      <c r="AD1919" s="10">
        <v>11</v>
      </c>
      <c r="AE1919" t="s">
        <v>473</v>
      </c>
    </row>
    <row r="1920" spans="1:31" x14ac:dyDescent="0.25">
      <c r="A1920">
        <v>2929</v>
      </c>
      <c r="B1920">
        <v>1976</v>
      </c>
      <c r="C1920" t="s">
        <v>466</v>
      </c>
      <c r="D1920" t="s">
        <v>30</v>
      </c>
      <c r="E1920" t="str">
        <f>IF(OR(Table1[[#This Row],[marital_status]]="Married", Table1[[#This Row],[marital_status]]="Together"), "Partnered", "Single")</f>
        <v>Single</v>
      </c>
      <c r="F1920" s="7">
        <v>20180</v>
      </c>
      <c r="G1920" s="8">
        <v>0</v>
      </c>
      <c r="H1920" s="8">
        <v>0</v>
      </c>
      <c r="I1920" s="8">
        <f>Table1[[#This Row],[kids]]+Table1[[#This Row],[teens]]</f>
        <v>0</v>
      </c>
      <c r="J1920" s="9">
        <v>41325</v>
      </c>
      <c r="K1920" s="8">
        <v>27</v>
      </c>
      <c r="L1920" s="6">
        <v>18</v>
      </c>
      <c r="M1920" s="5">
        <v>42</v>
      </c>
      <c r="N1920" s="5">
        <v>24</v>
      </c>
      <c r="O1920" s="5">
        <v>15</v>
      </c>
      <c r="P1920" s="5">
        <v>20</v>
      </c>
      <c r="Q1920" s="5">
        <v>18</v>
      </c>
      <c r="R1920" s="8">
        <v>1</v>
      </c>
      <c r="S1920" s="8">
        <v>2</v>
      </c>
      <c r="T1920" s="8">
        <v>1</v>
      </c>
      <c r="U1920" s="8">
        <v>4</v>
      </c>
      <c r="V1920" s="8">
        <v>7</v>
      </c>
      <c r="W1920" t="s">
        <v>473</v>
      </c>
      <c r="X1920" t="s">
        <v>473</v>
      </c>
      <c r="Y1920" t="s">
        <v>473</v>
      </c>
      <c r="Z1920" t="s">
        <v>473</v>
      </c>
      <c r="AA1920" t="s">
        <v>473</v>
      </c>
      <c r="AB1920" t="s">
        <v>473</v>
      </c>
      <c r="AC1920" s="10">
        <v>3</v>
      </c>
      <c r="AD1920" s="10">
        <v>11</v>
      </c>
      <c r="AE1920" t="s">
        <v>473</v>
      </c>
    </row>
    <row r="1921" spans="1:31" x14ac:dyDescent="0.25">
      <c r="A1921">
        <v>10686</v>
      </c>
      <c r="B1921">
        <v>1965</v>
      </c>
      <c r="C1921" t="s">
        <v>33</v>
      </c>
      <c r="D1921" t="s">
        <v>31</v>
      </c>
      <c r="E1921" t="str">
        <f>IF(OR(Table1[[#This Row],[marital_status]]="Married", Table1[[#This Row],[marital_status]]="Together"), "Partnered", "Single")</f>
        <v>Partnered</v>
      </c>
      <c r="F1921" s="7">
        <v>34230</v>
      </c>
      <c r="G1921" s="8">
        <v>1</v>
      </c>
      <c r="H1921" s="8">
        <v>1</v>
      </c>
      <c r="I1921" s="8">
        <f>Table1[[#This Row],[kids]]+Table1[[#This Row],[teens]]</f>
        <v>2</v>
      </c>
      <c r="J1921" s="9">
        <v>41269</v>
      </c>
      <c r="K1921" s="8">
        <v>72</v>
      </c>
      <c r="L1921" s="6">
        <v>15</v>
      </c>
      <c r="M1921" s="5">
        <v>0</v>
      </c>
      <c r="N1921" s="5">
        <v>4</v>
      </c>
      <c r="O1921" s="5">
        <v>0</v>
      </c>
      <c r="P1921" s="5">
        <v>0</v>
      </c>
      <c r="Q1921" s="5">
        <v>2</v>
      </c>
      <c r="R1921" s="8">
        <v>1</v>
      </c>
      <c r="S1921" s="8">
        <v>1</v>
      </c>
      <c r="T1921" s="8">
        <v>0</v>
      </c>
      <c r="U1921" s="8">
        <v>2</v>
      </c>
      <c r="V1921" s="8">
        <v>7</v>
      </c>
      <c r="W1921" t="s">
        <v>473</v>
      </c>
      <c r="X1921" t="s">
        <v>473</v>
      </c>
      <c r="Y1921" t="s">
        <v>473</v>
      </c>
      <c r="Z1921" t="s">
        <v>473</v>
      </c>
      <c r="AA1921" t="s">
        <v>473</v>
      </c>
      <c r="AB1921" t="s">
        <v>473</v>
      </c>
      <c r="AC1921" s="10">
        <v>3</v>
      </c>
      <c r="AD1921" s="10">
        <v>11</v>
      </c>
      <c r="AE1921" t="s">
        <v>473</v>
      </c>
    </row>
    <row r="1922" spans="1:31" x14ac:dyDescent="0.25">
      <c r="A1922">
        <v>2546</v>
      </c>
      <c r="B1922">
        <v>1977</v>
      </c>
      <c r="C1922" t="s">
        <v>46</v>
      </c>
      <c r="D1922" t="s">
        <v>30</v>
      </c>
      <c r="E1922" t="str">
        <f>IF(OR(Table1[[#This Row],[marital_status]]="Married", Table1[[#This Row],[marital_status]]="Together"), "Partnered", "Single")</f>
        <v>Single</v>
      </c>
      <c r="F1922" s="7">
        <v>31878</v>
      </c>
      <c r="G1922" s="8">
        <v>0</v>
      </c>
      <c r="H1922" s="8">
        <v>1</v>
      </c>
      <c r="I1922" s="8">
        <f>Table1[[#This Row],[kids]]+Table1[[#This Row],[teens]]</f>
        <v>1</v>
      </c>
      <c r="J1922" s="9">
        <v>41812</v>
      </c>
      <c r="K1922" s="8">
        <v>7</v>
      </c>
      <c r="L1922" s="6">
        <v>23</v>
      </c>
      <c r="M1922" s="5">
        <v>4</v>
      </c>
      <c r="N1922" s="5">
        <v>5</v>
      </c>
      <c r="O1922" s="5">
        <v>10</v>
      </c>
      <c r="P1922" s="5">
        <v>5</v>
      </c>
      <c r="Q1922" s="5">
        <v>23</v>
      </c>
      <c r="R1922" s="8">
        <v>1</v>
      </c>
      <c r="S1922" s="8">
        <v>1</v>
      </c>
      <c r="T1922" s="8">
        <v>0</v>
      </c>
      <c r="U1922" s="8">
        <v>4</v>
      </c>
      <c r="V1922" s="8">
        <v>3</v>
      </c>
      <c r="W1922" t="s">
        <v>473</v>
      </c>
      <c r="X1922" t="s">
        <v>473</v>
      </c>
      <c r="Y1922" t="s">
        <v>473</v>
      </c>
      <c r="Z1922" t="s">
        <v>473</v>
      </c>
      <c r="AA1922" t="s">
        <v>473</v>
      </c>
      <c r="AB1922" t="s">
        <v>473</v>
      </c>
      <c r="AC1922" s="10">
        <v>3</v>
      </c>
      <c r="AD1922" s="10">
        <v>11</v>
      </c>
      <c r="AE1922" t="s">
        <v>473</v>
      </c>
    </row>
    <row r="1923" spans="1:31" x14ac:dyDescent="0.25">
      <c r="A1923">
        <v>3283</v>
      </c>
      <c r="B1923">
        <v>1972</v>
      </c>
      <c r="C1923" t="s">
        <v>46</v>
      </c>
      <c r="D1923" t="s">
        <v>34</v>
      </c>
      <c r="E1923" t="str">
        <f>IF(OR(Table1[[#This Row],[marital_status]]="Married", Table1[[#This Row],[marital_status]]="Together"), "Partnered", "Single")</f>
        <v>Partnered</v>
      </c>
      <c r="F1923" s="7">
        <v>70932</v>
      </c>
      <c r="G1923" s="8">
        <v>0</v>
      </c>
      <c r="H1923" s="8">
        <v>1</v>
      </c>
      <c r="I1923" s="8">
        <f>Table1[[#This Row],[kids]]+Table1[[#This Row],[teens]]</f>
        <v>1</v>
      </c>
      <c r="J1923" s="9">
        <v>41658</v>
      </c>
      <c r="K1923" s="8">
        <v>57</v>
      </c>
      <c r="L1923" s="6">
        <v>200</v>
      </c>
      <c r="M1923" s="5">
        <v>193</v>
      </c>
      <c r="N1923" s="5">
        <v>100</v>
      </c>
      <c r="O1923" s="5">
        <v>46</v>
      </c>
      <c r="P1923" s="5">
        <v>185</v>
      </c>
      <c r="Q1923" s="5">
        <v>185</v>
      </c>
      <c r="R1923" s="8">
        <v>2</v>
      </c>
      <c r="S1923" s="8">
        <v>6</v>
      </c>
      <c r="T1923" s="8">
        <v>2</v>
      </c>
      <c r="U1923" s="8">
        <v>12</v>
      </c>
      <c r="V1923" s="8">
        <v>3</v>
      </c>
      <c r="W1923" t="s">
        <v>473</v>
      </c>
      <c r="X1923" t="s">
        <v>473</v>
      </c>
      <c r="Y1923" t="s">
        <v>473</v>
      </c>
      <c r="Z1923" t="s">
        <v>473</v>
      </c>
      <c r="AA1923" t="s">
        <v>473</v>
      </c>
      <c r="AB1923" t="s">
        <v>473</v>
      </c>
      <c r="AC1923" s="10">
        <v>3</v>
      </c>
      <c r="AD1923" s="10">
        <v>11</v>
      </c>
      <c r="AE1923" t="s">
        <v>473</v>
      </c>
    </row>
    <row r="1924" spans="1:31" x14ac:dyDescent="0.25">
      <c r="A1924">
        <v>3138</v>
      </c>
      <c r="B1924">
        <v>1956</v>
      </c>
      <c r="C1924" t="s">
        <v>466</v>
      </c>
      <c r="D1924" t="s">
        <v>30</v>
      </c>
      <c r="E1924" t="str">
        <f>IF(OR(Table1[[#This Row],[marital_status]]="Married", Table1[[#This Row],[marital_status]]="Together"), "Partnered", "Single")</f>
        <v>Single</v>
      </c>
      <c r="F1924" s="7">
        <v>91249</v>
      </c>
      <c r="G1924" s="8">
        <v>0</v>
      </c>
      <c r="H1924" s="8">
        <v>0</v>
      </c>
      <c r="I1924" s="8">
        <f>Table1[[#This Row],[kids]]+Table1[[#This Row],[teens]]</f>
        <v>0</v>
      </c>
      <c r="J1924" s="9">
        <v>41202</v>
      </c>
      <c r="K1924" s="8">
        <v>84</v>
      </c>
      <c r="L1924" s="6">
        <v>1324</v>
      </c>
      <c r="M1924" s="5">
        <v>27</v>
      </c>
      <c r="N1924" s="5">
        <v>119</v>
      </c>
      <c r="O1924" s="5">
        <v>71</v>
      </c>
      <c r="P1924" s="5">
        <v>108</v>
      </c>
      <c r="Q1924" s="5">
        <v>27</v>
      </c>
      <c r="R1924" s="8">
        <v>0</v>
      </c>
      <c r="S1924" s="8">
        <v>7</v>
      </c>
      <c r="T1924" s="8">
        <v>9</v>
      </c>
      <c r="U1924" s="8">
        <v>6</v>
      </c>
      <c r="V1924" s="8">
        <v>4</v>
      </c>
      <c r="W1924" t="s">
        <v>473</v>
      </c>
      <c r="X1924" t="s">
        <v>474</v>
      </c>
      <c r="Y1924" t="s">
        <v>474</v>
      </c>
      <c r="Z1924" t="s">
        <v>474</v>
      </c>
      <c r="AA1924" t="s">
        <v>474</v>
      </c>
      <c r="AB1924" t="s">
        <v>473</v>
      </c>
      <c r="AC1924" s="10">
        <v>3</v>
      </c>
      <c r="AD1924" s="10">
        <v>11</v>
      </c>
      <c r="AE1924" t="s">
        <v>474</v>
      </c>
    </row>
    <row r="1925" spans="1:31" x14ac:dyDescent="0.25">
      <c r="A1925">
        <v>4994</v>
      </c>
      <c r="B1925">
        <v>1943</v>
      </c>
      <c r="C1925" t="s">
        <v>36</v>
      </c>
      <c r="D1925" t="s">
        <v>30</v>
      </c>
      <c r="E1925" t="str">
        <f>IF(OR(Table1[[#This Row],[marital_status]]="Married", Table1[[#This Row],[marital_status]]="Together"), "Partnered", "Single")</f>
        <v>Single</v>
      </c>
      <c r="F1925" s="7">
        <v>77598</v>
      </c>
      <c r="G1925" s="8">
        <v>0</v>
      </c>
      <c r="H1925" s="8">
        <v>0</v>
      </c>
      <c r="I1925" s="8">
        <f>Table1[[#This Row],[kids]]+Table1[[#This Row],[teens]]</f>
        <v>0</v>
      </c>
      <c r="J1925" s="9">
        <v>41548</v>
      </c>
      <c r="K1925" s="8">
        <v>53</v>
      </c>
      <c r="L1925" s="6">
        <v>1193</v>
      </c>
      <c r="M1925" s="5">
        <v>33</v>
      </c>
      <c r="N1925" s="5">
        <v>281</v>
      </c>
      <c r="O1925" s="5">
        <v>129</v>
      </c>
      <c r="P1925" s="5">
        <v>66</v>
      </c>
      <c r="Q1925" s="5">
        <v>33</v>
      </c>
      <c r="R1925" s="8">
        <v>1</v>
      </c>
      <c r="S1925" s="8">
        <v>7</v>
      </c>
      <c r="T1925" s="8">
        <v>5</v>
      </c>
      <c r="U1925" s="8">
        <v>13</v>
      </c>
      <c r="V1925" s="8">
        <v>3</v>
      </c>
      <c r="W1925" t="s">
        <v>473</v>
      </c>
      <c r="X1925" t="s">
        <v>473</v>
      </c>
      <c r="Y1925" t="s">
        <v>474</v>
      </c>
      <c r="Z1925" t="s">
        <v>473</v>
      </c>
      <c r="AA1925" t="s">
        <v>473</v>
      </c>
      <c r="AB1925" t="s">
        <v>473</v>
      </c>
      <c r="AC1925" s="10">
        <v>3</v>
      </c>
      <c r="AD1925" s="10">
        <v>11</v>
      </c>
      <c r="AE1925" t="s">
        <v>473</v>
      </c>
    </row>
    <row r="1926" spans="1:31" x14ac:dyDescent="0.25">
      <c r="A1926">
        <v>7966</v>
      </c>
      <c r="B1926">
        <v>1959</v>
      </c>
      <c r="C1926" t="s">
        <v>466</v>
      </c>
      <c r="D1926" t="s">
        <v>30</v>
      </c>
      <c r="E1926" t="str">
        <f>IF(OR(Table1[[#This Row],[marital_status]]="Married", Table1[[#This Row],[marital_status]]="Together"), "Partnered", "Single")</f>
        <v>Single</v>
      </c>
      <c r="F1926" s="7">
        <v>80982</v>
      </c>
      <c r="G1926" s="8">
        <v>1</v>
      </c>
      <c r="H1926" s="8">
        <v>1</v>
      </c>
      <c r="I1926" s="8">
        <f>Table1[[#This Row],[kids]]+Table1[[#This Row],[teens]]</f>
        <v>2</v>
      </c>
      <c r="J1926" s="9">
        <v>41282</v>
      </c>
      <c r="K1926" s="8">
        <v>48</v>
      </c>
      <c r="L1926" s="6">
        <v>505</v>
      </c>
      <c r="M1926" s="5">
        <v>137</v>
      </c>
      <c r="N1926" s="5">
        <v>401</v>
      </c>
      <c r="O1926" s="5">
        <v>104</v>
      </c>
      <c r="P1926" s="5">
        <v>22</v>
      </c>
      <c r="Q1926" s="5">
        <v>22</v>
      </c>
      <c r="R1926" s="8">
        <v>3</v>
      </c>
      <c r="S1926" s="8">
        <v>11</v>
      </c>
      <c r="T1926" s="8">
        <v>5</v>
      </c>
      <c r="U1926" s="8">
        <v>11</v>
      </c>
      <c r="V1926" s="8">
        <v>5</v>
      </c>
      <c r="W1926" t="s">
        <v>473</v>
      </c>
      <c r="X1926" t="s">
        <v>473</v>
      </c>
      <c r="Y1926" t="s">
        <v>473</v>
      </c>
      <c r="Z1926" t="s">
        <v>473</v>
      </c>
      <c r="AA1926" t="s">
        <v>473</v>
      </c>
      <c r="AB1926" t="s">
        <v>474</v>
      </c>
      <c r="AC1926" s="10">
        <v>3</v>
      </c>
      <c r="AD1926" s="10">
        <v>11</v>
      </c>
      <c r="AE1926" t="s">
        <v>473</v>
      </c>
    </row>
    <row r="1927" spans="1:31" x14ac:dyDescent="0.25">
      <c r="A1927">
        <v>3112</v>
      </c>
      <c r="B1927">
        <v>1977</v>
      </c>
      <c r="C1927" t="s">
        <v>36</v>
      </c>
      <c r="D1927" t="s">
        <v>34</v>
      </c>
      <c r="E1927" t="str">
        <f>IF(OR(Table1[[#This Row],[marital_status]]="Married", Table1[[#This Row],[marital_status]]="Together"), "Partnered", "Single")</f>
        <v>Partnered</v>
      </c>
      <c r="F1927" s="7">
        <v>22701</v>
      </c>
      <c r="G1927" s="8">
        <v>1</v>
      </c>
      <c r="H1927" s="8">
        <v>0</v>
      </c>
      <c r="I1927" s="8">
        <f>Table1[[#This Row],[kids]]+Table1[[#This Row],[teens]]</f>
        <v>1</v>
      </c>
      <c r="J1927" s="9">
        <v>41522</v>
      </c>
      <c r="K1927" s="8">
        <v>2</v>
      </c>
      <c r="L1927" s="6">
        <v>2</v>
      </c>
      <c r="M1927" s="5">
        <v>4</v>
      </c>
      <c r="N1927" s="5">
        <v>9</v>
      </c>
      <c r="O1927" s="5">
        <v>0</v>
      </c>
      <c r="P1927" s="5">
        <v>4</v>
      </c>
      <c r="Q1927" s="5">
        <v>5</v>
      </c>
      <c r="R1927" s="8">
        <v>1</v>
      </c>
      <c r="S1927" s="8">
        <v>1</v>
      </c>
      <c r="T1927" s="8">
        <v>0</v>
      </c>
      <c r="U1927" s="8">
        <v>3</v>
      </c>
      <c r="V1927" s="8">
        <v>5</v>
      </c>
      <c r="W1927" t="s">
        <v>473</v>
      </c>
      <c r="X1927" t="s">
        <v>473</v>
      </c>
      <c r="Y1927" t="s">
        <v>473</v>
      </c>
      <c r="Z1927" t="s">
        <v>473</v>
      </c>
      <c r="AA1927" t="s">
        <v>473</v>
      </c>
      <c r="AB1927" t="s">
        <v>473</v>
      </c>
      <c r="AC1927" s="10">
        <v>3</v>
      </c>
      <c r="AD1927" s="10">
        <v>11</v>
      </c>
      <c r="AE1927" t="s">
        <v>473</v>
      </c>
    </row>
    <row r="1928" spans="1:31" x14ac:dyDescent="0.25">
      <c r="A1928">
        <v>10872</v>
      </c>
      <c r="B1928">
        <v>1969</v>
      </c>
      <c r="C1928" t="s">
        <v>33</v>
      </c>
      <c r="D1928" t="s">
        <v>34</v>
      </c>
      <c r="E1928" t="str">
        <f>IF(OR(Table1[[#This Row],[marital_status]]="Married", Table1[[#This Row],[marital_status]]="Together"), "Partnered", "Single")</f>
        <v>Partnered</v>
      </c>
      <c r="F1928" s="7">
        <v>55212</v>
      </c>
      <c r="G1928" s="8">
        <v>0</v>
      </c>
      <c r="H1928" s="8">
        <v>1</v>
      </c>
      <c r="I1928" s="8">
        <f>Table1[[#This Row],[kids]]+Table1[[#This Row],[teens]]</f>
        <v>1</v>
      </c>
      <c r="J1928" s="9">
        <v>41236</v>
      </c>
      <c r="K1928" s="8">
        <v>65</v>
      </c>
      <c r="L1928" s="6">
        <v>1103</v>
      </c>
      <c r="M1928" s="5">
        <v>0</v>
      </c>
      <c r="N1928" s="5">
        <v>45</v>
      </c>
      <c r="O1928" s="5">
        <v>0</v>
      </c>
      <c r="P1928" s="5">
        <v>0</v>
      </c>
      <c r="Q1928" s="5">
        <v>34</v>
      </c>
      <c r="R1928" s="8">
        <v>3</v>
      </c>
      <c r="S1928" s="8">
        <v>4</v>
      </c>
      <c r="T1928" s="8">
        <v>2</v>
      </c>
      <c r="U1928" s="8">
        <v>11</v>
      </c>
      <c r="V1928" s="8">
        <v>8</v>
      </c>
      <c r="W1928" t="s">
        <v>473</v>
      </c>
      <c r="X1928" t="s">
        <v>474</v>
      </c>
      <c r="Y1928" t="s">
        <v>473</v>
      </c>
      <c r="Z1928" t="s">
        <v>473</v>
      </c>
      <c r="AA1928" t="s">
        <v>474</v>
      </c>
      <c r="AB1928" t="s">
        <v>473</v>
      </c>
      <c r="AC1928" s="10">
        <v>3</v>
      </c>
      <c r="AD1928" s="10">
        <v>11</v>
      </c>
      <c r="AE1928" t="s">
        <v>473</v>
      </c>
    </row>
    <row r="1929" spans="1:31" x14ac:dyDescent="0.25">
      <c r="A1929">
        <v>2181</v>
      </c>
      <c r="B1929">
        <v>1970</v>
      </c>
      <c r="C1929" t="s">
        <v>466</v>
      </c>
      <c r="D1929" t="s">
        <v>34</v>
      </c>
      <c r="E1929" t="str">
        <f>IF(OR(Table1[[#This Row],[marital_status]]="Married", Table1[[#This Row],[marital_status]]="Together"), "Partnered", "Single")</f>
        <v>Partnered</v>
      </c>
      <c r="F1929" s="7">
        <v>70617</v>
      </c>
      <c r="G1929" s="8">
        <v>0</v>
      </c>
      <c r="H1929" s="8">
        <v>0</v>
      </c>
      <c r="I1929" s="8">
        <f>Table1[[#This Row],[kids]]+Table1[[#This Row],[teens]]</f>
        <v>0</v>
      </c>
      <c r="J1929" s="9">
        <v>41448</v>
      </c>
      <c r="K1929" s="8">
        <v>45</v>
      </c>
      <c r="L1929" s="6">
        <v>353</v>
      </c>
      <c r="M1929" s="5">
        <v>61</v>
      </c>
      <c r="N1929" s="5">
        <v>753</v>
      </c>
      <c r="O1929" s="5">
        <v>40</v>
      </c>
      <c r="P1929" s="5">
        <v>46</v>
      </c>
      <c r="Q1929" s="5">
        <v>27</v>
      </c>
      <c r="R1929" s="8">
        <v>1</v>
      </c>
      <c r="S1929" s="8">
        <v>3</v>
      </c>
      <c r="T1929" s="8">
        <v>3</v>
      </c>
      <c r="U1929" s="8">
        <v>7</v>
      </c>
      <c r="V1929" s="8">
        <v>2</v>
      </c>
      <c r="W1929" t="s">
        <v>473</v>
      </c>
      <c r="X1929" t="s">
        <v>473</v>
      </c>
      <c r="Y1929" t="s">
        <v>473</v>
      </c>
      <c r="Z1929" t="s">
        <v>473</v>
      </c>
      <c r="AA1929" t="s">
        <v>473</v>
      </c>
      <c r="AB1929" t="s">
        <v>473</v>
      </c>
      <c r="AC1929" s="10">
        <v>3</v>
      </c>
      <c r="AD1929" s="10">
        <v>11</v>
      </c>
      <c r="AE1929" t="s">
        <v>473</v>
      </c>
    </row>
    <row r="1930" spans="1:31" x14ac:dyDescent="0.25">
      <c r="A1930">
        <v>1867</v>
      </c>
      <c r="B1930">
        <v>1957</v>
      </c>
      <c r="C1930" t="s">
        <v>466</v>
      </c>
      <c r="D1930" t="s">
        <v>30</v>
      </c>
      <c r="E1930" t="str">
        <f>IF(OR(Table1[[#This Row],[marital_status]]="Married", Table1[[#This Row],[marital_status]]="Together"), "Partnered", "Single")</f>
        <v>Single</v>
      </c>
      <c r="F1930" s="7">
        <v>64849</v>
      </c>
      <c r="G1930" s="8">
        <v>0</v>
      </c>
      <c r="H1930" s="8">
        <v>0</v>
      </c>
      <c r="I1930" s="8">
        <f>Table1[[#This Row],[kids]]+Table1[[#This Row],[teens]]</f>
        <v>0</v>
      </c>
      <c r="J1930" s="9">
        <v>41226</v>
      </c>
      <c r="K1930" s="8">
        <v>42</v>
      </c>
      <c r="L1930" s="6">
        <v>652</v>
      </c>
      <c r="M1930" s="5">
        <v>48</v>
      </c>
      <c r="N1930" s="5">
        <v>350</v>
      </c>
      <c r="O1930" s="5">
        <v>94</v>
      </c>
      <c r="P1930" s="5">
        <v>84</v>
      </c>
      <c r="Q1930" s="5">
        <v>108</v>
      </c>
      <c r="R1930" s="8">
        <v>1</v>
      </c>
      <c r="S1930" s="8">
        <v>9</v>
      </c>
      <c r="T1930" s="8">
        <v>3</v>
      </c>
      <c r="U1930" s="8">
        <v>6</v>
      </c>
      <c r="V1930" s="8">
        <v>5</v>
      </c>
      <c r="W1930" t="s">
        <v>473</v>
      </c>
      <c r="X1930" t="s">
        <v>473</v>
      </c>
      <c r="Y1930" t="s">
        <v>473</v>
      </c>
      <c r="Z1930" t="s">
        <v>473</v>
      </c>
      <c r="AA1930" t="s">
        <v>473</v>
      </c>
      <c r="AB1930" t="s">
        <v>473</v>
      </c>
      <c r="AC1930" s="10">
        <v>3</v>
      </c>
      <c r="AD1930" s="10">
        <v>11</v>
      </c>
      <c r="AE1930" t="s">
        <v>474</v>
      </c>
    </row>
    <row r="1931" spans="1:31" x14ac:dyDescent="0.25">
      <c r="A1931">
        <v>1518</v>
      </c>
      <c r="B1931">
        <v>1965</v>
      </c>
      <c r="C1931" t="s">
        <v>36</v>
      </c>
      <c r="D1931" t="s">
        <v>34</v>
      </c>
      <c r="E1931" t="str">
        <f>IF(OR(Table1[[#This Row],[marital_status]]="Married", Table1[[#This Row],[marital_status]]="Together"), "Partnered", "Single")</f>
        <v>Partnered</v>
      </c>
      <c r="F1931" s="7">
        <v>62694</v>
      </c>
      <c r="G1931" s="8">
        <v>1</v>
      </c>
      <c r="H1931" s="8">
        <v>1</v>
      </c>
      <c r="I1931" s="8">
        <f>Table1[[#This Row],[kids]]+Table1[[#This Row],[teens]]</f>
        <v>2</v>
      </c>
      <c r="J1931" s="9">
        <v>41442</v>
      </c>
      <c r="K1931" s="8">
        <v>29</v>
      </c>
      <c r="L1931" s="6">
        <v>379</v>
      </c>
      <c r="M1931" s="5">
        <v>6</v>
      </c>
      <c r="N1931" s="5">
        <v>157</v>
      </c>
      <c r="O1931" s="5">
        <v>25</v>
      </c>
      <c r="P1931" s="5">
        <v>91</v>
      </c>
      <c r="Q1931" s="5">
        <v>91</v>
      </c>
      <c r="R1931" s="8">
        <v>5</v>
      </c>
      <c r="S1931" s="8">
        <v>9</v>
      </c>
      <c r="T1931" s="8">
        <v>3</v>
      </c>
      <c r="U1931" s="8">
        <v>7</v>
      </c>
      <c r="V1931" s="8">
        <v>7</v>
      </c>
      <c r="W1931" t="s">
        <v>473</v>
      </c>
      <c r="X1931" t="s">
        <v>473</v>
      </c>
      <c r="Y1931" t="s">
        <v>473</v>
      </c>
      <c r="Z1931" t="s">
        <v>473</v>
      </c>
      <c r="AA1931" t="s">
        <v>473</v>
      </c>
      <c r="AB1931" t="s">
        <v>473</v>
      </c>
      <c r="AC1931" s="10">
        <v>3</v>
      </c>
      <c r="AD1931" s="10">
        <v>11</v>
      </c>
      <c r="AE1931" t="s">
        <v>473</v>
      </c>
    </row>
    <row r="1932" spans="1:31" x14ac:dyDescent="0.25">
      <c r="A1932">
        <v>5734</v>
      </c>
      <c r="B1932">
        <v>1974</v>
      </c>
      <c r="C1932" t="s">
        <v>33</v>
      </c>
      <c r="D1932" t="s">
        <v>34</v>
      </c>
      <c r="E1932" t="str">
        <f>IF(OR(Table1[[#This Row],[marital_status]]="Married", Table1[[#This Row],[marital_status]]="Together"), "Partnered", "Single")</f>
        <v>Partnered</v>
      </c>
      <c r="F1932" s="7">
        <v>61917</v>
      </c>
      <c r="G1932" s="8">
        <v>1</v>
      </c>
      <c r="H1932" s="8">
        <v>1</v>
      </c>
      <c r="I1932" s="8">
        <f>Table1[[#This Row],[kids]]+Table1[[#This Row],[teens]]</f>
        <v>2</v>
      </c>
      <c r="J1932" s="9">
        <v>41598</v>
      </c>
      <c r="K1932" s="8">
        <v>83</v>
      </c>
      <c r="L1932" s="6">
        <v>46</v>
      </c>
      <c r="M1932" s="5">
        <v>4</v>
      </c>
      <c r="N1932" s="5">
        <v>36</v>
      </c>
      <c r="O1932" s="5">
        <v>2</v>
      </c>
      <c r="P1932" s="5">
        <v>2</v>
      </c>
      <c r="Q1932" s="5">
        <v>1</v>
      </c>
      <c r="R1932" s="8">
        <v>1</v>
      </c>
      <c r="S1932" s="8">
        <v>2</v>
      </c>
      <c r="T1932" s="8">
        <v>0</v>
      </c>
      <c r="U1932" s="8">
        <v>4</v>
      </c>
      <c r="V1932" s="8">
        <v>5</v>
      </c>
      <c r="W1932" t="s">
        <v>473</v>
      </c>
      <c r="X1932" t="s">
        <v>473</v>
      </c>
      <c r="Y1932" t="s">
        <v>473</v>
      </c>
      <c r="Z1932" t="s">
        <v>473</v>
      </c>
      <c r="AA1932" t="s">
        <v>473</v>
      </c>
      <c r="AB1932" t="s">
        <v>473</v>
      </c>
      <c r="AC1932" s="10">
        <v>3</v>
      </c>
      <c r="AD1932" s="10">
        <v>11</v>
      </c>
      <c r="AE1932" t="s">
        <v>473</v>
      </c>
    </row>
    <row r="1933" spans="1:31" x14ac:dyDescent="0.25">
      <c r="A1933">
        <v>2878</v>
      </c>
      <c r="B1933">
        <v>1947</v>
      </c>
      <c r="C1933" t="s">
        <v>33</v>
      </c>
      <c r="D1933" t="s">
        <v>34</v>
      </c>
      <c r="E1933" t="str">
        <f>IF(OR(Table1[[#This Row],[marital_status]]="Married", Table1[[#This Row],[marital_status]]="Together"), "Partnered", "Single")</f>
        <v>Partnered</v>
      </c>
      <c r="F1933" s="7">
        <v>67472</v>
      </c>
      <c r="G1933" s="8">
        <v>0</v>
      </c>
      <c r="H1933" s="8">
        <v>1</v>
      </c>
      <c r="I1933" s="8">
        <f>Table1[[#This Row],[kids]]+Table1[[#This Row],[teens]]</f>
        <v>1</v>
      </c>
      <c r="J1933" s="9">
        <v>41545</v>
      </c>
      <c r="K1933" s="8">
        <v>93</v>
      </c>
      <c r="L1933" s="6">
        <v>162</v>
      </c>
      <c r="M1933" s="5">
        <v>31</v>
      </c>
      <c r="N1933" s="5">
        <v>127</v>
      </c>
      <c r="O1933" s="5">
        <v>8</v>
      </c>
      <c r="P1933" s="5">
        <v>17</v>
      </c>
      <c r="Q1933" s="5">
        <v>69</v>
      </c>
      <c r="R1933" s="8">
        <v>2</v>
      </c>
      <c r="S1933" s="8">
        <v>4</v>
      </c>
      <c r="T1933" s="8">
        <v>2</v>
      </c>
      <c r="U1933" s="8">
        <v>7</v>
      </c>
      <c r="V1933" s="8">
        <v>3</v>
      </c>
      <c r="W1933" t="s">
        <v>473</v>
      </c>
      <c r="X1933" t="s">
        <v>473</v>
      </c>
      <c r="Y1933" t="s">
        <v>473</v>
      </c>
      <c r="Z1933" t="s">
        <v>473</v>
      </c>
      <c r="AA1933" t="s">
        <v>473</v>
      </c>
      <c r="AB1933" t="s">
        <v>473</v>
      </c>
      <c r="AC1933" s="10">
        <v>3</v>
      </c>
      <c r="AD1933" s="10">
        <v>11</v>
      </c>
      <c r="AE1933" t="s">
        <v>473</v>
      </c>
    </row>
    <row r="1934" spans="1:31" x14ac:dyDescent="0.25">
      <c r="A1934">
        <v>1458</v>
      </c>
      <c r="B1934">
        <v>1982</v>
      </c>
      <c r="C1934" t="s">
        <v>36</v>
      </c>
      <c r="D1934" t="s">
        <v>34</v>
      </c>
      <c r="E1934" t="str">
        <f>IF(OR(Table1[[#This Row],[marital_status]]="Married", Table1[[#This Row],[marital_status]]="Together"), "Partnered", "Single")</f>
        <v>Partnered</v>
      </c>
      <c r="F1934" s="7">
        <v>21059</v>
      </c>
      <c r="G1934" s="8">
        <v>1</v>
      </c>
      <c r="H1934" s="8">
        <v>0</v>
      </c>
      <c r="I1934" s="8">
        <f>Table1[[#This Row],[kids]]+Table1[[#This Row],[teens]]</f>
        <v>1</v>
      </c>
      <c r="J1934" s="9">
        <v>41646</v>
      </c>
      <c r="K1934" s="8">
        <v>40</v>
      </c>
      <c r="L1934" s="6">
        <v>8</v>
      </c>
      <c r="M1934" s="5">
        <v>3</v>
      </c>
      <c r="N1934" s="5">
        <v>19</v>
      </c>
      <c r="O1934" s="5">
        <v>3</v>
      </c>
      <c r="P1934" s="5">
        <v>3</v>
      </c>
      <c r="Q1934" s="5">
        <v>8</v>
      </c>
      <c r="R1934" s="8">
        <v>3</v>
      </c>
      <c r="S1934" s="8">
        <v>3</v>
      </c>
      <c r="T1934" s="8">
        <v>0</v>
      </c>
      <c r="U1934" s="8">
        <v>3</v>
      </c>
      <c r="V1934" s="8">
        <v>6</v>
      </c>
      <c r="W1934" t="s">
        <v>473</v>
      </c>
      <c r="X1934" t="s">
        <v>473</v>
      </c>
      <c r="Y1934" t="s">
        <v>473</v>
      </c>
      <c r="Z1934" t="s">
        <v>473</v>
      </c>
      <c r="AA1934" t="s">
        <v>473</v>
      </c>
      <c r="AB1934" t="s">
        <v>473</v>
      </c>
      <c r="AC1934" s="10">
        <v>3</v>
      </c>
      <c r="AD1934" s="10">
        <v>11</v>
      </c>
      <c r="AE1934" t="s">
        <v>473</v>
      </c>
    </row>
    <row r="1935" spans="1:31" x14ac:dyDescent="0.25">
      <c r="A1935">
        <v>7007</v>
      </c>
      <c r="B1935">
        <v>1968</v>
      </c>
      <c r="C1935" t="s">
        <v>36</v>
      </c>
      <c r="D1935" t="s">
        <v>34</v>
      </c>
      <c r="E1935" t="str">
        <f>IF(OR(Table1[[#This Row],[marital_status]]="Married", Table1[[#This Row],[marital_status]]="Together"), "Partnered", "Single")</f>
        <v>Partnered</v>
      </c>
      <c r="F1935" s="7">
        <v>29543</v>
      </c>
      <c r="G1935" s="8">
        <v>2</v>
      </c>
      <c r="H1935" s="8">
        <v>0</v>
      </c>
      <c r="I1935" s="8">
        <f>Table1[[#This Row],[kids]]+Table1[[#This Row],[teens]]</f>
        <v>2</v>
      </c>
      <c r="J1935" s="9">
        <v>41730</v>
      </c>
      <c r="K1935" s="8">
        <v>47</v>
      </c>
      <c r="L1935" s="6">
        <v>17</v>
      </c>
      <c r="M1935" s="5">
        <v>3</v>
      </c>
      <c r="N1935" s="5">
        <v>18</v>
      </c>
      <c r="O1935" s="5">
        <v>3</v>
      </c>
      <c r="P1935" s="5">
        <v>4</v>
      </c>
      <c r="Q1935" s="5">
        <v>18</v>
      </c>
      <c r="R1935" s="8">
        <v>2</v>
      </c>
      <c r="S1935" s="8">
        <v>3</v>
      </c>
      <c r="T1935" s="8">
        <v>1</v>
      </c>
      <c r="U1935" s="8">
        <v>2</v>
      </c>
      <c r="V1935" s="8">
        <v>7</v>
      </c>
      <c r="W1935" t="s">
        <v>473</v>
      </c>
      <c r="X1935" t="s">
        <v>473</v>
      </c>
      <c r="Y1935" t="s">
        <v>473</v>
      </c>
      <c r="Z1935" t="s">
        <v>473</v>
      </c>
      <c r="AA1935" t="s">
        <v>473</v>
      </c>
      <c r="AB1935" t="s">
        <v>473</v>
      </c>
      <c r="AC1935" s="10">
        <v>3</v>
      </c>
      <c r="AD1935" s="10">
        <v>11</v>
      </c>
      <c r="AE1935" t="s">
        <v>473</v>
      </c>
    </row>
    <row r="1936" spans="1:31" x14ac:dyDescent="0.25">
      <c r="A1936">
        <v>6200</v>
      </c>
      <c r="B1936">
        <v>1951</v>
      </c>
      <c r="C1936" t="s">
        <v>466</v>
      </c>
      <c r="D1936" t="s">
        <v>34</v>
      </c>
      <c r="E1936" t="str">
        <f>IF(OR(Table1[[#This Row],[marital_status]]="Married", Table1[[#This Row],[marital_status]]="Together"), "Partnered", "Single")</f>
        <v>Partnered</v>
      </c>
      <c r="F1936" s="7">
        <v>75903</v>
      </c>
      <c r="G1936" s="8">
        <v>0</v>
      </c>
      <c r="H1936" s="8">
        <v>1</v>
      </c>
      <c r="I1936" s="8">
        <f>Table1[[#This Row],[kids]]+Table1[[#This Row],[teens]]</f>
        <v>1</v>
      </c>
      <c r="J1936" s="9">
        <v>41372</v>
      </c>
      <c r="K1936" s="8">
        <v>50</v>
      </c>
      <c r="L1936" s="6">
        <v>340</v>
      </c>
      <c r="M1936" s="5">
        <v>108</v>
      </c>
      <c r="N1936" s="5">
        <v>185</v>
      </c>
      <c r="O1936" s="5">
        <v>130</v>
      </c>
      <c r="P1936" s="5">
        <v>38</v>
      </c>
      <c r="Q1936" s="5">
        <v>100</v>
      </c>
      <c r="R1936" s="8">
        <v>2</v>
      </c>
      <c r="S1936" s="8">
        <v>6</v>
      </c>
      <c r="T1936" s="8">
        <v>6</v>
      </c>
      <c r="U1936" s="8">
        <v>9</v>
      </c>
      <c r="V1936" s="8">
        <v>3</v>
      </c>
      <c r="W1936" t="s">
        <v>473</v>
      </c>
      <c r="X1936" t="s">
        <v>473</v>
      </c>
      <c r="Y1936" t="s">
        <v>473</v>
      </c>
      <c r="Z1936" t="s">
        <v>473</v>
      </c>
      <c r="AA1936" t="s">
        <v>473</v>
      </c>
      <c r="AB1936" t="s">
        <v>473</v>
      </c>
      <c r="AC1936" s="10">
        <v>3</v>
      </c>
      <c r="AD1936" s="10">
        <v>11</v>
      </c>
      <c r="AE1936" t="s">
        <v>473</v>
      </c>
    </row>
    <row r="1937" spans="1:31" x14ac:dyDescent="0.25">
      <c r="A1937">
        <v>1403</v>
      </c>
      <c r="B1937">
        <v>1975</v>
      </c>
      <c r="C1937" t="s">
        <v>46</v>
      </c>
      <c r="D1937" t="s">
        <v>31</v>
      </c>
      <c r="E1937" t="str">
        <f>IF(OR(Table1[[#This Row],[marital_status]]="Married", Table1[[#This Row],[marital_status]]="Together"), "Partnered", "Single")</f>
        <v>Partnered</v>
      </c>
      <c r="F1937" s="7">
        <v>34984</v>
      </c>
      <c r="G1937" s="8">
        <v>1</v>
      </c>
      <c r="H1937" s="8">
        <v>1</v>
      </c>
      <c r="I1937" s="8">
        <f>Table1[[#This Row],[kids]]+Table1[[#This Row],[teens]]</f>
        <v>2</v>
      </c>
      <c r="J1937" s="9">
        <v>41158</v>
      </c>
      <c r="K1937" s="8">
        <v>40</v>
      </c>
      <c r="L1937" s="6">
        <v>8</v>
      </c>
      <c r="M1937" s="5">
        <v>4</v>
      </c>
      <c r="N1937" s="5">
        <v>15</v>
      </c>
      <c r="O1937" s="5">
        <v>3</v>
      </c>
      <c r="P1937" s="5">
        <v>5</v>
      </c>
      <c r="Q1937" s="5">
        <v>3</v>
      </c>
      <c r="R1937" s="8">
        <v>2</v>
      </c>
      <c r="S1937" s="8">
        <v>1</v>
      </c>
      <c r="T1937" s="8">
        <v>0</v>
      </c>
      <c r="U1937" s="8">
        <v>3</v>
      </c>
      <c r="V1937" s="8">
        <v>7</v>
      </c>
      <c r="W1937" t="s">
        <v>473</v>
      </c>
      <c r="X1937" t="s">
        <v>473</v>
      </c>
      <c r="Y1937" t="s">
        <v>473</v>
      </c>
      <c r="Z1937" t="s">
        <v>473</v>
      </c>
      <c r="AA1937" t="s">
        <v>473</v>
      </c>
      <c r="AB1937" t="s">
        <v>473</v>
      </c>
      <c r="AC1937" s="10">
        <v>3</v>
      </c>
      <c r="AD1937" s="10">
        <v>11</v>
      </c>
      <c r="AE1937" t="s">
        <v>473</v>
      </c>
    </row>
    <row r="1938" spans="1:31" x14ac:dyDescent="0.25">
      <c r="A1938">
        <v>4827</v>
      </c>
      <c r="B1938">
        <v>1956</v>
      </c>
      <c r="C1938" t="s">
        <v>33</v>
      </c>
      <c r="D1938" t="s">
        <v>30</v>
      </c>
      <c r="E1938" t="str">
        <f>IF(OR(Table1[[#This Row],[marital_status]]="Married", Table1[[#This Row],[marital_status]]="Together"), "Partnered", "Single")</f>
        <v>Single</v>
      </c>
      <c r="F1938" s="7">
        <v>54998</v>
      </c>
      <c r="G1938" s="8">
        <v>0</v>
      </c>
      <c r="H1938" s="8">
        <v>1</v>
      </c>
      <c r="I1938" s="8">
        <f>Table1[[#This Row],[kids]]+Table1[[#This Row],[teens]]</f>
        <v>1</v>
      </c>
      <c r="J1938" s="9">
        <v>41343</v>
      </c>
      <c r="K1938" s="8">
        <v>3</v>
      </c>
      <c r="L1938" s="6">
        <v>154</v>
      </c>
      <c r="M1938" s="5">
        <v>22</v>
      </c>
      <c r="N1938" s="5">
        <v>202</v>
      </c>
      <c r="O1938" s="5">
        <v>39</v>
      </c>
      <c r="P1938" s="5">
        <v>30</v>
      </c>
      <c r="Q1938" s="5">
        <v>8</v>
      </c>
      <c r="R1938" s="8">
        <v>5</v>
      </c>
      <c r="S1938" s="8">
        <v>4</v>
      </c>
      <c r="T1938" s="8">
        <v>2</v>
      </c>
      <c r="U1938" s="8">
        <v>9</v>
      </c>
      <c r="V1938" s="8">
        <v>4</v>
      </c>
      <c r="W1938" t="s">
        <v>473</v>
      </c>
      <c r="X1938" t="s">
        <v>473</v>
      </c>
      <c r="Y1938" t="s">
        <v>473</v>
      </c>
      <c r="Z1938" t="s">
        <v>473</v>
      </c>
      <c r="AA1938" t="s">
        <v>473</v>
      </c>
      <c r="AB1938" t="s">
        <v>473</v>
      </c>
      <c r="AC1938" s="10">
        <v>3</v>
      </c>
      <c r="AD1938" s="10">
        <v>11</v>
      </c>
      <c r="AE1938" t="s">
        <v>474</v>
      </c>
    </row>
    <row r="1939" spans="1:31" x14ac:dyDescent="0.25">
      <c r="A1939">
        <v>6250</v>
      </c>
      <c r="B1939">
        <v>1949</v>
      </c>
      <c r="C1939" t="s">
        <v>33</v>
      </c>
      <c r="D1939" t="s">
        <v>57</v>
      </c>
      <c r="E1939" t="str">
        <f>IF(OR(Table1[[#This Row],[marital_status]]="Married", Table1[[#This Row],[marital_status]]="Together"), "Partnered", "Single")</f>
        <v>Single</v>
      </c>
      <c r="F1939" s="7">
        <v>54356</v>
      </c>
      <c r="G1939" s="8">
        <v>0</v>
      </c>
      <c r="H1939" s="8">
        <v>1</v>
      </c>
      <c r="I1939" s="8">
        <f>Table1[[#This Row],[kids]]+Table1[[#This Row],[teens]]</f>
        <v>1</v>
      </c>
      <c r="J1939" s="9">
        <v>41232</v>
      </c>
      <c r="K1939" s="8">
        <v>62</v>
      </c>
      <c r="L1939" s="6">
        <v>710</v>
      </c>
      <c r="M1939" s="5">
        <v>15</v>
      </c>
      <c r="N1939" s="5">
        <v>30</v>
      </c>
      <c r="O1939" s="5">
        <v>20</v>
      </c>
      <c r="P1939" s="5">
        <v>0</v>
      </c>
      <c r="Q1939" s="5">
        <v>0</v>
      </c>
      <c r="R1939" s="8">
        <v>3</v>
      </c>
      <c r="S1939" s="8">
        <v>11</v>
      </c>
      <c r="T1939" s="8">
        <v>2</v>
      </c>
      <c r="U1939" s="8">
        <v>8</v>
      </c>
      <c r="V1939" s="8">
        <v>8</v>
      </c>
      <c r="W1939" t="s">
        <v>473</v>
      </c>
      <c r="X1939" t="s">
        <v>473</v>
      </c>
      <c r="Y1939" t="s">
        <v>473</v>
      </c>
      <c r="Z1939" t="s">
        <v>473</v>
      </c>
      <c r="AA1939" t="s">
        <v>473</v>
      </c>
      <c r="AB1939" t="s">
        <v>473</v>
      </c>
      <c r="AC1939" s="10">
        <v>3</v>
      </c>
      <c r="AD1939" s="10">
        <v>11</v>
      </c>
      <c r="AE1939" t="s">
        <v>474</v>
      </c>
    </row>
    <row r="1940" spans="1:31" x14ac:dyDescent="0.25">
      <c r="A1940">
        <v>9291</v>
      </c>
      <c r="B1940">
        <v>1959</v>
      </c>
      <c r="C1940" t="s">
        <v>36</v>
      </c>
      <c r="D1940" t="s">
        <v>34</v>
      </c>
      <c r="E1940" t="str">
        <f>IF(OR(Table1[[#This Row],[marital_status]]="Married", Table1[[#This Row],[marital_status]]="Together"), "Partnered", "Single")</f>
        <v>Partnered</v>
      </c>
      <c r="F1940" s="7">
        <v>34242</v>
      </c>
      <c r="G1940" s="8">
        <v>0</v>
      </c>
      <c r="H1940" s="8">
        <v>1</v>
      </c>
      <c r="I1940" s="8">
        <f>Table1[[#This Row],[kids]]+Table1[[#This Row],[teens]]</f>
        <v>1</v>
      </c>
      <c r="J1940" s="9">
        <v>41721</v>
      </c>
      <c r="K1940" s="8">
        <v>25</v>
      </c>
      <c r="L1940" s="6">
        <v>8</v>
      </c>
      <c r="M1940" s="5">
        <v>2</v>
      </c>
      <c r="N1940" s="5">
        <v>4</v>
      </c>
      <c r="O1940" s="5">
        <v>0</v>
      </c>
      <c r="P1940" s="5">
        <v>0</v>
      </c>
      <c r="Q1940" s="5">
        <v>1</v>
      </c>
      <c r="R1940" s="8">
        <v>1</v>
      </c>
      <c r="S1940" s="8">
        <v>0</v>
      </c>
      <c r="T1940" s="8">
        <v>0</v>
      </c>
      <c r="U1940" s="8">
        <v>3</v>
      </c>
      <c r="V1940" s="8">
        <v>5</v>
      </c>
      <c r="W1940" t="s">
        <v>473</v>
      </c>
      <c r="X1940" t="s">
        <v>473</v>
      </c>
      <c r="Y1940" t="s">
        <v>473</v>
      </c>
      <c r="Z1940" t="s">
        <v>473</v>
      </c>
      <c r="AA1940" t="s">
        <v>473</v>
      </c>
      <c r="AB1940" t="s">
        <v>473</v>
      </c>
      <c r="AC1940" s="10">
        <v>3</v>
      </c>
      <c r="AD1940" s="10">
        <v>11</v>
      </c>
      <c r="AE1940" t="s">
        <v>473</v>
      </c>
    </row>
    <row r="1941" spans="1:31" x14ac:dyDescent="0.25">
      <c r="A1941">
        <v>2478</v>
      </c>
      <c r="B1941">
        <v>1973</v>
      </c>
      <c r="C1941" t="s">
        <v>466</v>
      </c>
      <c r="D1941" t="s">
        <v>34</v>
      </c>
      <c r="E1941" t="str">
        <f>IF(OR(Table1[[#This Row],[marital_status]]="Married", Table1[[#This Row],[marital_status]]="Together"), "Partnered", "Single")</f>
        <v>Partnered</v>
      </c>
      <c r="F1941" s="7">
        <v>25410</v>
      </c>
      <c r="G1941" s="8">
        <v>1</v>
      </c>
      <c r="H1941" s="8">
        <v>0</v>
      </c>
      <c r="I1941" s="8">
        <f>Table1[[#This Row],[kids]]+Table1[[#This Row],[teens]]</f>
        <v>1</v>
      </c>
      <c r="J1941" s="9">
        <v>41517</v>
      </c>
      <c r="K1941" s="8">
        <v>48</v>
      </c>
      <c r="L1941" s="6">
        <v>2</v>
      </c>
      <c r="M1941" s="5">
        <v>2</v>
      </c>
      <c r="N1941" s="5">
        <v>4</v>
      </c>
      <c r="O1941" s="5">
        <v>13</v>
      </c>
      <c r="P1941" s="5">
        <v>13</v>
      </c>
      <c r="Q1941" s="5">
        <v>4</v>
      </c>
      <c r="R1941" s="8">
        <v>1</v>
      </c>
      <c r="S1941" s="8">
        <v>1</v>
      </c>
      <c r="T1941" s="8">
        <v>0</v>
      </c>
      <c r="U1941" s="8">
        <v>4</v>
      </c>
      <c r="V1941" s="8">
        <v>4</v>
      </c>
      <c r="W1941" t="s">
        <v>473</v>
      </c>
      <c r="X1941" t="s">
        <v>473</v>
      </c>
      <c r="Y1941" t="s">
        <v>473</v>
      </c>
      <c r="Z1941" t="s">
        <v>473</v>
      </c>
      <c r="AA1941" t="s">
        <v>473</v>
      </c>
      <c r="AB1941" t="s">
        <v>473</v>
      </c>
      <c r="AC1941" s="10">
        <v>3</v>
      </c>
      <c r="AD1941" s="10">
        <v>11</v>
      </c>
      <c r="AE1941" t="s">
        <v>473</v>
      </c>
    </row>
    <row r="1942" spans="1:31" x14ac:dyDescent="0.25">
      <c r="A1942">
        <v>1139</v>
      </c>
      <c r="B1942">
        <v>1984</v>
      </c>
      <c r="C1942" t="s">
        <v>33</v>
      </c>
      <c r="D1942" t="s">
        <v>34</v>
      </c>
      <c r="E1942" t="str">
        <f>IF(OR(Table1[[#This Row],[marital_status]]="Married", Table1[[#This Row],[marital_status]]="Together"), "Partnered", "Single")</f>
        <v>Partnered</v>
      </c>
      <c r="F1942" s="7">
        <v>73356</v>
      </c>
      <c r="G1942" s="8">
        <v>0</v>
      </c>
      <c r="H1942" s="8">
        <v>0</v>
      </c>
      <c r="I1942" s="8">
        <f>Table1[[#This Row],[kids]]+Table1[[#This Row],[teens]]</f>
        <v>0</v>
      </c>
      <c r="J1942" s="9">
        <v>41676</v>
      </c>
      <c r="K1942" s="8">
        <v>56</v>
      </c>
      <c r="L1942" s="6">
        <v>1050</v>
      </c>
      <c r="M1942" s="5">
        <v>14</v>
      </c>
      <c r="N1942" s="5">
        <v>322</v>
      </c>
      <c r="O1942" s="5">
        <v>0</v>
      </c>
      <c r="P1942" s="5">
        <v>14</v>
      </c>
      <c r="Q1942" s="5">
        <v>112</v>
      </c>
      <c r="R1942" s="8">
        <v>1</v>
      </c>
      <c r="S1942" s="8">
        <v>5</v>
      </c>
      <c r="T1942" s="8">
        <v>11</v>
      </c>
      <c r="U1942" s="8">
        <v>5</v>
      </c>
      <c r="V1942" s="8">
        <v>2</v>
      </c>
      <c r="W1942" t="s">
        <v>474</v>
      </c>
      <c r="X1942" t="s">
        <v>473</v>
      </c>
      <c r="Y1942" t="s">
        <v>474</v>
      </c>
      <c r="Z1942" t="s">
        <v>474</v>
      </c>
      <c r="AA1942" t="s">
        <v>473</v>
      </c>
      <c r="AB1942" t="s">
        <v>473</v>
      </c>
      <c r="AC1942" s="10">
        <v>3</v>
      </c>
      <c r="AD1942" s="10">
        <v>11</v>
      </c>
      <c r="AE1942" t="s">
        <v>474</v>
      </c>
    </row>
    <row r="1943" spans="1:31" x14ac:dyDescent="0.25">
      <c r="A1943">
        <v>5138</v>
      </c>
      <c r="B1943">
        <v>1950</v>
      </c>
      <c r="C1943" t="s">
        <v>466</v>
      </c>
      <c r="D1943" t="s">
        <v>31</v>
      </c>
      <c r="E1943" t="str">
        <f>IF(OR(Table1[[#This Row],[marital_status]]="Married", Table1[[#This Row],[marital_status]]="Together"), "Partnered", "Single")</f>
        <v>Partnered</v>
      </c>
      <c r="F1943" s="7">
        <v>28320</v>
      </c>
      <c r="G1943" s="8">
        <v>0</v>
      </c>
      <c r="H1943" s="8">
        <v>1</v>
      </c>
      <c r="I1943" s="8">
        <f>Table1[[#This Row],[kids]]+Table1[[#This Row],[teens]]</f>
        <v>1</v>
      </c>
      <c r="J1943" s="9">
        <v>41288</v>
      </c>
      <c r="K1943" s="8">
        <v>68</v>
      </c>
      <c r="L1943" s="6">
        <v>19</v>
      </c>
      <c r="M1943" s="5">
        <v>1</v>
      </c>
      <c r="N1943" s="5">
        <v>14</v>
      </c>
      <c r="O1943" s="5">
        <v>3</v>
      </c>
      <c r="P1943" s="5">
        <v>2</v>
      </c>
      <c r="Q1943" s="5">
        <v>4</v>
      </c>
      <c r="R1943" s="8">
        <v>1</v>
      </c>
      <c r="S1943" s="8">
        <v>1</v>
      </c>
      <c r="T1943" s="8">
        <v>0</v>
      </c>
      <c r="U1943" s="8">
        <v>3</v>
      </c>
      <c r="V1943" s="8">
        <v>8</v>
      </c>
      <c r="W1943" t="s">
        <v>473</v>
      </c>
      <c r="X1943" t="s">
        <v>473</v>
      </c>
      <c r="Y1943" t="s">
        <v>473</v>
      </c>
      <c r="Z1943" t="s">
        <v>473</v>
      </c>
      <c r="AA1943" t="s">
        <v>473</v>
      </c>
      <c r="AB1943" t="s">
        <v>473</v>
      </c>
      <c r="AC1943" s="10">
        <v>3</v>
      </c>
      <c r="AD1943" s="10">
        <v>11</v>
      </c>
      <c r="AE1943" t="s">
        <v>473</v>
      </c>
    </row>
    <row r="1944" spans="1:31" x14ac:dyDescent="0.25">
      <c r="A1944">
        <v>5393</v>
      </c>
      <c r="B1944">
        <v>1977</v>
      </c>
      <c r="C1944" t="s">
        <v>466</v>
      </c>
      <c r="D1944" t="s">
        <v>30</v>
      </c>
      <c r="E1944" t="str">
        <f>IF(OR(Table1[[#This Row],[marital_status]]="Married", Table1[[#This Row],[marital_status]]="Together"), "Partnered", "Single")</f>
        <v>Single</v>
      </c>
      <c r="F1944" s="7">
        <v>23763</v>
      </c>
      <c r="G1944" s="8">
        <v>1</v>
      </c>
      <c r="H1944" s="8">
        <v>0</v>
      </c>
      <c r="I1944" s="8">
        <f>Table1[[#This Row],[kids]]+Table1[[#This Row],[teens]]</f>
        <v>1</v>
      </c>
      <c r="J1944" s="9">
        <v>41128</v>
      </c>
      <c r="K1944" s="8">
        <v>64</v>
      </c>
      <c r="L1944" s="6">
        <v>22</v>
      </c>
      <c r="M1944" s="5">
        <v>0</v>
      </c>
      <c r="N1944" s="5">
        <v>6</v>
      </c>
      <c r="O1944" s="5">
        <v>6</v>
      </c>
      <c r="P1944" s="5">
        <v>2</v>
      </c>
      <c r="Q1944" s="5">
        <v>6</v>
      </c>
      <c r="R1944" s="8">
        <v>1</v>
      </c>
      <c r="S1944" s="8">
        <v>1</v>
      </c>
      <c r="T1944" s="8">
        <v>0</v>
      </c>
      <c r="U1944" s="8">
        <v>3</v>
      </c>
      <c r="V1944" s="8">
        <v>7</v>
      </c>
      <c r="W1944" t="s">
        <v>473</v>
      </c>
      <c r="X1944" t="s">
        <v>473</v>
      </c>
      <c r="Y1944" t="s">
        <v>473</v>
      </c>
      <c r="Z1944" t="s">
        <v>473</v>
      </c>
      <c r="AA1944" t="s">
        <v>473</v>
      </c>
      <c r="AB1944" t="s">
        <v>473</v>
      </c>
      <c r="AC1944" s="10">
        <v>3</v>
      </c>
      <c r="AD1944" s="10">
        <v>11</v>
      </c>
      <c r="AE1944" t="s">
        <v>473</v>
      </c>
    </row>
    <row r="1945" spans="1:31" x14ac:dyDescent="0.25">
      <c r="A1945">
        <v>10413</v>
      </c>
      <c r="B1945">
        <v>1984</v>
      </c>
      <c r="C1945" t="s">
        <v>466</v>
      </c>
      <c r="D1945" t="s">
        <v>34</v>
      </c>
      <c r="E1945" t="str">
        <f>IF(OR(Table1[[#This Row],[marital_status]]="Married", Table1[[#This Row],[marital_status]]="Together"), "Partnered", "Single")</f>
        <v>Partnered</v>
      </c>
      <c r="F1945" s="7">
        <v>72570</v>
      </c>
      <c r="G1945" s="8">
        <v>0</v>
      </c>
      <c r="H1945" s="8">
        <v>0</v>
      </c>
      <c r="I1945" s="8">
        <f>Table1[[#This Row],[kids]]+Table1[[#This Row],[teens]]</f>
        <v>0</v>
      </c>
      <c r="J1945" s="9">
        <v>41754</v>
      </c>
      <c r="K1945" s="8">
        <v>67</v>
      </c>
      <c r="L1945" s="6">
        <v>274</v>
      </c>
      <c r="M1945" s="5">
        <v>83</v>
      </c>
      <c r="N1945" s="5">
        <v>216</v>
      </c>
      <c r="O1945" s="5">
        <v>151</v>
      </c>
      <c r="P1945" s="5">
        <v>141</v>
      </c>
      <c r="Q1945" s="5">
        <v>224</v>
      </c>
      <c r="R1945" s="8">
        <v>1</v>
      </c>
      <c r="S1945" s="8">
        <v>4</v>
      </c>
      <c r="T1945" s="8">
        <v>6</v>
      </c>
      <c r="U1945" s="8">
        <v>12</v>
      </c>
      <c r="V1945" s="8">
        <v>1</v>
      </c>
      <c r="W1945" t="s">
        <v>473</v>
      </c>
      <c r="X1945" t="s">
        <v>473</v>
      </c>
      <c r="Y1945" t="s">
        <v>473</v>
      </c>
      <c r="Z1945" t="s">
        <v>473</v>
      </c>
      <c r="AA1945" t="s">
        <v>473</v>
      </c>
      <c r="AB1945" t="s">
        <v>473</v>
      </c>
      <c r="AC1945" s="10">
        <v>3</v>
      </c>
      <c r="AD1945" s="10">
        <v>11</v>
      </c>
      <c r="AE1945" t="s">
        <v>473</v>
      </c>
    </row>
    <row r="1946" spans="1:31" x14ac:dyDescent="0.25">
      <c r="A1946">
        <v>5015</v>
      </c>
      <c r="B1946">
        <v>1976</v>
      </c>
      <c r="C1946" t="s">
        <v>36</v>
      </c>
      <c r="D1946" t="s">
        <v>34</v>
      </c>
      <c r="E1946" t="str">
        <f>IF(OR(Table1[[#This Row],[marital_status]]="Married", Table1[[#This Row],[marital_status]]="Together"), "Partnered", "Single")</f>
        <v>Partnered</v>
      </c>
      <c r="F1946" s="7">
        <v>34529</v>
      </c>
      <c r="G1946" s="8">
        <v>1</v>
      </c>
      <c r="H1946" s="8">
        <v>0</v>
      </c>
      <c r="I1946" s="8">
        <f>Table1[[#This Row],[kids]]+Table1[[#This Row],[teens]]</f>
        <v>1</v>
      </c>
      <c r="J1946" s="9">
        <v>41166</v>
      </c>
      <c r="K1946" s="8">
        <v>94</v>
      </c>
      <c r="L1946" s="6">
        <v>68</v>
      </c>
      <c r="M1946" s="5">
        <v>6</v>
      </c>
      <c r="N1946" s="5">
        <v>38</v>
      </c>
      <c r="O1946" s="5">
        <v>3</v>
      </c>
      <c r="P1946" s="5">
        <v>6</v>
      </c>
      <c r="Q1946" s="5">
        <v>41</v>
      </c>
      <c r="R1946" s="8">
        <v>2</v>
      </c>
      <c r="S1946" s="8">
        <v>2</v>
      </c>
      <c r="T1946" s="8">
        <v>2</v>
      </c>
      <c r="U1946" s="8">
        <v>3</v>
      </c>
      <c r="V1946" s="8">
        <v>7</v>
      </c>
      <c r="W1946" t="s">
        <v>473</v>
      </c>
      <c r="X1946" t="s">
        <v>473</v>
      </c>
      <c r="Y1946" t="s">
        <v>473</v>
      </c>
      <c r="Z1946" t="s">
        <v>473</v>
      </c>
      <c r="AA1946" t="s">
        <v>473</v>
      </c>
      <c r="AB1946" t="s">
        <v>473</v>
      </c>
      <c r="AC1946" s="10">
        <v>3</v>
      </c>
      <c r="AD1946" s="10">
        <v>11</v>
      </c>
      <c r="AE1946" t="s">
        <v>473</v>
      </c>
    </row>
    <row r="1947" spans="1:31" x14ac:dyDescent="0.25">
      <c r="A1947">
        <v>10868</v>
      </c>
      <c r="B1947">
        <v>1951</v>
      </c>
      <c r="C1947" t="s">
        <v>466</v>
      </c>
      <c r="D1947" t="s">
        <v>57</v>
      </c>
      <c r="E1947" t="str">
        <f>IF(OR(Table1[[#This Row],[marital_status]]="Married", Table1[[#This Row],[marital_status]]="Together"), "Partnered", "Single")</f>
        <v>Single</v>
      </c>
      <c r="F1947" s="7">
        <v>70792</v>
      </c>
      <c r="G1947" s="8">
        <v>0</v>
      </c>
      <c r="H1947" s="8">
        <v>0</v>
      </c>
      <c r="I1947" s="8">
        <f>Table1[[#This Row],[kids]]+Table1[[#This Row],[teens]]</f>
        <v>0</v>
      </c>
      <c r="J1947" s="9">
        <v>41311</v>
      </c>
      <c r="K1947" s="8">
        <v>82</v>
      </c>
      <c r="L1947" s="6">
        <v>344</v>
      </c>
      <c r="M1947" s="5">
        <v>45</v>
      </c>
      <c r="N1947" s="5">
        <v>654</v>
      </c>
      <c r="O1947" s="5">
        <v>104</v>
      </c>
      <c r="P1947" s="5">
        <v>11</v>
      </c>
      <c r="Q1947" s="5">
        <v>114</v>
      </c>
      <c r="R1947" s="8">
        <v>2</v>
      </c>
      <c r="S1947" s="8">
        <v>3</v>
      </c>
      <c r="T1947" s="8">
        <v>4</v>
      </c>
      <c r="U1947" s="8">
        <v>10</v>
      </c>
      <c r="V1947" s="8">
        <v>3</v>
      </c>
      <c r="W1947" t="s">
        <v>473</v>
      </c>
      <c r="X1947" t="s">
        <v>473</v>
      </c>
      <c r="Y1947" t="s">
        <v>473</v>
      </c>
      <c r="Z1947" t="s">
        <v>473</v>
      </c>
      <c r="AA1947" t="s">
        <v>473</v>
      </c>
      <c r="AB1947" t="s">
        <v>473</v>
      </c>
      <c r="AC1947" s="10">
        <v>3</v>
      </c>
      <c r="AD1947" s="10">
        <v>11</v>
      </c>
      <c r="AE1947" t="s">
        <v>473</v>
      </c>
    </row>
    <row r="1948" spans="1:31" x14ac:dyDescent="0.25">
      <c r="A1948">
        <v>10676</v>
      </c>
      <c r="B1948">
        <v>1982</v>
      </c>
      <c r="C1948" t="s">
        <v>466</v>
      </c>
      <c r="D1948" t="s">
        <v>34</v>
      </c>
      <c r="E1948" t="str">
        <f>IF(OR(Table1[[#This Row],[marital_status]]="Married", Table1[[#This Row],[marital_status]]="Together"), "Partnered", "Single")</f>
        <v>Partnered</v>
      </c>
      <c r="F1948" s="7">
        <v>63211</v>
      </c>
      <c r="G1948" s="8">
        <v>0</v>
      </c>
      <c r="H1948" s="8">
        <v>0</v>
      </c>
      <c r="I1948" s="8">
        <f>Table1[[#This Row],[kids]]+Table1[[#This Row],[teens]]</f>
        <v>0</v>
      </c>
      <c r="J1948" s="9">
        <v>41215</v>
      </c>
      <c r="K1948" s="8">
        <v>3</v>
      </c>
      <c r="L1948" s="6">
        <v>145</v>
      </c>
      <c r="M1948" s="5">
        <v>193</v>
      </c>
      <c r="N1948" s="5">
        <v>459</v>
      </c>
      <c r="O1948" s="5">
        <v>205</v>
      </c>
      <c r="P1948" s="5">
        <v>26</v>
      </c>
      <c r="Q1948" s="5">
        <v>145</v>
      </c>
      <c r="R1948" s="8">
        <v>2</v>
      </c>
      <c r="S1948" s="8">
        <v>3</v>
      </c>
      <c r="T1948" s="8">
        <v>8</v>
      </c>
      <c r="U1948" s="8">
        <v>7</v>
      </c>
      <c r="V1948" s="8">
        <v>2</v>
      </c>
      <c r="W1948" t="s">
        <v>473</v>
      </c>
      <c r="X1948" t="s">
        <v>473</v>
      </c>
      <c r="Y1948" t="s">
        <v>473</v>
      </c>
      <c r="Z1948" t="s">
        <v>473</v>
      </c>
      <c r="AA1948" t="s">
        <v>473</v>
      </c>
      <c r="AB1948" t="s">
        <v>473</v>
      </c>
      <c r="AC1948" s="10">
        <v>3</v>
      </c>
      <c r="AD1948" s="10">
        <v>11</v>
      </c>
      <c r="AE1948" t="s">
        <v>474</v>
      </c>
    </row>
    <row r="1949" spans="1:31" x14ac:dyDescent="0.25">
      <c r="A1949">
        <v>2495</v>
      </c>
      <c r="B1949">
        <v>1974</v>
      </c>
      <c r="C1949" t="s">
        <v>36</v>
      </c>
      <c r="D1949" t="s">
        <v>34</v>
      </c>
      <c r="E1949" t="str">
        <f>IF(OR(Table1[[#This Row],[marital_status]]="Married", Table1[[#This Row],[marital_status]]="Together"), "Partnered", "Single")</f>
        <v>Partnered</v>
      </c>
      <c r="F1949" s="7">
        <v>83891</v>
      </c>
      <c r="G1949" s="8">
        <v>0</v>
      </c>
      <c r="H1949" s="8">
        <v>1</v>
      </c>
      <c r="I1949" s="8">
        <f>Table1[[#This Row],[kids]]+Table1[[#This Row],[teens]]</f>
        <v>1</v>
      </c>
      <c r="J1949" s="9">
        <v>41810</v>
      </c>
      <c r="K1949" s="8">
        <v>24</v>
      </c>
      <c r="L1949" s="6">
        <v>217</v>
      </c>
      <c r="M1949" s="5">
        <v>38</v>
      </c>
      <c r="N1949" s="5">
        <v>350</v>
      </c>
      <c r="O1949" s="5">
        <v>111</v>
      </c>
      <c r="P1949" s="5">
        <v>85</v>
      </c>
      <c r="Q1949" s="5">
        <v>15</v>
      </c>
      <c r="R1949" s="8">
        <v>1</v>
      </c>
      <c r="S1949" s="8">
        <v>4</v>
      </c>
      <c r="T1949" s="8">
        <v>7</v>
      </c>
      <c r="U1949" s="8">
        <v>10</v>
      </c>
      <c r="V1949" s="8">
        <v>1</v>
      </c>
      <c r="W1949" t="s">
        <v>473</v>
      </c>
      <c r="X1949" t="s">
        <v>473</v>
      </c>
      <c r="Y1949" t="s">
        <v>473</v>
      </c>
      <c r="Z1949" t="s">
        <v>473</v>
      </c>
      <c r="AA1949" t="s">
        <v>473</v>
      </c>
      <c r="AB1949" t="s">
        <v>473</v>
      </c>
      <c r="AC1949" s="10">
        <v>3</v>
      </c>
      <c r="AD1949" s="10">
        <v>11</v>
      </c>
      <c r="AE1949" t="s">
        <v>473</v>
      </c>
    </row>
    <row r="1950" spans="1:31" x14ac:dyDescent="0.25">
      <c r="A1950">
        <v>7842</v>
      </c>
      <c r="B1950">
        <v>1968</v>
      </c>
      <c r="C1950" t="s">
        <v>466</v>
      </c>
      <c r="D1950" t="s">
        <v>30</v>
      </c>
      <c r="E1950" t="str">
        <f>IF(OR(Table1[[#This Row],[marital_status]]="Married", Table1[[#This Row],[marital_status]]="Together"), "Partnered", "Single")</f>
        <v>Single</v>
      </c>
      <c r="F1950" s="7">
        <v>36065</v>
      </c>
      <c r="G1950" s="8">
        <v>1</v>
      </c>
      <c r="H1950" s="8">
        <v>1</v>
      </c>
      <c r="I1950" s="8">
        <f>Table1[[#This Row],[kids]]+Table1[[#This Row],[teens]]</f>
        <v>2</v>
      </c>
      <c r="J1950" s="9">
        <v>41364</v>
      </c>
      <c r="K1950" s="8">
        <v>54</v>
      </c>
      <c r="L1950" s="6">
        <v>18</v>
      </c>
      <c r="M1950" s="5">
        <v>7</v>
      </c>
      <c r="N1950" s="5">
        <v>34</v>
      </c>
      <c r="O1950" s="5">
        <v>10</v>
      </c>
      <c r="P1950" s="5">
        <v>2</v>
      </c>
      <c r="Q1950" s="5">
        <v>3</v>
      </c>
      <c r="R1950" s="8">
        <v>3</v>
      </c>
      <c r="S1950" s="8">
        <v>3</v>
      </c>
      <c r="T1950" s="8">
        <v>0</v>
      </c>
      <c r="U1950" s="8">
        <v>3</v>
      </c>
      <c r="V1950" s="8">
        <v>8</v>
      </c>
      <c r="W1950" t="s">
        <v>473</v>
      </c>
      <c r="X1950" t="s">
        <v>473</v>
      </c>
      <c r="Y1950" t="s">
        <v>473</v>
      </c>
      <c r="Z1950" t="s">
        <v>473</v>
      </c>
      <c r="AA1950" t="s">
        <v>473</v>
      </c>
      <c r="AB1950" t="s">
        <v>473</v>
      </c>
      <c r="AC1950" s="10">
        <v>3</v>
      </c>
      <c r="AD1950" s="10">
        <v>11</v>
      </c>
      <c r="AE1950" t="s">
        <v>473</v>
      </c>
    </row>
    <row r="1951" spans="1:31" x14ac:dyDescent="0.25">
      <c r="A1951">
        <v>9955</v>
      </c>
      <c r="B1951">
        <v>1954</v>
      </c>
      <c r="C1951" t="s">
        <v>466</v>
      </c>
      <c r="D1951" t="s">
        <v>31</v>
      </c>
      <c r="E1951" t="str">
        <f>IF(OR(Table1[[#This Row],[marital_status]]="Married", Table1[[#This Row],[marital_status]]="Together"), "Partnered", "Single")</f>
        <v>Partnered</v>
      </c>
      <c r="F1951" s="7">
        <v>39898</v>
      </c>
      <c r="G1951" s="8">
        <v>0</v>
      </c>
      <c r="H1951" s="8">
        <v>1</v>
      </c>
      <c r="I1951" s="8">
        <f>Table1[[#This Row],[kids]]+Table1[[#This Row],[teens]]</f>
        <v>1</v>
      </c>
      <c r="J1951" s="9">
        <v>41317</v>
      </c>
      <c r="K1951" s="8">
        <v>20</v>
      </c>
      <c r="L1951" s="6">
        <v>69</v>
      </c>
      <c r="M1951" s="5">
        <v>8</v>
      </c>
      <c r="N1951" s="5">
        <v>26</v>
      </c>
      <c r="O1951" s="5">
        <v>12</v>
      </c>
      <c r="P1951" s="5">
        <v>7</v>
      </c>
      <c r="Q1951" s="5">
        <v>12</v>
      </c>
      <c r="R1951" s="8">
        <v>2</v>
      </c>
      <c r="S1951" s="8">
        <v>3</v>
      </c>
      <c r="T1951" s="8">
        <v>0</v>
      </c>
      <c r="U1951" s="8">
        <v>4</v>
      </c>
      <c r="V1951" s="8">
        <v>7</v>
      </c>
      <c r="W1951" t="s">
        <v>473</v>
      </c>
      <c r="X1951" t="s">
        <v>473</v>
      </c>
      <c r="Y1951" t="s">
        <v>473</v>
      </c>
      <c r="Z1951" t="s">
        <v>473</v>
      </c>
      <c r="AA1951" t="s">
        <v>473</v>
      </c>
      <c r="AB1951" t="s">
        <v>473</v>
      </c>
      <c r="AC1951" s="10">
        <v>3</v>
      </c>
      <c r="AD1951" s="10">
        <v>11</v>
      </c>
      <c r="AE1951" t="s">
        <v>473</v>
      </c>
    </row>
    <row r="1952" spans="1:31" x14ac:dyDescent="0.25">
      <c r="A1952">
        <v>6663</v>
      </c>
      <c r="B1952">
        <v>1940</v>
      </c>
      <c r="C1952" t="s">
        <v>33</v>
      </c>
      <c r="D1952" t="s">
        <v>30</v>
      </c>
      <c r="E1952" t="str">
        <f>IF(OR(Table1[[#This Row],[marital_status]]="Married", Table1[[#This Row],[marital_status]]="Together"), "Partnered", "Single")</f>
        <v>Single</v>
      </c>
      <c r="F1952" s="7">
        <v>51141</v>
      </c>
      <c r="G1952" s="8">
        <v>0</v>
      </c>
      <c r="H1952" s="8">
        <v>0</v>
      </c>
      <c r="I1952" s="8">
        <f>Table1[[#This Row],[kids]]+Table1[[#This Row],[teens]]</f>
        <v>0</v>
      </c>
      <c r="J1952" s="9">
        <v>41463</v>
      </c>
      <c r="K1952" s="8">
        <v>96</v>
      </c>
      <c r="L1952" s="6">
        <v>144</v>
      </c>
      <c r="M1952" s="5">
        <v>0</v>
      </c>
      <c r="N1952" s="5">
        <v>7</v>
      </c>
      <c r="O1952" s="5">
        <v>0</v>
      </c>
      <c r="P1952" s="5">
        <v>0</v>
      </c>
      <c r="Q1952" s="5">
        <v>6</v>
      </c>
      <c r="R1952" s="8">
        <v>1</v>
      </c>
      <c r="S1952" s="8">
        <v>3</v>
      </c>
      <c r="T1952" s="8">
        <v>1</v>
      </c>
      <c r="U1952" s="8">
        <v>4</v>
      </c>
      <c r="V1952" s="8">
        <v>5</v>
      </c>
      <c r="W1952" t="s">
        <v>473</v>
      </c>
      <c r="X1952" t="s">
        <v>473</v>
      </c>
      <c r="Y1952" t="s">
        <v>473</v>
      </c>
      <c r="Z1952" t="s">
        <v>473</v>
      </c>
      <c r="AA1952" t="s">
        <v>473</v>
      </c>
      <c r="AB1952" t="s">
        <v>473</v>
      </c>
      <c r="AC1952" s="10">
        <v>3</v>
      </c>
      <c r="AD1952" s="10">
        <v>11</v>
      </c>
      <c r="AE1952" t="s">
        <v>473</v>
      </c>
    </row>
    <row r="1953" spans="1:31" x14ac:dyDescent="0.25">
      <c r="A1953">
        <v>2162</v>
      </c>
      <c r="B1953">
        <v>1976</v>
      </c>
      <c r="C1953" t="s">
        <v>466</v>
      </c>
      <c r="D1953" t="s">
        <v>34</v>
      </c>
      <c r="E1953" t="str">
        <f>IF(OR(Table1[[#This Row],[marital_status]]="Married", Table1[[#This Row],[marital_status]]="Together"), "Partnered", "Single")</f>
        <v>Partnered</v>
      </c>
      <c r="F1953" s="7">
        <v>56939</v>
      </c>
      <c r="G1953" s="8">
        <v>0</v>
      </c>
      <c r="H1953" s="8">
        <v>1</v>
      </c>
      <c r="I1953" s="8">
        <f>Table1[[#This Row],[kids]]+Table1[[#This Row],[teens]]</f>
        <v>1</v>
      </c>
      <c r="J1953" s="9">
        <v>41535</v>
      </c>
      <c r="K1953" s="8">
        <v>19</v>
      </c>
      <c r="L1953" s="6">
        <v>256</v>
      </c>
      <c r="M1953" s="5">
        <v>34</v>
      </c>
      <c r="N1953" s="5">
        <v>103</v>
      </c>
      <c r="O1953" s="5">
        <v>90</v>
      </c>
      <c r="P1953" s="5">
        <v>29</v>
      </c>
      <c r="Q1953" s="5">
        <v>49</v>
      </c>
      <c r="R1953" s="8">
        <v>2</v>
      </c>
      <c r="S1953" s="8">
        <v>3</v>
      </c>
      <c r="T1953" s="8">
        <v>3</v>
      </c>
      <c r="U1953" s="8">
        <v>10</v>
      </c>
      <c r="V1953" s="8">
        <v>3</v>
      </c>
      <c r="W1953" t="s">
        <v>473</v>
      </c>
      <c r="X1953" t="s">
        <v>473</v>
      </c>
      <c r="Y1953" t="s">
        <v>473</v>
      </c>
      <c r="Z1953" t="s">
        <v>473</v>
      </c>
      <c r="AA1953" t="s">
        <v>473</v>
      </c>
      <c r="AB1953" t="s">
        <v>473</v>
      </c>
      <c r="AC1953" s="10">
        <v>3</v>
      </c>
      <c r="AD1953" s="10">
        <v>11</v>
      </c>
      <c r="AE1953" t="s">
        <v>473</v>
      </c>
    </row>
    <row r="1954" spans="1:31" x14ac:dyDescent="0.25">
      <c r="A1954">
        <v>3434</v>
      </c>
      <c r="B1954">
        <v>1951</v>
      </c>
      <c r="C1954" t="s">
        <v>466</v>
      </c>
      <c r="D1954" t="s">
        <v>30</v>
      </c>
      <c r="E1954" t="str">
        <f>IF(OR(Table1[[#This Row],[marital_status]]="Married", Table1[[#This Row],[marital_status]]="Together"), "Partnered", "Single")</f>
        <v>Single</v>
      </c>
      <c r="F1954" s="7">
        <v>80872</v>
      </c>
      <c r="G1954" s="8">
        <v>0</v>
      </c>
      <c r="H1954" s="8">
        <v>0</v>
      </c>
      <c r="I1954" s="8">
        <f>Table1[[#This Row],[kids]]+Table1[[#This Row],[teens]]</f>
        <v>0</v>
      </c>
      <c r="J1954" s="9">
        <v>41771</v>
      </c>
      <c r="K1954" s="8">
        <v>60</v>
      </c>
      <c r="L1954" s="6">
        <v>483</v>
      </c>
      <c r="M1954" s="5">
        <v>72</v>
      </c>
      <c r="N1954" s="5">
        <v>567</v>
      </c>
      <c r="O1954" s="5">
        <v>94</v>
      </c>
      <c r="P1954" s="5">
        <v>12</v>
      </c>
      <c r="Q1954" s="5">
        <v>108</v>
      </c>
      <c r="R1954" s="8">
        <v>1</v>
      </c>
      <c r="S1954" s="8">
        <v>4</v>
      </c>
      <c r="T1954" s="8">
        <v>4</v>
      </c>
      <c r="U1954" s="8">
        <v>10</v>
      </c>
      <c r="V1954" s="8">
        <v>1</v>
      </c>
      <c r="W1954" t="s">
        <v>473</v>
      </c>
      <c r="X1954" t="s">
        <v>473</v>
      </c>
      <c r="Y1954" t="s">
        <v>473</v>
      </c>
      <c r="Z1954" t="s">
        <v>473</v>
      </c>
      <c r="AA1954" t="s">
        <v>473</v>
      </c>
      <c r="AB1954" t="s">
        <v>473</v>
      </c>
      <c r="AC1954" s="10">
        <v>3</v>
      </c>
      <c r="AD1954" s="10">
        <v>11</v>
      </c>
      <c r="AE1954" t="s">
        <v>473</v>
      </c>
    </row>
    <row r="1955" spans="1:31" x14ac:dyDescent="0.25">
      <c r="A1955">
        <v>7919</v>
      </c>
      <c r="B1955">
        <v>1976</v>
      </c>
      <c r="C1955" t="s">
        <v>33</v>
      </c>
      <c r="D1955" t="s">
        <v>31</v>
      </c>
      <c r="E1955" t="str">
        <f>IF(OR(Table1[[#This Row],[marital_status]]="Married", Table1[[#This Row],[marital_status]]="Together"), "Partnered", "Single")</f>
        <v>Partnered</v>
      </c>
      <c r="F1955" s="7">
        <v>72335</v>
      </c>
      <c r="G1955" s="8">
        <v>0</v>
      </c>
      <c r="H1955" s="8">
        <v>0</v>
      </c>
      <c r="I1955" s="8">
        <f>Table1[[#This Row],[kids]]+Table1[[#This Row],[teens]]</f>
        <v>0</v>
      </c>
      <c r="J1955" s="9">
        <v>41134</v>
      </c>
      <c r="K1955" s="8">
        <v>2</v>
      </c>
      <c r="L1955" s="6">
        <v>1285</v>
      </c>
      <c r="M1955" s="5">
        <v>105</v>
      </c>
      <c r="N1955" s="5">
        <v>653</v>
      </c>
      <c r="O1955" s="5">
        <v>28</v>
      </c>
      <c r="P1955" s="5">
        <v>21</v>
      </c>
      <c r="Q1955" s="5">
        <v>0</v>
      </c>
      <c r="R1955" s="8">
        <v>1</v>
      </c>
      <c r="S1955" s="8">
        <v>10</v>
      </c>
      <c r="T1955" s="8">
        <v>4</v>
      </c>
      <c r="U1955" s="8">
        <v>8</v>
      </c>
      <c r="V1955" s="8">
        <v>8</v>
      </c>
      <c r="W1955" t="s">
        <v>473</v>
      </c>
      <c r="X1955" t="s">
        <v>473</v>
      </c>
      <c r="Y1955" t="s">
        <v>473</v>
      </c>
      <c r="Z1955" t="s">
        <v>473</v>
      </c>
      <c r="AA1955" t="s">
        <v>473</v>
      </c>
      <c r="AB1955" t="s">
        <v>473</v>
      </c>
      <c r="AC1955" s="10">
        <v>3</v>
      </c>
      <c r="AD1955" s="10">
        <v>11</v>
      </c>
      <c r="AE1955" t="s">
        <v>474</v>
      </c>
    </row>
    <row r="1956" spans="1:31" x14ac:dyDescent="0.25">
      <c r="A1956">
        <v>5626</v>
      </c>
      <c r="B1956">
        <v>1964</v>
      </c>
      <c r="C1956" t="s">
        <v>33</v>
      </c>
      <c r="D1956" t="s">
        <v>30</v>
      </c>
      <c r="E1956" t="str">
        <f>IF(OR(Table1[[#This Row],[marital_status]]="Married", Table1[[#This Row],[marital_status]]="Together"), "Partnered", "Single")</f>
        <v>Single</v>
      </c>
      <c r="F1956" s="7">
        <v>61798</v>
      </c>
      <c r="G1956" s="8">
        <v>0</v>
      </c>
      <c r="H1956" s="8">
        <v>0</v>
      </c>
      <c r="I1956" s="8">
        <f>Table1[[#This Row],[kids]]+Table1[[#This Row],[teens]]</f>
        <v>0</v>
      </c>
      <c r="J1956" s="9">
        <v>41601</v>
      </c>
      <c r="K1956" s="8">
        <v>13</v>
      </c>
      <c r="L1956" s="6">
        <v>338</v>
      </c>
      <c r="M1956" s="5">
        <v>4</v>
      </c>
      <c r="N1956" s="5">
        <v>89</v>
      </c>
      <c r="O1956" s="5">
        <v>11</v>
      </c>
      <c r="P1956" s="5">
        <v>8</v>
      </c>
      <c r="Q1956" s="5">
        <v>13</v>
      </c>
      <c r="R1956" s="8">
        <v>1</v>
      </c>
      <c r="S1956" s="8">
        <v>4</v>
      </c>
      <c r="T1956" s="8">
        <v>2</v>
      </c>
      <c r="U1956" s="8">
        <v>9</v>
      </c>
      <c r="V1956" s="8">
        <v>4</v>
      </c>
      <c r="W1956" t="s">
        <v>473</v>
      </c>
      <c r="X1956" t="s">
        <v>473</v>
      </c>
      <c r="Y1956" t="s">
        <v>473</v>
      </c>
      <c r="Z1956" t="s">
        <v>473</v>
      </c>
      <c r="AA1956" t="s">
        <v>473</v>
      </c>
      <c r="AB1956" t="s">
        <v>473</v>
      </c>
      <c r="AC1956" s="10">
        <v>3</v>
      </c>
      <c r="AD1956" s="10">
        <v>11</v>
      </c>
      <c r="AE1956" t="s">
        <v>473</v>
      </c>
    </row>
    <row r="1957" spans="1:31" x14ac:dyDescent="0.25">
      <c r="A1957">
        <v>6428</v>
      </c>
      <c r="B1957">
        <v>1950</v>
      </c>
      <c r="C1957" t="s">
        <v>33</v>
      </c>
      <c r="D1957" t="s">
        <v>57</v>
      </c>
      <c r="E1957" t="str">
        <f>IF(OR(Table1[[#This Row],[marital_status]]="Married", Table1[[#This Row],[marital_status]]="Together"), "Partnered", "Single")</f>
        <v>Single</v>
      </c>
      <c r="F1957" s="7">
        <v>76842</v>
      </c>
      <c r="G1957" s="8">
        <v>0</v>
      </c>
      <c r="H1957" s="8">
        <v>0</v>
      </c>
      <c r="I1957" s="8">
        <f>Table1[[#This Row],[kids]]+Table1[[#This Row],[teens]]</f>
        <v>0</v>
      </c>
      <c r="J1957" s="9">
        <v>41762</v>
      </c>
      <c r="K1957" s="8">
        <v>37</v>
      </c>
      <c r="L1957" s="6">
        <v>605</v>
      </c>
      <c r="M1957" s="5">
        <v>10</v>
      </c>
      <c r="N1957" s="5">
        <v>345</v>
      </c>
      <c r="O1957" s="5">
        <v>84</v>
      </c>
      <c r="P1957" s="5">
        <v>54</v>
      </c>
      <c r="Q1957" s="5">
        <v>32</v>
      </c>
      <c r="R1957" s="8">
        <v>1</v>
      </c>
      <c r="S1957" s="8">
        <v>1</v>
      </c>
      <c r="T1957" s="8">
        <v>8</v>
      </c>
      <c r="U1957" s="8">
        <v>7</v>
      </c>
      <c r="V1957" s="8">
        <v>0</v>
      </c>
      <c r="W1957" t="s">
        <v>473</v>
      </c>
      <c r="X1957" t="s">
        <v>473</v>
      </c>
      <c r="Y1957" t="s">
        <v>473</v>
      </c>
      <c r="Z1957" t="s">
        <v>473</v>
      </c>
      <c r="AA1957" t="s">
        <v>473</v>
      </c>
      <c r="AB1957" t="s">
        <v>473</v>
      </c>
      <c r="AC1957" s="10">
        <v>3</v>
      </c>
      <c r="AD1957" s="10">
        <v>11</v>
      </c>
      <c r="AE1957" t="s">
        <v>473</v>
      </c>
    </row>
    <row r="1958" spans="1:31" x14ac:dyDescent="0.25">
      <c r="A1958">
        <v>8514</v>
      </c>
      <c r="B1958">
        <v>1976</v>
      </c>
      <c r="C1958" t="s">
        <v>466</v>
      </c>
      <c r="D1958" t="s">
        <v>31</v>
      </c>
      <c r="E1958" t="str">
        <f>IF(OR(Table1[[#This Row],[marital_status]]="Married", Table1[[#This Row],[marital_status]]="Together"), "Partnered", "Single")</f>
        <v>Partnered</v>
      </c>
      <c r="F1958" s="7">
        <v>29478</v>
      </c>
      <c r="G1958" s="8">
        <v>1</v>
      </c>
      <c r="H1958" s="8">
        <v>0</v>
      </c>
      <c r="I1958" s="8">
        <f>Table1[[#This Row],[kids]]+Table1[[#This Row],[teens]]</f>
        <v>1</v>
      </c>
      <c r="J1958" s="9">
        <v>41656</v>
      </c>
      <c r="K1958" s="8">
        <v>59</v>
      </c>
      <c r="L1958" s="6">
        <v>8</v>
      </c>
      <c r="M1958" s="5">
        <v>0</v>
      </c>
      <c r="N1958" s="5">
        <v>7</v>
      </c>
      <c r="O1958" s="5">
        <v>3</v>
      </c>
      <c r="P1958" s="5">
        <v>1</v>
      </c>
      <c r="Q1958" s="5">
        <v>1</v>
      </c>
      <c r="R1958" s="8">
        <v>1</v>
      </c>
      <c r="S1958" s="8">
        <v>1</v>
      </c>
      <c r="T1958" s="8">
        <v>0</v>
      </c>
      <c r="U1958" s="8">
        <v>3</v>
      </c>
      <c r="V1958" s="8">
        <v>6</v>
      </c>
      <c r="W1958" t="s">
        <v>473</v>
      </c>
      <c r="X1958" t="s">
        <v>473</v>
      </c>
      <c r="Y1958" t="s">
        <v>473</v>
      </c>
      <c r="Z1958" t="s">
        <v>473</v>
      </c>
      <c r="AA1958" t="s">
        <v>473</v>
      </c>
      <c r="AB1958" t="s">
        <v>473</v>
      </c>
      <c r="AC1958" s="10">
        <v>3</v>
      </c>
      <c r="AD1958" s="10">
        <v>11</v>
      </c>
      <c r="AE1958" t="s">
        <v>473</v>
      </c>
    </row>
    <row r="1959" spans="1:31" x14ac:dyDescent="0.25">
      <c r="A1959">
        <v>10448</v>
      </c>
      <c r="B1959">
        <v>1956</v>
      </c>
      <c r="C1959" t="s">
        <v>466</v>
      </c>
      <c r="D1959" t="s">
        <v>30</v>
      </c>
      <c r="E1959" t="str">
        <f>IF(OR(Table1[[#This Row],[marital_status]]="Married", Table1[[#This Row],[marital_status]]="Together"), "Partnered", "Single")</f>
        <v>Single</v>
      </c>
      <c r="F1959" s="7">
        <v>46998</v>
      </c>
      <c r="G1959" s="8">
        <v>0</v>
      </c>
      <c r="H1959" s="8">
        <v>1</v>
      </c>
      <c r="I1959" s="8">
        <f>Table1[[#This Row],[kids]]+Table1[[#This Row],[teens]]</f>
        <v>1</v>
      </c>
      <c r="J1959" s="9">
        <v>41204</v>
      </c>
      <c r="K1959" s="8">
        <v>55</v>
      </c>
      <c r="L1959" s="6">
        <v>172</v>
      </c>
      <c r="M1959" s="5">
        <v>41</v>
      </c>
      <c r="N1959" s="5">
        <v>86</v>
      </c>
      <c r="O1959" s="5">
        <v>45</v>
      </c>
      <c r="P1959" s="5">
        <v>6</v>
      </c>
      <c r="Q1959" s="5">
        <v>27</v>
      </c>
      <c r="R1959" s="8">
        <v>5</v>
      </c>
      <c r="S1959" s="8">
        <v>5</v>
      </c>
      <c r="T1959" s="8">
        <v>3</v>
      </c>
      <c r="U1959" s="8">
        <v>5</v>
      </c>
      <c r="V1959" s="8">
        <v>7</v>
      </c>
      <c r="W1959" t="s">
        <v>474</v>
      </c>
      <c r="X1959" t="s">
        <v>473</v>
      </c>
      <c r="Y1959" t="s">
        <v>473</v>
      </c>
      <c r="Z1959" t="s">
        <v>473</v>
      </c>
      <c r="AA1959" t="s">
        <v>473</v>
      </c>
      <c r="AB1959" t="s">
        <v>473</v>
      </c>
      <c r="AC1959" s="10">
        <v>3</v>
      </c>
      <c r="AD1959" s="10">
        <v>11</v>
      </c>
      <c r="AE1959" t="s">
        <v>473</v>
      </c>
    </row>
    <row r="1960" spans="1:31" x14ac:dyDescent="0.25">
      <c r="A1960">
        <v>2109</v>
      </c>
      <c r="B1960">
        <v>1990</v>
      </c>
      <c r="C1960" t="s">
        <v>466</v>
      </c>
      <c r="D1960" t="s">
        <v>30</v>
      </c>
      <c r="E1960" t="str">
        <f>IF(OR(Table1[[#This Row],[marital_status]]="Married", Table1[[#This Row],[marital_status]]="Together"), "Partnered", "Single")</f>
        <v>Single</v>
      </c>
      <c r="F1960" s="7">
        <v>96843</v>
      </c>
      <c r="G1960" s="8">
        <v>0</v>
      </c>
      <c r="H1960" s="8">
        <v>0</v>
      </c>
      <c r="I1960" s="8">
        <f>Table1[[#This Row],[kids]]+Table1[[#This Row],[teens]]</f>
        <v>0</v>
      </c>
      <c r="J1960" s="9">
        <v>41387</v>
      </c>
      <c r="K1960" s="8">
        <v>60</v>
      </c>
      <c r="L1960" s="6">
        <v>448</v>
      </c>
      <c r="M1960" s="5">
        <v>71</v>
      </c>
      <c r="N1960" s="5">
        <v>951</v>
      </c>
      <c r="O1960" s="5">
        <v>40</v>
      </c>
      <c r="P1960" s="5">
        <v>17</v>
      </c>
      <c r="Q1960" s="5">
        <v>17</v>
      </c>
      <c r="R1960" s="8">
        <v>1</v>
      </c>
      <c r="S1960" s="8">
        <v>6</v>
      </c>
      <c r="T1960" s="8">
        <v>11</v>
      </c>
      <c r="U1960" s="8">
        <v>10</v>
      </c>
      <c r="V1960" s="8">
        <v>2</v>
      </c>
      <c r="W1960" t="s">
        <v>473</v>
      </c>
      <c r="X1960" t="s">
        <v>473</v>
      </c>
      <c r="Y1960" t="s">
        <v>474</v>
      </c>
      <c r="Z1960" t="s">
        <v>473</v>
      </c>
      <c r="AA1960" t="s">
        <v>473</v>
      </c>
      <c r="AB1960" t="s">
        <v>473</v>
      </c>
      <c r="AC1960" s="10">
        <v>3</v>
      </c>
      <c r="AD1960" s="10">
        <v>11</v>
      </c>
      <c r="AE1960" t="s">
        <v>474</v>
      </c>
    </row>
    <row r="1961" spans="1:31" x14ac:dyDescent="0.25">
      <c r="A1961">
        <v>7530</v>
      </c>
      <c r="B1961">
        <v>1950</v>
      </c>
      <c r="C1961" t="s">
        <v>33</v>
      </c>
      <c r="D1961" t="s">
        <v>57</v>
      </c>
      <c r="E1961" t="str">
        <f>IF(OR(Table1[[#This Row],[marital_status]]="Married", Table1[[#This Row],[marital_status]]="Together"), "Partnered", "Single")</f>
        <v>Single</v>
      </c>
      <c r="F1961" s="7">
        <v>56551</v>
      </c>
      <c r="G1961" s="8">
        <v>1</v>
      </c>
      <c r="H1961" s="8">
        <v>1</v>
      </c>
      <c r="I1961" s="8">
        <f>Table1[[#This Row],[kids]]+Table1[[#This Row],[teens]]</f>
        <v>2</v>
      </c>
      <c r="J1961" s="9">
        <v>41766</v>
      </c>
      <c r="K1961" s="8">
        <v>48</v>
      </c>
      <c r="L1961" s="6">
        <v>67</v>
      </c>
      <c r="M1961" s="5">
        <v>4</v>
      </c>
      <c r="N1961" s="5">
        <v>32</v>
      </c>
      <c r="O1961" s="5">
        <v>17</v>
      </c>
      <c r="P1961" s="5">
        <v>2</v>
      </c>
      <c r="Q1961" s="5">
        <v>16</v>
      </c>
      <c r="R1961" s="8">
        <v>3</v>
      </c>
      <c r="S1961" s="8">
        <v>2</v>
      </c>
      <c r="T1961" s="8">
        <v>1</v>
      </c>
      <c r="U1961" s="8">
        <v>4</v>
      </c>
      <c r="V1961" s="8">
        <v>4</v>
      </c>
      <c r="W1961" t="s">
        <v>473</v>
      </c>
      <c r="X1961" t="s">
        <v>473</v>
      </c>
      <c r="Y1961" t="s">
        <v>473</v>
      </c>
      <c r="Z1961" t="s">
        <v>473</v>
      </c>
      <c r="AA1961" t="s">
        <v>473</v>
      </c>
      <c r="AB1961" t="s">
        <v>473</v>
      </c>
      <c r="AC1961" s="10">
        <v>3</v>
      </c>
      <c r="AD1961" s="10">
        <v>11</v>
      </c>
      <c r="AE1961" t="s">
        <v>473</v>
      </c>
    </row>
    <row r="1962" spans="1:31" x14ac:dyDescent="0.25">
      <c r="A1962">
        <v>8925</v>
      </c>
      <c r="B1962">
        <v>1965</v>
      </c>
      <c r="C1962" t="s">
        <v>36</v>
      </c>
      <c r="D1962" t="s">
        <v>34</v>
      </c>
      <c r="E1962" t="str">
        <f>IF(OR(Table1[[#This Row],[marital_status]]="Married", Table1[[#This Row],[marital_status]]="Together"), "Partnered", "Single")</f>
        <v>Partnered</v>
      </c>
      <c r="F1962" s="7">
        <v>70053</v>
      </c>
      <c r="G1962" s="8">
        <v>0</v>
      </c>
      <c r="H1962" s="8">
        <v>1</v>
      </c>
      <c r="I1962" s="8">
        <f>Table1[[#This Row],[kids]]+Table1[[#This Row],[teens]]</f>
        <v>1</v>
      </c>
      <c r="J1962" s="9">
        <v>41458</v>
      </c>
      <c r="K1962" s="8">
        <v>38</v>
      </c>
      <c r="L1962" s="6">
        <v>512</v>
      </c>
      <c r="M1962" s="5">
        <v>53</v>
      </c>
      <c r="N1962" s="5">
        <v>98</v>
      </c>
      <c r="O1962" s="5">
        <v>81</v>
      </c>
      <c r="P1962" s="5">
        <v>179</v>
      </c>
      <c r="Q1962" s="5">
        <v>89</v>
      </c>
      <c r="R1962" s="8">
        <v>3</v>
      </c>
      <c r="S1962" s="8">
        <v>8</v>
      </c>
      <c r="T1962" s="8">
        <v>5</v>
      </c>
      <c r="U1962" s="8">
        <v>10</v>
      </c>
      <c r="V1962" s="8">
        <v>5</v>
      </c>
      <c r="W1962" t="s">
        <v>473</v>
      </c>
      <c r="X1962" t="s">
        <v>473</v>
      </c>
      <c r="Y1962" t="s">
        <v>473</v>
      </c>
      <c r="Z1962" t="s">
        <v>473</v>
      </c>
      <c r="AA1962" t="s">
        <v>473</v>
      </c>
      <c r="AB1962" t="s">
        <v>473</v>
      </c>
      <c r="AC1962" s="10">
        <v>3</v>
      </c>
      <c r="AD1962" s="10">
        <v>11</v>
      </c>
      <c r="AE1962" t="s">
        <v>473</v>
      </c>
    </row>
    <row r="1963" spans="1:31" x14ac:dyDescent="0.25">
      <c r="A1963">
        <v>3009</v>
      </c>
      <c r="B1963">
        <v>1962</v>
      </c>
      <c r="C1963" t="s">
        <v>33</v>
      </c>
      <c r="D1963" t="s">
        <v>57</v>
      </c>
      <c r="E1963" t="str">
        <f>IF(OR(Table1[[#This Row],[marital_status]]="Married", Table1[[#This Row],[marital_status]]="Together"), "Partnered", "Single")</f>
        <v>Single</v>
      </c>
      <c r="F1963" s="7">
        <v>71670</v>
      </c>
      <c r="G1963" s="8">
        <v>0</v>
      </c>
      <c r="H1963" s="8">
        <v>0</v>
      </c>
      <c r="I1963" s="8">
        <f>Table1[[#This Row],[kids]]+Table1[[#This Row],[teens]]</f>
        <v>0</v>
      </c>
      <c r="J1963" s="9">
        <v>41464</v>
      </c>
      <c r="K1963" s="8">
        <v>8</v>
      </c>
      <c r="L1963" s="6">
        <v>1462</v>
      </c>
      <c r="M1963" s="5">
        <v>16</v>
      </c>
      <c r="N1963" s="5">
        <v>128</v>
      </c>
      <c r="O1963" s="5">
        <v>0</v>
      </c>
      <c r="P1963" s="5">
        <v>0</v>
      </c>
      <c r="Q1963" s="5">
        <v>160</v>
      </c>
      <c r="R1963" s="8">
        <v>1</v>
      </c>
      <c r="S1963" s="8">
        <v>5</v>
      </c>
      <c r="T1963" s="8">
        <v>3</v>
      </c>
      <c r="U1963" s="8">
        <v>6</v>
      </c>
      <c r="V1963" s="8">
        <v>6</v>
      </c>
      <c r="W1963" t="s">
        <v>473</v>
      </c>
      <c r="X1963" t="s">
        <v>474</v>
      </c>
      <c r="Y1963" t="s">
        <v>474</v>
      </c>
      <c r="Z1963" t="s">
        <v>473</v>
      </c>
      <c r="AA1963" t="s">
        <v>474</v>
      </c>
      <c r="AB1963" t="s">
        <v>473</v>
      </c>
      <c r="AC1963" s="10">
        <v>3</v>
      </c>
      <c r="AD1963" s="10">
        <v>11</v>
      </c>
      <c r="AE1963" t="s">
        <v>474</v>
      </c>
    </row>
    <row r="1964" spans="1:31" x14ac:dyDescent="0.25">
      <c r="A1964">
        <v>6355</v>
      </c>
      <c r="B1964">
        <v>1978</v>
      </c>
      <c r="C1964" t="s">
        <v>466</v>
      </c>
      <c r="D1964" t="s">
        <v>34</v>
      </c>
      <c r="E1964" t="str">
        <f>IF(OR(Table1[[#This Row],[marital_status]]="Married", Table1[[#This Row],[marital_status]]="Together"), "Partnered", "Single")</f>
        <v>Partnered</v>
      </c>
      <c r="F1964" s="7">
        <v>44359</v>
      </c>
      <c r="G1964" s="8">
        <v>1</v>
      </c>
      <c r="H1964" s="8">
        <v>1</v>
      </c>
      <c r="I1964" s="8">
        <f>Table1[[#This Row],[kids]]+Table1[[#This Row],[teens]]</f>
        <v>2</v>
      </c>
      <c r="J1964" s="9">
        <v>41807</v>
      </c>
      <c r="K1964" s="8">
        <v>19</v>
      </c>
      <c r="L1964" s="6">
        <v>20</v>
      </c>
      <c r="M1964" s="5">
        <v>0</v>
      </c>
      <c r="N1964" s="5">
        <v>14</v>
      </c>
      <c r="O1964" s="5">
        <v>7</v>
      </c>
      <c r="P1964" s="5">
        <v>3</v>
      </c>
      <c r="Q1964" s="5">
        <v>1</v>
      </c>
      <c r="R1964" s="8">
        <v>3</v>
      </c>
      <c r="S1964" s="8">
        <v>2</v>
      </c>
      <c r="T1964" s="8">
        <v>0</v>
      </c>
      <c r="U1964" s="8">
        <v>4</v>
      </c>
      <c r="V1964" s="8">
        <v>3</v>
      </c>
      <c r="W1964" t="s">
        <v>473</v>
      </c>
      <c r="X1964" t="s">
        <v>473</v>
      </c>
      <c r="Y1964" t="s">
        <v>473</v>
      </c>
      <c r="Z1964" t="s">
        <v>473</v>
      </c>
      <c r="AA1964" t="s">
        <v>473</v>
      </c>
      <c r="AB1964" t="s">
        <v>473</v>
      </c>
      <c r="AC1964" s="10">
        <v>3</v>
      </c>
      <c r="AD1964" s="10">
        <v>11</v>
      </c>
      <c r="AE1964" t="s">
        <v>473</v>
      </c>
    </row>
    <row r="1965" spans="1:31" x14ac:dyDescent="0.25">
      <c r="A1965">
        <v>3517</v>
      </c>
      <c r="B1965">
        <v>1952</v>
      </c>
      <c r="C1965" t="s">
        <v>466</v>
      </c>
      <c r="D1965" t="s">
        <v>30</v>
      </c>
      <c r="E1965" t="str">
        <f>IF(OR(Table1[[#This Row],[marital_status]]="Married", Table1[[#This Row],[marital_status]]="Together"), "Partnered", "Single")</f>
        <v>Single</v>
      </c>
      <c r="F1965" s="7">
        <v>40887</v>
      </c>
      <c r="G1965" s="8">
        <v>1</v>
      </c>
      <c r="H1965" s="8">
        <v>1</v>
      </c>
      <c r="I1965" s="8">
        <f>Table1[[#This Row],[kids]]+Table1[[#This Row],[teens]]</f>
        <v>2</v>
      </c>
      <c r="J1965" s="9">
        <v>41400</v>
      </c>
      <c r="K1965" s="8">
        <v>32</v>
      </c>
      <c r="L1965" s="6">
        <v>50</v>
      </c>
      <c r="M1965" s="5">
        <v>4</v>
      </c>
      <c r="N1965" s="5">
        <v>44</v>
      </c>
      <c r="O1965" s="5">
        <v>10</v>
      </c>
      <c r="P1965" s="5">
        <v>10</v>
      </c>
      <c r="Q1965" s="5">
        <v>43</v>
      </c>
      <c r="R1965" s="8">
        <v>3</v>
      </c>
      <c r="S1965" s="8">
        <v>3</v>
      </c>
      <c r="T1965" s="8">
        <v>1</v>
      </c>
      <c r="U1965" s="8">
        <v>3</v>
      </c>
      <c r="V1965" s="8">
        <v>9</v>
      </c>
      <c r="W1965" t="s">
        <v>473</v>
      </c>
      <c r="X1965" t="s">
        <v>473</v>
      </c>
      <c r="Y1965" t="s">
        <v>473</v>
      </c>
      <c r="Z1965" t="s">
        <v>473</v>
      </c>
      <c r="AA1965" t="s">
        <v>473</v>
      </c>
      <c r="AB1965" t="s">
        <v>473</v>
      </c>
      <c r="AC1965" s="10">
        <v>3</v>
      </c>
      <c r="AD1965" s="10">
        <v>11</v>
      </c>
      <c r="AE1965" t="s">
        <v>474</v>
      </c>
    </row>
    <row r="1966" spans="1:31" x14ac:dyDescent="0.25">
      <c r="A1966">
        <v>1158</v>
      </c>
      <c r="B1966">
        <v>1966</v>
      </c>
      <c r="C1966" t="s">
        <v>466</v>
      </c>
      <c r="D1966" t="s">
        <v>37</v>
      </c>
      <c r="E1966" t="str">
        <f>IF(OR(Table1[[#This Row],[marital_status]]="Married", Table1[[#This Row],[marital_status]]="Together"), "Partnered", "Single")</f>
        <v>Single</v>
      </c>
      <c r="F1966" s="7">
        <v>48877</v>
      </c>
      <c r="G1966" s="8">
        <v>0</v>
      </c>
      <c r="H1966" s="8">
        <v>1</v>
      </c>
      <c r="I1966" s="8">
        <f>Table1[[#This Row],[kids]]+Table1[[#This Row],[teens]]</f>
        <v>1</v>
      </c>
      <c r="J1966" s="9">
        <v>41644</v>
      </c>
      <c r="K1966" s="8">
        <v>27</v>
      </c>
      <c r="L1966" s="6">
        <v>102</v>
      </c>
      <c r="M1966" s="5">
        <v>1</v>
      </c>
      <c r="N1966" s="5">
        <v>15</v>
      </c>
      <c r="O1966" s="5">
        <v>2</v>
      </c>
      <c r="P1966" s="5">
        <v>0</v>
      </c>
      <c r="Q1966" s="5">
        <v>24</v>
      </c>
      <c r="R1966" s="8">
        <v>1</v>
      </c>
      <c r="S1966" s="8">
        <v>3</v>
      </c>
      <c r="T1966" s="8">
        <v>0</v>
      </c>
      <c r="U1966" s="8">
        <v>4</v>
      </c>
      <c r="V1966" s="8">
        <v>7</v>
      </c>
      <c r="W1966" t="s">
        <v>473</v>
      </c>
      <c r="X1966" t="s">
        <v>473</v>
      </c>
      <c r="Y1966" t="s">
        <v>473</v>
      </c>
      <c r="Z1966" t="s">
        <v>473</v>
      </c>
      <c r="AA1966" t="s">
        <v>473</v>
      </c>
      <c r="AB1966" t="s">
        <v>473</v>
      </c>
      <c r="AC1966" s="10">
        <v>3</v>
      </c>
      <c r="AD1966" s="10">
        <v>11</v>
      </c>
      <c r="AE1966" t="s">
        <v>473</v>
      </c>
    </row>
    <row r="1967" spans="1:31" x14ac:dyDescent="0.25">
      <c r="A1967">
        <v>6203</v>
      </c>
      <c r="B1967">
        <v>1947</v>
      </c>
      <c r="C1967" t="s">
        <v>466</v>
      </c>
      <c r="D1967" t="s">
        <v>31</v>
      </c>
      <c r="E1967" t="str">
        <f>IF(OR(Table1[[#This Row],[marital_status]]="Married", Table1[[#This Row],[marital_status]]="Together"), "Partnered", "Single")</f>
        <v>Partnered</v>
      </c>
      <c r="F1967" s="7">
        <v>74485</v>
      </c>
      <c r="G1967" s="8">
        <v>0</v>
      </c>
      <c r="H1967" s="8">
        <v>0</v>
      </c>
      <c r="I1967" s="8">
        <f>Table1[[#This Row],[kids]]+Table1[[#This Row],[teens]]</f>
        <v>0</v>
      </c>
      <c r="J1967" s="9">
        <v>41510</v>
      </c>
      <c r="K1967" s="8">
        <v>58</v>
      </c>
      <c r="L1967" s="6">
        <v>499</v>
      </c>
      <c r="M1967" s="5">
        <v>149</v>
      </c>
      <c r="N1967" s="5">
        <v>815</v>
      </c>
      <c r="O1967" s="5">
        <v>173</v>
      </c>
      <c r="P1967" s="5">
        <v>49</v>
      </c>
      <c r="Q1967" s="5">
        <v>49</v>
      </c>
      <c r="R1967" s="8">
        <v>1</v>
      </c>
      <c r="S1967" s="8">
        <v>6</v>
      </c>
      <c r="T1967" s="8">
        <v>7</v>
      </c>
      <c r="U1967" s="8">
        <v>12</v>
      </c>
      <c r="V1967" s="8">
        <v>3</v>
      </c>
      <c r="W1967" t="s">
        <v>473</v>
      </c>
      <c r="X1967" t="s">
        <v>473</v>
      </c>
      <c r="Y1967" t="s">
        <v>473</v>
      </c>
      <c r="Z1967" t="s">
        <v>473</v>
      </c>
      <c r="AA1967" t="s">
        <v>473</v>
      </c>
      <c r="AB1967" t="s">
        <v>473</v>
      </c>
      <c r="AC1967" s="10">
        <v>3</v>
      </c>
      <c r="AD1967" s="10">
        <v>11</v>
      </c>
      <c r="AE1967" t="s">
        <v>473</v>
      </c>
    </row>
    <row r="1968" spans="1:31" x14ac:dyDescent="0.25">
      <c r="A1968">
        <v>7165</v>
      </c>
      <c r="B1968">
        <v>1972</v>
      </c>
      <c r="C1968" t="s">
        <v>466</v>
      </c>
      <c r="D1968" t="s">
        <v>31</v>
      </c>
      <c r="E1968" t="str">
        <f>IF(OR(Table1[[#This Row],[marital_status]]="Married", Table1[[#This Row],[marital_status]]="Together"), "Partnered", "Single")</f>
        <v>Partnered</v>
      </c>
      <c r="F1968" s="7">
        <v>64474</v>
      </c>
      <c r="G1968" s="8">
        <v>0</v>
      </c>
      <c r="H1968" s="8">
        <v>1</v>
      </c>
      <c r="I1968" s="8">
        <f>Table1[[#This Row],[kids]]+Table1[[#This Row],[teens]]</f>
        <v>1</v>
      </c>
      <c r="J1968" s="9">
        <v>41569</v>
      </c>
      <c r="K1968" s="8">
        <v>59</v>
      </c>
      <c r="L1968" s="6">
        <v>381</v>
      </c>
      <c r="M1968" s="5">
        <v>35</v>
      </c>
      <c r="N1968" s="5">
        <v>172</v>
      </c>
      <c r="O1968" s="5">
        <v>56</v>
      </c>
      <c r="P1968" s="5">
        <v>86</v>
      </c>
      <c r="Q1968" s="5">
        <v>93</v>
      </c>
      <c r="R1968" s="8">
        <v>2</v>
      </c>
      <c r="S1968" s="8">
        <v>8</v>
      </c>
      <c r="T1968" s="8">
        <v>2</v>
      </c>
      <c r="U1968" s="8">
        <v>10</v>
      </c>
      <c r="V1968" s="8">
        <v>5</v>
      </c>
      <c r="W1968" t="s">
        <v>473</v>
      </c>
      <c r="X1968" t="s">
        <v>473</v>
      </c>
      <c r="Y1968" t="s">
        <v>473</v>
      </c>
      <c r="Z1968" t="s">
        <v>473</v>
      </c>
      <c r="AA1968" t="s">
        <v>473</v>
      </c>
      <c r="AB1968" t="s">
        <v>473</v>
      </c>
      <c r="AC1968" s="10">
        <v>3</v>
      </c>
      <c r="AD1968" s="10">
        <v>11</v>
      </c>
      <c r="AE1968" t="s">
        <v>473</v>
      </c>
    </row>
    <row r="1969" spans="1:31" x14ac:dyDescent="0.25">
      <c r="A1969">
        <v>3595</v>
      </c>
      <c r="B1969">
        <v>1963</v>
      </c>
      <c r="C1969" t="s">
        <v>466</v>
      </c>
      <c r="D1969" t="s">
        <v>31</v>
      </c>
      <c r="E1969" t="str">
        <f>IF(OR(Table1[[#This Row],[marital_status]]="Married", Table1[[#This Row],[marital_status]]="Together"), "Partnered", "Single")</f>
        <v>Partnered</v>
      </c>
      <c r="F1969" s="7">
        <v>77226</v>
      </c>
      <c r="G1969" s="8">
        <v>0</v>
      </c>
      <c r="H1969" s="8">
        <v>1</v>
      </c>
      <c r="I1969" s="8">
        <f>Table1[[#This Row],[kids]]+Table1[[#This Row],[teens]]</f>
        <v>1</v>
      </c>
      <c r="J1969" s="9">
        <v>41698</v>
      </c>
      <c r="K1969" s="8">
        <v>29</v>
      </c>
      <c r="L1969" s="6">
        <v>631</v>
      </c>
      <c r="M1969" s="5">
        <v>43</v>
      </c>
      <c r="N1969" s="5">
        <v>239</v>
      </c>
      <c r="O1969" s="5">
        <v>128</v>
      </c>
      <c r="P1969" s="5">
        <v>76</v>
      </c>
      <c r="Q1969" s="5">
        <v>21</v>
      </c>
      <c r="R1969" s="8">
        <v>2</v>
      </c>
      <c r="S1969" s="8">
        <v>6</v>
      </c>
      <c r="T1969" s="8">
        <v>8</v>
      </c>
      <c r="U1969" s="8">
        <v>12</v>
      </c>
      <c r="V1969" s="8">
        <v>3</v>
      </c>
      <c r="W1969" t="s">
        <v>473</v>
      </c>
      <c r="X1969" t="s">
        <v>473</v>
      </c>
      <c r="Y1969" t="s">
        <v>473</v>
      </c>
      <c r="Z1969" t="s">
        <v>473</v>
      </c>
      <c r="AA1969" t="s">
        <v>473</v>
      </c>
      <c r="AB1969" t="s">
        <v>473</v>
      </c>
      <c r="AC1969" s="10">
        <v>3</v>
      </c>
      <c r="AD1969" s="10">
        <v>11</v>
      </c>
      <c r="AE1969" t="s">
        <v>473</v>
      </c>
    </row>
    <row r="1970" spans="1:31" x14ac:dyDescent="0.25">
      <c r="A1970">
        <v>8537</v>
      </c>
      <c r="B1970">
        <v>1949</v>
      </c>
      <c r="C1970" t="s">
        <v>466</v>
      </c>
      <c r="D1970" t="s">
        <v>57</v>
      </c>
      <c r="E1970" t="str">
        <f>IF(OR(Table1[[#This Row],[marital_status]]="Married", Table1[[#This Row],[marital_status]]="Together"), "Partnered", "Single")</f>
        <v>Single</v>
      </c>
      <c r="F1970" s="7">
        <v>72643</v>
      </c>
      <c r="G1970" s="8">
        <v>0</v>
      </c>
      <c r="H1970" s="8">
        <v>0</v>
      </c>
      <c r="I1970" s="8">
        <f>Table1[[#This Row],[kids]]+Table1[[#This Row],[teens]]</f>
        <v>0</v>
      </c>
      <c r="J1970" s="9">
        <v>41332</v>
      </c>
      <c r="K1970" s="8">
        <v>60</v>
      </c>
      <c r="L1970" s="6">
        <v>526</v>
      </c>
      <c r="M1970" s="5">
        <v>80</v>
      </c>
      <c r="N1970" s="5">
        <v>553</v>
      </c>
      <c r="O1970" s="5">
        <v>123</v>
      </c>
      <c r="P1970" s="5">
        <v>94</v>
      </c>
      <c r="Q1970" s="5">
        <v>53</v>
      </c>
      <c r="R1970" s="8">
        <v>1</v>
      </c>
      <c r="S1970" s="8">
        <v>3</v>
      </c>
      <c r="T1970" s="8">
        <v>10</v>
      </c>
      <c r="U1970" s="8">
        <v>7</v>
      </c>
      <c r="V1970" s="8">
        <v>2</v>
      </c>
      <c r="W1970" t="s">
        <v>473</v>
      </c>
      <c r="X1970" t="s">
        <v>473</v>
      </c>
      <c r="Y1970" t="s">
        <v>473</v>
      </c>
      <c r="Z1970" t="s">
        <v>474</v>
      </c>
      <c r="AA1970" t="s">
        <v>473</v>
      </c>
      <c r="AB1970" t="s">
        <v>473</v>
      </c>
      <c r="AC1970" s="10">
        <v>3</v>
      </c>
      <c r="AD1970" s="10">
        <v>11</v>
      </c>
      <c r="AE1970" t="s">
        <v>474</v>
      </c>
    </row>
    <row r="1971" spans="1:31" x14ac:dyDescent="0.25">
      <c r="A1971">
        <v>4331</v>
      </c>
      <c r="B1971">
        <v>1978</v>
      </c>
      <c r="C1971" t="s">
        <v>36</v>
      </c>
      <c r="D1971" t="s">
        <v>31</v>
      </c>
      <c r="E1971" t="str">
        <f>IF(OR(Table1[[#This Row],[marital_status]]="Married", Table1[[#This Row],[marital_status]]="Together"), "Partnered", "Single")</f>
        <v>Partnered</v>
      </c>
      <c r="F1971" s="7">
        <v>85738</v>
      </c>
      <c r="G1971" s="8">
        <v>0</v>
      </c>
      <c r="H1971" s="8">
        <v>0</v>
      </c>
      <c r="I1971" s="8">
        <f>Table1[[#This Row],[kids]]+Table1[[#This Row],[teens]]</f>
        <v>0</v>
      </c>
      <c r="J1971" s="9">
        <v>41662</v>
      </c>
      <c r="K1971" s="8">
        <v>41</v>
      </c>
      <c r="L1971" s="6">
        <v>913</v>
      </c>
      <c r="M1971" s="5">
        <v>26</v>
      </c>
      <c r="N1971" s="5">
        <v>376</v>
      </c>
      <c r="O1971" s="5">
        <v>17</v>
      </c>
      <c r="P1971" s="5">
        <v>26</v>
      </c>
      <c r="Q1971" s="5">
        <v>13</v>
      </c>
      <c r="R1971" s="8">
        <v>1</v>
      </c>
      <c r="S1971" s="8">
        <v>3</v>
      </c>
      <c r="T1971" s="8">
        <v>6</v>
      </c>
      <c r="U1971" s="8">
        <v>11</v>
      </c>
      <c r="V1971" s="8">
        <v>1</v>
      </c>
      <c r="W1971" t="s">
        <v>473</v>
      </c>
      <c r="X1971" t="s">
        <v>474</v>
      </c>
      <c r="Y1971" t="s">
        <v>474</v>
      </c>
      <c r="Z1971" t="s">
        <v>473</v>
      </c>
      <c r="AA1971" t="s">
        <v>473</v>
      </c>
      <c r="AB1971" t="s">
        <v>473</v>
      </c>
      <c r="AC1971" s="10">
        <v>3</v>
      </c>
      <c r="AD1971" s="10">
        <v>11</v>
      </c>
      <c r="AE1971" t="s">
        <v>473</v>
      </c>
    </row>
    <row r="1972" spans="1:31" x14ac:dyDescent="0.25">
      <c r="A1972">
        <v>6281</v>
      </c>
      <c r="B1972">
        <v>1966</v>
      </c>
      <c r="C1972" t="s">
        <v>466</v>
      </c>
      <c r="D1972" t="s">
        <v>37</v>
      </c>
      <c r="E1972" t="str">
        <f>IF(OR(Table1[[#This Row],[marital_status]]="Married", Table1[[#This Row],[marital_status]]="Together"), "Partnered", "Single")</f>
        <v>Single</v>
      </c>
      <c r="F1972" s="7">
        <v>55686</v>
      </c>
      <c r="G1972" s="8">
        <v>0</v>
      </c>
      <c r="H1972" s="8">
        <v>1</v>
      </c>
      <c r="I1972" s="8">
        <f>Table1[[#This Row],[kids]]+Table1[[#This Row],[teens]]</f>
        <v>1</v>
      </c>
      <c r="J1972" s="9">
        <v>41319</v>
      </c>
      <c r="K1972" s="8">
        <v>27</v>
      </c>
      <c r="L1972" s="6">
        <v>673</v>
      </c>
      <c r="M1972" s="5">
        <v>0</v>
      </c>
      <c r="N1972" s="5">
        <v>199</v>
      </c>
      <c r="O1972" s="5">
        <v>37</v>
      </c>
      <c r="P1972" s="5">
        <v>47</v>
      </c>
      <c r="Q1972" s="5">
        <v>26</v>
      </c>
      <c r="R1972" s="8">
        <v>2</v>
      </c>
      <c r="S1972" s="8">
        <v>6</v>
      </c>
      <c r="T1972" s="8">
        <v>3</v>
      </c>
      <c r="U1972" s="8">
        <v>5</v>
      </c>
      <c r="V1972" s="8">
        <v>4</v>
      </c>
      <c r="W1972" t="s">
        <v>474</v>
      </c>
      <c r="X1972" t="s">
        <v>473</v>
      </c>
      <c r="Y1972" t="s">
        <v>473</v>
      </c>
      <c r="Z1972" t="s">
        <v>473</v>
      </c>
      <c r="AA1972" t="s">
        <v>473</v>
      </c>
      <c r="AB1972" t="s">
        <v>473</v>
      </c>
      <c r="AC1972" s="10">
        <v>3</v>
      </c>
      <c r="AD1972" s="10">
        <v>11</v>
      </c>
      <c r="AE1972" t="s">
        <v>473</v>
      </c>
    </row>
    <row r="1973" spans="1:31" x14ac:dyDescent="0.25">
      <c r="A1973">
        <v>4338</v>
      </c>
      <c r="B1973">
        <v>1983</v>
      </c>
      <c r="C1973" t="s">
        <v>466</v>
      </c>
      <c r="D1973" t="s">
        <v>30</v>
      </c>
      <c r="E1973" t="str">
        <f>IF(OR(Table1[[#This Row],[marital_status]]="Married", Table1[[#This Row],[marital_status]]="Together"), "Partnered", "Single")</f>
        <v>Single</v>
      </c>
      <c r="F1973" s="7">
        <v>39062</v>
      </c>
      <c r="G1973" s="8">
        <v>1</v>
      </c>
      <c r="H1973" s="8">
        <v>0</v>
      </c>
      <c r="I1973" s="8">
        <f>Table1[[#This Row],[kids]]+Table1[[#This Row],[teens]]</f>
        <v>1</v>
      </c>
      <c r="J1973" s="9">
        <v>41723</v>
      </c>
      <c r="K1973" s="8">
        <v>28</v>
      </c>
      <c r="L1973" s="6">
        <v>23</v>
      </c>
      <c r="M1973" s="5">
        <v>0</v>
      </c>
      <c r="N1973" s="5">
        <v>9</v>
      </c>
      <c r="O1973" s="5">
        <v>0</v>
      </c>
      <c r="P1973" s="5">
        <v>0</v>
      </c>
      <c r="Q1973" s="5">
        <v>12</v>
      </c>
      <c r="R1973" s="8">
        <v>1</v>
      </c>
      <c r="S1973" s="8">
        <v>1</v>
      </c>
      <c r="T1973" s="8">
        <v>0</v>
      </c>
      <c r="U1973" s="8">
        <v>3</v>
      </c>
      <c r="V1973" s="8">
        <v>4</v>
      </c>
      <c r="W1973" t="s">
        <v>474</v>
      </c>
      <c r="X1973" t="s">
        <v>473</v>
      </c>
      <c r="Y1973" t="s">
        <v>473</v>
      </c>
      <c r="Z1973" t="s">
        <v>473</v>
      </c>
      <c r="AA1973" t="s">
        <v>473</v>
      </c>
      <c r="AB1973" t="s">
        <v>473</v>
      </c>
      <c r="AC1973" s="10">
        <v>3</v>
      </c>
      <c r="AD1973" s="10">
        <v>11</v>
      </c>
      <c r="AE1973" t="s">
        <v>473</v>
      </c>
    </row>
    <row r="1974" spans="1:31" x14ac:dyDescent="0.25">
      <c r="A1974">
        <v>2452</v>
      </c>
      <c r="B1974">
        <v>1971</v>
      </c>
      <c r="C1974" t="s">
        <v>466</v>
      </c>
      <c r="D1974" t="s">
        <v>31</v>
      </c>
      <c r="E1974" t="str">
        <f>IF(OR(Table1[[#This Row],[marital_status]]="Married", Table1[[#This Row],[marital_status]]="Together"), "Partnered", "Single")</f>
        <v>Partnered</v>
      </c>
      <c r="F1974" s="7">
        <v>34600</v>
      </c>
      <c r="G1974" s="8">
        <v>1</v>
      </c>
      <c r="H1974" s="8">
        <v>1</v>
      </c>
      <c r="I1974" s="8">
        <f>Table1[[#This Row],[kids]]+Table1[[#This Row],[teens]]</f>
        <v>2</v>
      </c>
      <c r="J1974" s="9">
        <v>41275</v>
      </c>
      <c r="K1974" s="8">
        <v>8</v>
      </c>
      <c r="L1974" s="6">
        <v>199</v>
      </c>
      <c r="M1974" s="5">
        <v>33</v>
      </c>
      <c r="N1974" s="5">
        <v>60</v>
      </c>
      <c r="O1974" s="5">
        <v>8</v>
      </c>
      <c r="P1974" s="5">
        <v>3</v>
      </c>
      <c r="Q1974" s="5">
        <v>15</v>
      </c>
      <c r="R1974" s="8">
        <v>5</v>
      </c>
      <c r="S1974" s="8">
        <v>5</v>
      </c>
      <c r="T1974" s="8">
        <v>2</v>
      </c>
      <c r="U1974" s="8">
        <v>5</v>
      </c>
      <c r="V1974" s="8">
        <v>8</v>
      </c>
      <c r="W1974" t="s">
        <v>473</v>
      </c>
      <c r="X1974" t="s">
        <v>473</v>
      </c>
      <c r="Y1974" t="s">
        <v>473</v>
      </c>
      <c r="Z1974" t="s">
        <v>473</v>
      </c>
      <c r="AA1974" t="s">
        <v>473</v>
      </c>
      <c r="AB1974" t="s">
        <v>473</v>
      </c>
      <c r="AC1974" s="10">
        <v>3</v>
      </c>
      <c r="AD1974" s="10">
        <v>11</v>
      </c>
      <c r="AE1974" t="s">
        <v>474</v>
      </c>
    </row>
    <row r="1975" spans="1:31" x14ac:dyDescent="0.25">
      <c r="A1975">
        <v>9507</v>
      </c>
      <c r="B1975">
        <v>1975</v>
      </c>
      <c r="C1975" t="s">
        <v>466</v>
      </c>
      <c r="D1975" t="s">
        <v>34</v>
      </c>
      <c r="E1975" t="str">
        <f>IF(OR(Table1[[#This Row],[marital_status]]="Married", Table1[[#This Row],[marital_status]]="Together"), "Partnered", "Single")</f>
        <v>Partnered</v>
      </c>
      <c r="F1975" s="7">
        <v>40794</v>
      </c>
      <c r="G1975" s="8">
        <v>0</v>
      </c>
      <c r="H1975" s="8">
        <v>1</v>
      </c>
      <c r="I1975" s="8">
        <f>Table1[[#This Row],[kids]]+Table1[[#This Row],[teens]]</f>
        <v>1</v>
      </c>
      <c r="J1975" s="9">
        <v>41371</v>
      </c>
      <c r="K1975" s="8">
        <v>18</v>
      </c>
      <c r="L1975" s="6">
        <v>261</v>
      </c>
      <c r="M1975" s="5">
        <v>23</v>
      </c>
      <c r="N1975" s="5">
        <v>73</v>
      </c>
      <c r="O1975" s="5">
        <v>4</v>
      </c>
      <c r="P1975" s="5">
        <v>23</v>
      </c>
      <c r="Q1975" s="5">
        <v>50</v>
      </c>
      <c r="R1975" s="8">
        <v>2</v>
      </c>
      <c r="S1975" s="8">
        <v>6</v>
      </c>
      <c r="T1975" s="8">
        <v>3</v>
      </c>
      <c r="U1975" s="8">
        <v>5</v>
      </c>
      <c r="V1975" s="8">
        <v>7</v>
      </c>
      <c r="W1975" t="s">
        <v>473</v>
      </c>
      <c r="X1975" t="s">
        <v>473</v>
      </c>
      <c r="Y1975" t="s">
        <v>473</v>
      </c>
      <c r="Z1975" t="s">
        <v>473</v>
      </c>
      <c r="AA1975" t="s">
        <v>473</v>
      </c>
      <c r="AB1975" t="s">
        <v>473</v>
      </c>
      <c r="AC1975" s="10">
        <v>3</v>
      </c>
      <c r="AD1975" s="10">
        <v>11</v>
      </c>
      <c r="AE1975" t="s">
        <v>473</v>
      </c>
    </row>
    <row r="1976" spans="1:31" x14ac:dyDescent="0.25">
      <c r="A1976">
        <v>8360</v>
      </c>
      <c r="B1976">
        <v>1971</v>
      </c>
      <c r="C1976" t="s">
        <v>46</v>
      </c>
      <c r="D1976" t="s">
        <v>34</v>
      </c>
      <c r="E1976" t="str">
        <f>IF(OR(Table1[[#This Row],[marital_status]]="Married", Table1[[#This Row],[marital_status]]="Together"), "Partnered", "Single")</f>
        <v>Partnered</v>
      </c>
      <c r="F1976" s="7">
        <v>54690</v>
      </c>
      <c r="G1976" s="8">
        <v>1</v>
      </c>
      <c r="H1976" s="8">
        <v>1</v>
      </c>
      <c r="I1976" s="8">
        <f>Table1[[#This Row],[kids]]+Table1[[#This Row],[teens]]</f>
        <v>2</v>
      </c>
      <c r="J1976" s="9">
        <v>41585</v>
      </c>
      <c r="K1976" s="8">
        <v>76</v>
      </c>
      <c r="L1976" s="6">
        <v>111</v>
      </c>
      <c r="M1976" s="5">
        <v>16</v>
      </c>
      <c r="N1976" s="5">
        <v>37</v>
      </c>
      <c r="O1976" s="5">
        <v>7</v>
      </c>
      <c r="P1976" s="5">
        <v>9</v>
      </c>
      <c r="Q1976" s="5">
        <v>18</v>
      </c>
      <c r="R1976" s="8">
        <v>3</v>
      </c>
      <c r="S1976" s="8">
        <v>3</v>
      </c>
      <c r="T1976" s="8">
        <v>1</v>
      </c>
      <c r="U1976" s="8">
        <v>5</v>
      </c>
      <c r="V1976" s="8">
        <v>3</v>
      </c>
      <c r="W1976" t="s">
        <v>473</v>
      </c>
      <c r="X1976" t="s">
        <v>473</v>
      </c>
      <c r="Y1976" t="s">
        <v>473</v>
      </c>
      <c r="Z1976" t="s">
        <v>473</v>
      </c>
      <c r="AA1976" t="s">
        <v>473</v>
      </c>
      <c r="AB1976" t="s">
        <v>473</v>
      </c>
      <c r="AC1976" s="10">
        <v>3</v>
      </c>
      <c r="AD1976" s="10">
        <v>11</v>
      </c>
      <c r="AE1976" t="s">
        <v>473</v>
      </c>
    </row>
    <row r="1977" spans="1:31" x14ac:dyDescent="0.25">
      <c r="A1977">
        <v>10311</v>
      </c>
      <c r="B1977">
        <v>1969</v>
      </c>
      <c r="C1977" t="s">
        <v>466</v>
      </c>
      <c r="D1977" t="s">
        <v>34</v>
      </c>
      <c r="E1977" t="str">
        <f>IF(OR(Table1[[#This Row],[marital_status]]="Married", Table1[[#This Row],[marital_status]]="Together"), "Partnered", "Single")</f>
        <v>Partnered</v>
      </c>
      <c r="F1977" s="7">
        <v>4428</v>
      </c>
      <c r="G1977" s="8">
        <v>0</v>
      </c>
      <c r="H1977" s="8">
        <v>1</v>
      </c>
      <c r="I1977" s="8">
        <f>Table1[[#This Row],[kids]]+Table1[[#This Row],[teens]]</f>
        <v>1</v>
      </c>
      <c r="J1977" s="9">
        <v>41552</v>
      </c>
      <c r="K1977" s="8">
        <v>0</v>
      </c>
      <c r="L1977" s="6">
        <v>16</v>
      </c>
      <c r="M1977" s="5">
        <v>4</v>
      </c>
      <c r="N1977" s="5">
        <v>12</v>
      </c>
      <c r="O1977" s="5">
        <v>2</v>
      </c>
      <c r="P1977" s="5">
        <v>4</v>
      </c>
      <c r="Q1977" s="5">
        <v>321</v>
      </c>
      <c r="R1977" s="8">
        <v>0</v>
      </c>
      <c r="S1977" s="8">
        <v>25</v>
      </c>
      <c r="T1977" s="8">
        <v>0</v>
      </c>
      <c r="U1977" s="8">
        <v>0</v>
      </c>
      <c r="V1977" s="8">
        <v>1</v>
      </c>
      <c r="W1977" t="s">
        <v>473</v>
      </c>
      <c r="X1977" t="s">
        <v>473</v>
      </c>
      <c r="Y1977" t="s">
        <v>473</v>
      </c>
      <c r="Z1977" t="s">
        <v>473</v>
      </c>
      <c r="AA1977" t="s">
        <v>473</v>
      </c>
      <c r="AB1977" t="s">
        <v>473</v>
      </c>
      <c r="AC1977" s="10">
        <v>3</v>
      </c>
      <c r="AD1977" s="10">
        <v>11</v>
      </c>
      <c r="AE1977" t="s">
        <v>473</v>
      </c>
    </row>
    <row r="1978" spans="1:31" x14ac:dyDescent="0.25">
      <c r="A1978">
        <v>5117</v>
      </c>
      <c r="B1978">
        <v>1963</v>
      </c>
      <c r="C1978" t="s">
        <v>46</v>
      </c>
      <c r="D1978" t="s">
        <v>34</v>
      </c>
      <c r="E1978" t="str">
        <f>IF(OR(Table1[[#This Row],[marital_status]]="Married", Table1[[#This Row],[marital_status]]="Together"), "Partnered", "Single")</f>
        <v>Partnered</v>
      </c>
      <c r="F1978" s="7">
        <v>32632</v>
      </c>
      <c r="G1978" s="8">
        <v>0</v>
      </c>
      <c r="H1978" s="8">
        <v>0</v>
      </c>
      <c r="I1978" s="8">
        <f>Table1[[#This Row],[kids]]+Table1[[#This Row],[teens]]</f>
        <v>0</v>
      </c>
      <c r="J1978" s="9">
        <v>41123</v>
      </c>
      <c r="K1978" s="8">
        <v>32</v>
      </c>
      <c r="L1978" s="6">
        <v>63</v>
      </c>
      <c r="M1978" s="5">
        <v>151</v>
      </c>
      <c r="N1978" s="5">
        <v>137</v>
      </c>
      <c r="O1978" s="5">
        <v>153</v>
      </c>
      <c r="P1978" s="5">
        <v>19</v>
      </c>
      <c r="Q1978" s="5">
        <v>53</v>
      </c>
      <c r="R1978" s="8">
        <v>2</v>
      </c>
      <c r="S1978" s="8">
        <v>4</v>
      </c>
      <c r="T1978" s="8">
        <v>4</v>
      </c>
      <c r="U1978" s="8">
        <v>8</v>
      </c>
      <c r="V1978" s="8">
        <v>5</v>
      </c>
      <c r="W1978" t="s">
        <v>473</v>
      </c>
      <c r="X1978" t="s">
        <v>473</v>
      </c>
      <c r="Y1978" t="s">
        <v>473</v>
      </c>
      <c r="Z1978" t="s">
        <v>473</v>
      </c>
      <c r="AA1978" t="s">
        <v>473</v>
      </c>
      <c r="AB1978" t="s">
        <v>473</v>
      </c>
      <c r="AC1978" s="10">
        <v>3</v>
      </c>
      <c r="AD1978" s="10">
        <v>11</v>
      </c>
      <c r="AE1978" t="s">
        <v>473</v>
      </c>
    </row>
    <row r="1979" spans="1:31" x14ac:dyDescent="0.25">
      <c r="A1979">
        <v>4867</v>
      </c>
      <c r="B1979">
        <v>1968</v>
      </c>
      <c r="C1979" t="s">
        <v>33</v>
      </c>
      <c r="D1979" t="s">
        <v>30</v>
      </c>
      <c r="E1979" t="str">
        <f>IF(OR(Table1[[#This Row],[marital_status]]="Married", Table1[[#This Row],[marital_status]]="Together"), "Partnered", "Single")</f>
        <v>Single</v>
      </c>
      <c r="F1979" s="7">
        <v>38236</v>
      </c>
      <c r="G1979" s="8">
        <v>1</v>
      </c>
      <c r="H1979" s="8">
        <v>1</v>
      </c>
      <c r="I1979" s="8">
        <f>Table1[[#This Row],[kids]]+Table1[[#This Row],[teens]]</f>
        <v>2</v>
      </c>
      <c r="J1979" s="9">
        <v>41537</v>
      </c>
      <c r="K1979" s="8">
        <v>2</v>
      </c>
      <c r="L1979" s="6">
        <v>58</v>
      </c>
      <c r="M1979" s="5">
        <v>0</v>
      </c>
      <c r="N1979" s="5">
        <v>18</v>
      </c>
      <c r="O1979" s="5">
        <v>2</v>
      </c>
      <c r="P1979" s="5">
        <v>0</v>
      </c>
      <c r="Q1979" s="5">
        <v>10</v>
      </c>
      <c r="R1979" s="8">
        <v>4</v>
      </c>
      <c r="S1979" s="8">
        <v>3</v>
      </c>
      <c r="T1979" s="8">
        <v>0</v>
      </c>
      <c r="U1979" s="8">
        <v>4</v>
      </c>
      <c r="V1979" s="8">
        <v>7</v>
      </c>
      <c r="W1979" t="s">
        <v>473</v>
      </c>
      <c r="X1979" t="s">
        <v>473</v>
      </c>
      <c r="Y1979" t="s">
        <v>473</v>
      </c>
      <c r="Z1979" t="s">
        <v>473</v>
      </c>
      <c r="AA1979" t="s">
        <v>473</v>
      </c>
      <c r="AB1979" t="s">
        <v>473</v>
      </c>
      <c r="AC1979" s="10">
        <v>3</v>
      </c>
      <c r="AD1979" s="10">
        <v>11</v>
      </c>
      <c r="AE1979" t="s">
        <v>473</v>
      </c>
    </row>
    <row r="1980" spans="1:31" x14ac:dyDescent="0.25">
      <c r="A1980">
        <v>9289</v>
      </c>
      <c r="B1980">
        <v>1979</v>
      </c>
      <c r="C1980" t="s">
        <v>466</v>
      </c>
      <c r="D1980" t="s">
        <v>34</v>
      </c>
      <c r="E1980" t="str">
        <f>IF(OR(Table1[[#This Row],[marital_status]]="Married", Table1[[#This Row],[marital_status]]="Together"), "Partnered", "Single")</f>
        <v>Partnered</v>
      </c>
      <c r="F1980" s="7">
        <v>36781</v>
      </c>
      <c r="G1980" s="8">
        <v>1</v>
      </c>
      <c r="H1980" s="8">
        <v>0</v>
      </c>
      <c r="I1980" s="8">
        <f>Table1[[#This Row],[kids]]+Table1[[#This Row],[teens]]</f>
        <v>1</v>
      </c>
      <c r="J1980" s="9">
        <v>41739</v>
      </c>
      <c r="K1980" s="8">
        <v>16</v>
      </c>
      <c r="L1980" s="6">
        <v>29</v>
      </c>
      <c r="M1980" s="5">
        <v>1</v>
      </c>
      <c r="N1980" s="5">
        <v>17</v>
      </c>
      <c r="O1980" s="5">
        <v>0</v>
      </c>
      <c r="P1980" s="5">
        <v>3</v>
      </c>
      <c r="Q1980" s="5">
        <v>13</v>
      </c>
      <c r="R1980" s="8">
        <v>1</v>
      </c>
      <c r="S1980" s="8">
        <v>2</v>
      </c>
      <c r="T1980" s="8">
        <v>1</v>
      </c>
      <c r="U1980" s="8">
        <v>2</v>
      </c>
      <c r="V1980" s="8">
        <v>8</v>
      </c>
      <c r="W1980" t="s">
        <v>473</v>
      </c>
      <c r="X1980" t="s">
        <v>473</v>
      </c>
      <c r="Y1980" t="s">
        <v>473</v>
      </c>
      <c r="Z1980" t="s">
        <v>473</v>
      </c>
      <c r="AA1980" t="s">
        <v>473</v>
      </c>
      <c r="AB1980" t="s">
        <v>473</v>
      </c>
      <c r="AC1980" s="10">
        <v>3</v>
      </c>
      <c r="AD1980" s="10">
        <v>11</v>
      </c>
      <c r="AE1980" t="s">
        <v>474</v>
      </c>
    </row>
    <row r="1981" spans="1:31" x14ac:dyDescent="0.25">
      <c r="A1981">
        <v>10913</v>
      </c>
      <c r="B1981">
        <v>1984</v>
      </c>
      <c r="C1981" t="s">
        <v>36</v>
      </c>
      <c r="D1981" t="s">
        <v>30</v>
      </c>
      <c r="E1981" t="str">
        <f>IF(OR(Table1[[#This Row],[marital_status]]="Married", Table1[[#This Row],[marital_status]]="Together"), "Partnered", "Single")</f>
        <v>Single</v>
      </c>
      <c r="F1981" s="7">
        <v>31385</v>
      </c>
      <c r="G1981" s="8">
        <v>1</v>
      </c>
      <c r="H1981" s="8">
        <v>0</v>
      </c>
      <c r="I1981" s="8">
        <f>Table1[[#This Row],[kids]]+Table1[[#This Row],[teens]]</f>
        <v>1</v>
      </c>
      <c r="J1981" s="9">
        <v>41248</v>
      </c>
      <c r="K1981" s="8">
        <v>56</v>
      </c>
      <c r="L1981" s="6">
        <v>3</v>
      </c>
      <c r="M1981" s="5">
        <v>2</v>
      </c>
      <c r="N1981" s="5">
        <v>12</v>
      </c>
      <c r="O1981" s="5">
        <v>0</v>
      </c>
      <c r="P1981" s="5">
        <v>1</v>
      </c>
      <c r="Q1981" s="5">
        <v>9</v>
      </c>
      <c r="R1981" s="8">
        <v>1</v>
      </c>
      <c r="S1981" s="8">
        <v>1</v>
      </c>
      <c r="T1981" s="8">
        <v>0</v>
      </c>
      <c r="U1981" s="8">
        <v>2</v>
      </c>
      <c r="V1981" s="8">
        <v>8</v>
      </c>
      <c r="W1981" t="s">
        <v>474</v>
      </c>
      <c r="X1981" t="s">
        <v>473</v>
      </c>
      <c r="Y1981" t="s">
        <v>473</v>
      </c>
      <c r="Z1981" t="s">
        <v>473</v>
      </c>
      <c r="AA1981" t="s">
        <v>473</v>
      </c>
      <c r="AB1981" t="s">
        <v>473</v>
      </c>
      <c r="AC1981" s="10">
        <v>3</v>
      </c>
      <c r="AD1981" s="10">
        <v>11</v>
      </c>
      <c r="AE1981" t="s">
        <v>474</v>
      </c>
    </row>
    <row r="1982" spans="1:31" x14ac:dyDescent="0.25">
      <c r="A1982">
        <v>3032</v>
      </c>
      <c r="B1982">
        <v>1984</v>
      </c>
      <c r="C1982" t="s">
        <v>466</v>
      </c>
      <c r="D1982" t="s">
        <v>34</v>
      </c>
      <c r="E1982" t="str">
        <f>IF(OR(Table1[[#This Row],[marital_status]]="Married", Table1[[#This Row],[marital_status]]="Together"), "Partnered", "Single")</f>
        <v>Partnered</v>
      </c>
      <c r="F1982" s="7">
        <v>24570</v>
      </c>
      <c r="G1982" s="8">
        <v>1</v>
      </c>
      <c r="H1982" s="8">
        <v>0</v>
      </c>
      <c r="I1982" s="8">
        <f>Table1[[#This Row],[kids]]+Table1[[#This Row],[teens]]</f>
        <v>1</v>
      </c>
      <c r="J1982" s="9">
        <v>41332</v>
      </c>
      <c r="K1982" s="8">
        <v>97</v>
      </c>
      <c r="L1982" s="6">
        <v>28</v>
      </c>
      <c r="M1982" s="5">
        <v>34</v>
      </c>
      <c r="N1982" s="5">
        <v>62</v>
      </c>
      <c r="O1982" s="5">
        <v>11</v>
      </c>
      <c r="P1982" s="5">
        <v>14</v>
      </c>
      <c r="Q1982" s="5">
        <v>44</v>
      </c>
      <c r="R1982" s="8">
        <v>3</v>
      </c>
      <c r="S1982" s="8">
        <v>4</v>
      </c>
      <c r="T1982" s="8">
        <v>0</v>
      </c>
      <c r="U1982" s="8">
        <v>4</v>
      </c>
      <c r="V1982" s="8">
        <v>9</v>
      </c>
      <c r="W1982" t="s">
        <v>473</v>
      </c>
      <c r="X1982" t="s">
        <v>473</v>
      </c>
      <c r="Y1982" t="s">
        <v>473</v>
      </c>
      <c r="Z1982" t="s">
        <v>473</v>
      </c>
      <c r="AA1982" t="s">
        <v>473</v>
      </c>
      <c r="AB1982" t="s">
        <v>473</v>
      </c>
      <c r="AC1982" s="10">
        <v>3</v>
      </c>
      <c r="AD1982" s="10">
        <v>11</v>
      </c>
      <c r="AE1982" t="s">
        <v>473</v>
      </c>
    </row>
    <row r="1983" spans="1:31" x14ac:dyDescent="0.25">
      <c r="A1983">
        <v>8524</v>
      </c>
      <c r="B1983">
        <v>1974</v>
      </c>
      <c r="C1983" t="s">
        <v>33</v>
      </c>
      <c r="D1983" t="s">
        <v>37</v>
      </c>
      <c r="E1983" t="str">
        <f>IF(OR(Table1[[#This Row],[marital_status]]="Married", Table1[[#This Row],[marital_status]]="Together"), "Partnered", "Single")</f>
        <v>Single</v>
      </c>
      <c r="F1983" s="7">
        <v>25509</v>
      </c>
      <c r="G1983" s="8">
        <v>1</v>
      </c>
      <c r="H1983" s="8">
        <v>0</v>
      </c>
      <c r="I1983" s="8">
        <f>Table1[[#This Row],[kids]]+Table1[[#This Row],[teens]]</f>
        <v>1</v>
      </c>
      <c r="J1983" s="9">
        <v>41170</v>
      </c>
      <c r="K1983" s="8">
        <v>15</v>
      </c>
      <c r="L1983" s="6">
        <v>40</v>
      </c>
      <c r="M1983" s="5">
        <v>3</v>
      </c>
      <c r="N1983" s="5">
        <v>30</v>
      </c>
      <c r="O1983" s="5">
        <v>10</v>
      </c>
      <c r="P1983" s="5">
        <v>7</v>
      </c>
      <c r="Q1983" s="5">
        <v>11</v>
      </c>
      <c r="R1983" s="8">
        <v>3</v>
      </c>
      <c r="S1983" s="8">
        <v>3</v>
      </c>
      <c r="T1983" s="8">
        <v>0</v>
      </c>
      <c r="U1983" s="8">
        <v>3</v>
      </c>
      <c r="V1983" s="8">
        <v>9</v>
      </c>
      <c r="W1983" t="s">
        <v>473</v>
      </c>
      <c r="X1983" t="s">
        <v>473</v>
      </c>
      <c r="Y1983" t="s">
        <v>473</v>
      </c>
      <c r="Z1983" t="s">
        <v>473</v>
      </c>
      <c r="AA1983" t="s">
        <v>473</v>
      </c>
      <c r="AB1983" t="s">
        <v>473</v>
      </c>
      <c r="AC1983" s="10">
        <v>3</v>
      </c>
      <c r="AD1983" s="10">
        <v>11</v>
      </c>
      <c r="AE1983" t="s">
        <v>474</v>
      </c>
    </row>
    <row r="1984" spans="1:31" x14ac:dyDescent="0.25">
      <c r="A1984">
        <v>3334</v>
      </c>
      <c r="B1984">
        <v>1951</v>
      </c>
      <c r="C1984" t="s">
        <v>466</v>
      </c>
      <c r="D1984" t="s">
        <v>34</v>
      </c>
      <c r="E1984" t="str">
        <f>IF(OR(Table1[[#This Row],[marital_status]]="Married", Table1[[#This Row],[marital_status]]="Together"), "Partnered", "Single")</f>
        <v>Partnered</v>
      </c>
      <c r="F1984" s="7">
        <v>94642</v>
      </c>
      <c r="G1984" s="8">
        <v>0</v>
      </c>
      <c r="H1984" s="8">
        <v>0</v>
      </c>
      <c r="I1984" s="8">
        <f>Table1[[#This Row],[kids]]+Table1[[#This Row],[teens]]</f>
        <v>0</v>
      </c>
      <c r="J1984" s="9">
        <v>41682</v>
      </c>
      <c r="K1984" s="8">
        <v>35</v>
      </c>
      <c r="L1984" s="6">
        <v>879</v>
      </c>
      <c r="M1984" s="5">
        <v>143</v>
      </c>
      <c r="N1984" s="5">
        <v>797</v>
      </c>
      <c r="O1984" s="5">
        <v>106</v>
      </c>
      <c r="P1984" s="5">
        <v>143</v>
      </c>
      <c r="Q1984" s="5">
        <v>143</v>
      </c>
      <c r="R1984" s="8">
        <v>0</v>
      </c>
      <c r="S1984" s="8">
        <v>5</v>
      </c>
      <c r="T1984" s="8">
        <v>7</v>
      </c>
      <c r="U1984" s="8">
        <v>9</v>
      </c>
      <c r="V1984" s="8">
        <v>1</v>
      </c>
      <c r="W1984" t="s">
        <v>473</v>
      </c>
      <c r="X1984" t="s">
        <v>473</v>
      </c>
      <c r="Y1984" t="s">
        <v>474</v>
      </c>
      <c r="Z1984" t="s">
        <v>474</v>
      </c>
      <c r="AA1984" t="s">
        <v>473</v>
      </c>
      <c r="AB1984" t="s">
        <v>473</v>
      </c>
      <c r="AC1984" s="10">
        <v>3</v>
      </c>
      <c r="AD1984" s="10">
        <v>11</v>
      </c>
      <c r="AE1984" t="s">
        <v>473</v>
      </c>
    </row>
    <row r="1985" spans="1:31" x14ac:dyDescent="0.25">
      <c r="A1985">
        <v>4470</v>
      </c>
      <c r="B1985">
        <v>1962</v>
      </c>
      <c r="C1985" t="s">
        <v>36</v>
      </c>
      <c r="D1985" t="s">
        <v>34</v>
      </c>
      <c r="E1985" t="str">
        <f>IF(OR(Table1[[#This Row],[marital_status]]="Married", Table1[[#This Row],[marital_status]]="Together"), "Partnered", "Single")</f>
        <v>Partnered</v>
      </c>
      <c r="F1985" s="7">
        <v>58646</v>
      </c>
      <c r="G1985" s="8">
        <v>0</v>
      </c>
      <c r="H1985" s="8">
        <v>1</v>
      </c>
      <c r="I1985" s="8">
        <f>Table1[[#This Row],[kids]]+Table1[[#This Row],[teens]]</f>
        <v>1</v>
      </c>
      <c r="J1985" s="9">
        <v>41435</v>
      </c>
      <c r="K1985" s="8">
        <v>3</v>
      </c>
      <c r="L1985" s="6">
        <v>62</v>
      </c>
      <c r="M1985" s="5">
        <v>1</v>
      </c>
      <c r="N1985" s="5">
        <v>44</v>
      </c>
      <c r="O1985" s="5">
        <v>6</v>
      </c>
      <c r="P1985" s="5">
        <v>5</v>
      </c>
      <c r="Q1985" s="5">
        <v>22</v>
      </c>
      <c r="R1985" s="8">
        <v>1</v>
      </c>
      <c r="S1985" s="8">
        <v>2</v>
      </c>
      <c r="T1985" s="8">
        <v>1</v>
      </c>
      <c r="U1985" s="8">
        <v>4</v>
      </c>
      <c r="V1985" s="8">
        <v>4</v>
      </c>
      <c r="W1985" t="s">
        <v>473</v>
      </c>
      <c r="X1985" t="s">
        <v>473</v>
      </c>
      <c r="Y1985" t="s">
        <v>473</v>
      </c>
      <c r="Z1985" t="s">
        <v>473</v>
      </c>
      <c r="AA1985" t="s">
        <v>473</v>
      </c>
      <c r="AB1985" t="s">
        <v>473</v>
      </c>
      <c r="AC1985" s="10">
        <v>3</v>
      </c>
      <c r="AD1985" s="10">
        <v>11</v>
      </c>
      <c r="AE1985" t="s">
        <v>473</v>
      </c>
    </row>
    <row r="1986" spans="1:31" x14ac:dyDescent="0.25">
      <c r="A1986">
        <v>1406</v>
      </c>
      <c r="B1986">
        <v>1975</v>
      </c>
      <c r="C1986" t="s">
        <v>466</v>
      </c>
      <c r="D1986" t="s">
        <v>30</v>
      </c>
      <c r="E1986" t="str">
        <f>IF(OR(Table1[[#This Row],[marital_status]]="Married", Table1[[#This Row],[marital_status]]="Together"), "Partnered", "Single")</f>
        <v>Single</v>
      </c>
      <c r="F1986" s="7">
        <v>53201</v>
      </c>
      <c r="G1986" s="8">
        <v>1</v>
      </c>
      <c r="H1986" s="8">
        <v>1</v>
      </c>
      <c r="I1986" s="8">
        <f>Table1[[#This Row],[kids]]+Table1[[#This Row],[teens]]</f>
        <v>2</v>
      </c>
      <c r="J1986" s="9">
        <v>41317</v>
      </c>
      <c r="K1986" s="8">
        <v>49</v>
      </c>
      <c r="L1986" s="6">
        <v>280</v>
      </c>
      <c r="M1986" s="5">
        <v>7</v>
      </c>
      <c r="N1986" s="5">
        <v>81</v>
      </c>
      <c r="O1986" s="5">
        <v>20</v>
      </c>
      <c r="P1986" s="5">
        <v>0</v>
      </c>
      <c r="Q1986" s="5">
        <v>27</v>
      </c>
      <c r="R1986" s="8">
        <v>8</v>
      </c>
      <c r="S1986" s="8">
        <v>6</v>
      </c>
      <c r="T1986" s="8">
        <v>3</v>
      </c>
      <c r="U1986" s="8">
        <v>5</v>
      </c>
      <c r="V1986" s="8">
        <v>7</v>
      </c>
      <c r="W1986" t="s">
        <v>473</v>
      </c>
      <c r="X1986" t="s">
        <v>473</v>
      </c>
      <c r="Y1986" t="s">
        <v>473</v>
      </c>
      <c r="Z1986" t="s">
        <v>473</v>
      </c>
      <c r="AA1986" t="s">
        <v>473</v>
      </c>
      <c r="AB1986" t="s">
        <v>473</v>
      </c>
      <c r="AC1986" s="10">
        <v>3</v>
      </c>
      <c r="AD1986" s="10">
        <v>11</v>
      </c>
      <c r="AE1986" t="s">
        <v>473</v>
      </c>
    </row>
    <row r="1987" spans="1:31" x14ac:dyDescent="0.25">
      <c r="A1987">
        <v>8619</v>
      </c>
      <c r="B1987">
        <v>1957</v>
      </c>
      <c r="C1987" t="s">
        <v>466</v>
      </c>
      <c r="D1987" t="s">
        <v>31</v>
      </c>
      <c r="E1987" t="str">
        <f>IF(OR(Table1[[#This Row],[marital_status]]="Married", Table1[[#This Row],[marital_status]]="Together"), "Partnered", "Single")</f>
        <v>Partnered</v>
      </c>
      <c r="F1987" s="7">
        <v>21994</v>
      </c>
      <c r="G1987" s="8">
        <v>0</v>
      </c>
      <c r="H1987" s="8">
        <v>1</v>
      </c>
      <c r="I1987" s="8">
        <f>Table1[[#This Row],[kids]]+Table1[[#This Row],[teens]]</f>
        <v>1</v>
      </c>
      <c r="J1987" s="9">
        <v>41267</v>
      </c>
      <c r="K1987" s="8">
        <v>4</v>
      </c>
      <c r="L1987" s="6">
        <v>9</v>
      </c>
      <c r="M1987" s="5">
        <v>0</v>
      </c>
      <c r="N1987" s="5">
        <v>6</v>
      </c>
      <c r="O1987" s="5">
        <v>3</v>
      </c>
      <c r="P1987" s="5">
        <v>1</v>
      </c>
      <c r="Q1987" s="5">
        <v>3</v>
      </c>
      <c r="R1987" s="8">
        <v>1</v>
      </c>
      <c r="S1987" s="8">
        <v>0</v>
      </c>
      <c r="T1987" s="8">
        <v>0</v>
      </c>
      <c r="U1987" s="8">
        <v>3</v>
      </c>
      <c r="V1987" s="8">
        <v>5</v>
      </c>
      <c r="W1987" t="s">
        <v>473</v>
      </c>
      <c r="X1987" t="s">
        <v>473</v>
      </c>
      <c r="Y1987" t="s">
        <v>473</v>
      </c>
      <c r="Z1987" t="s">
        <v>473</v>
      </c>
      <c r="AA1987" t="s">
        <v>473</v>
      </c>
      <c r="AB1987" t="s">
        <v>473</v>
      </c>
      <c r="AC1987" s="10">
        <v>3</v>
      </c>
      <c r="AD1987" s="10">
        <v>11</v>
      </c>
      <c r="AE1987" t="s">
        <v>473</v>
      </c>
    </row>
    <row r="1988" spans="1:31" x14ac:dyDescent="0.25">
      <c r="A1988">
        <v>10821</v>
      </c>
      <c r="B1988">
        <v>1978</v>
      </c>
      <c r="C1988" t="s">
        <v>466</v>
      </c>
      <c r="D1988" t="s">
        <v>34</v>
      </c>
      <c r="E1988" t="str">
        <f>IF(OR(Table1[[#This Row],[marital_status]]="Married", Table1[[#This Row],[marital_status]]="Together"), "Partnered", "Single")</f>
        <v>Partnered</v>
      </c>
      <c r="F1988" s="7">
        <v>57113</v>
      </c>
      <c r="G1988" s="8">
        <v>1</v>
      </c>
      <c r="H1988" s="8">
        <v>1</v>
      </c>
      <c r="I1988" s="8">
        <f>Table1[[#This Row],[kids]]+Table1[[#This Row],[teens]]</f>
        <v>2</v>
      </c>
      <c r="J1988" s="9">
        <v>41311</v>
      </c>
      <c r="K1988" s="8">
        <v>45</v>
      </c>
      <c r="L1988" s="6">
        <v>182</v>
      </c>
      <c r="M1988" s="5">
        <v>4</v>
      </c>
      <c r="N1988" s="5">
        <v>33</v>
      </c>
      <c r="O1988" s="5">
        <v>0</v>
      </c>
      <c r="P1988" s="5">
        <v>2</v>
      </c>
      <c r="Q1988" s="5">
        <v>42</v>
      </c>
      <c r="R1988" s="8">
        <v>6</v>
      </c>
      <c r="S1988" s="8">
        <v>4</v>
      </c>
      <c r="T1988" s="8">
        <v>1</v>
      </c>
      <c r="U1988" s="8">
        <v>5</v>
      </c>
      <c r="V1988" s="8">
        <v>7</v>
      </c>
      <c r="W1988" t="s">
        <v>473</v>
      </c>
      <c r="X1988" t="s">
        <v>473</v>
      </c>
      <c r="Y1988" t="s">
        <v>473</v>
      </c>
      <c r="Z1988" t="s">
        <v>473</v>
      </c>
      <c r="AA1988" t="s">
        <v>473</v>
      </c>
      <c r="AB1988" t="s">
        <v>473</v>
      </c>
      <c r="AC1988" s="10">
        <v>3</v>
      </c>
      <c r="AD1988" s="10">
        <v>11</v>
      </c>
      <c r="AE1988" t="s">
        <v>473</v>
      </c>
    </row>
    <row r="1989" spans="1:31" x14ac:dyDescent="0.25">
      <c r="A1989">
        <v>4552</v>
      </c>
      <c r="B1989">
        <v>1991</v>
      </c>
      <c r="C1989" t="s">
        <v>466</v>
      </c>
      <c r="D1989" t="s">
        <v>34</v>
      </c>
      <c r="E1989" t="str">
        <f>IF(OR(Table1[[#This Row],[marital_status]]="Married", Table1[[#This Row],[marital_status]]="Together"), "Partnered", "Single")</f>
        <v>Partnered</v>
      </c>
      <c r="F1989" s="7">
        <v>51373</v>
      </c>
      <c r="G1989" s="8">
        <v>0</v>
      </c>
      <c r="H1989" s="8">
        <v>0</v>
      </c>
      <c r="I1989" s="8">
        <f>Table1[[#This Row],[kids]]+Table1[[#This Row],[teens]]</f>
        <v>0</v>
      </c>
      <c r="J1989" s="9">
        <v>41447</v>
      </c>
      <c r="K1989" s="8">
        <v>37</v>
      </c>
      <c r="L1989" s="6">
        <v>83</v>
      </c>
      <c r="M1989" s="5">
        <v>2</v>
      </c>
      <c r="N1989" s="5">
        <v>101</v>
      </c>
      <c r="O1989" s="5">
        <v>64</v>
      </c>
      <c r="P1989" s="5">
        <v>26</v>
      </c>
      <c r="Q1989" s="5">
        <v>117</v>
      </c>
      <c r="R1989" s="8">
        <v>1</v>
      </c>
      <c r="S1989" s="8">
        <v>3</v>
      </c>
      <c r="T1989" s="8">
        <v>5</v>
      </c>
      <c r="U1989" s="8">
        <v>3</v>
      </c>
      <c r="V1989" s="8">
        <v>4</v>
      </c>
      <c r="W1989" t="s">
        <v>473</v>
      </c>
      <c r="X1989" t="s">
        <v>473</v>
      </c>
      <c r="Y1989" t="s">
        <v>473</v>
      </c>
      <c r="Z1989" t="s">
        <v>473</v>
      </c>
      <c r="AA1989" t="s">
        <v>473</v>
      </c>
      <c r="AB1989" t="s">
        <v>473</v>
      </c>
      <c r="AC1989" s="10">
        <v>3</v>
      </c>
      <c r="AD1989" s="10">
        <v>11</v>
      </c>
      <c r="AE1989" t="s">
        <v>473</v>
      </c>
    </row>
    <row r="1990" spans="1:31" x14ac:dyDescent="0.25">
      <c r="A1990">
        <v>898</v>
      </c>
      <c r="B1990">
        <v>1986</v>
      </c>
      <c r="C1990" t="s">
        <v>466</v>
      </c>
      <c r="D1990" t="s">
        <v>34</v>
      </c>
      <c r="E1990" t="str">
        <f>IF(OR(Table1[[#This Row],[marital_status]]="Married", Table1[[#This Row],[marital_status]]="Together"), "Partnered", "Single")</f>
        <v>Partnered</v>
      </c>
      <c r="F1990" s="7">
        <v>23477</v>
      </c>
      <c r="G1990" s="8">
        <v>1</v>
      </c>
      <c r="H1990" s="8">
        <v>0</v>
      </c>
      <c r="I1990" s="8">
        <f>Table1[[#This Row],[kids]]+Table1[[#This Row],[teens]]</f>
        <v>1</v>
      </c>
      <c r="J1990" s="9">
        <v>41568</v>
      </c>
      <c r="K1990" s="8">
        <v>39</v>
      </c>
      <c r="L1990" s="6">
        <v>38</v>
      </c>
      <c r="M1990" s="5">
        <v>15</v>
      </c>
      <c r="N1990" s="5">
        <v>54</v>
      </c>
      <c r="O1990" s="5">
        <v>3</v>
      </c>
      <c r="P1990" s="5">
        <v>8</v>
      </c>
      <c r="Q1990" s="5">
        <v>29</v>
      </c>
      <c r="R1990" s="8">
        <v>3</v>
      </c>
      <c r="S1990" s="8">
        <v>3</v>
      </c>
      <c r="T1990" s="8">
        <v>0</v>
      </c>
      <c r="U1990" s="8">
        <v>4</v>
      </c>
      <c r="V1990" s="8">
        <v>8</v>
      </c>
      <c r="W1990" t="s">
        <v>473</v>
      </c>
      <c r="X1990" t="s">
        <v>473</v>
      </c>
      <c r="Y1990" t="s">
        <v>473</v>
      </c>
      <c r="Z1990" t="s">
        <v>473</v>
      </c>
      <c r="AA1990" t="s">
        <v>473</v>
      </c>
      <c r="AB1990" t="s">
        <v>473</v>
      </c>
      <c r="AC1990" s="10">
        <v>3</v>
      </c>
      <c r="AD1990" s="10">
        <v>11</v>
      </c>
      <c r="AE1990" t="s">
        <v>473</v>
      </c>
    </row>
    <row r="1991" spans="1:31" x14ac:dyDescent="0.25">
      <c r="A1991">
        <v>9797</v>
      </c>
      <c r="B1991">
        <v>1956</v>
      </c>
      <c r="C1991" t="s">
        <v>466</v>
      </c>
      <c r="D1991" t="s">
        <v>34</v>
      </c>
      <c r="E1991" t="str">
        <f>IF(OR(Table1[[#This Row],[marital_status]]="Married", Table1[[#This Row],[marital_status]]="Together"), "Partnered", "Single")</f>
        <v>Partnered</v>
      </c>
      <c r="F1991" s="7">
        <v>58116</v>
      </c>
      <c r="G1991" s="8">
        <v>0</v>
      </c>
      <c r="H1991" s="8">
        <v>1</v>
      </c>
      <c r="I1991" s="8">
        <f>Table1[[#This Row],[kids]]+Table1[[#This Row],[teens]]</f>
        <v>1</v>
      </c>
      <c r="J1991" s="9">
        <v>41742</v>
      </c>
      <c r="K1991" s="8">
        <v>38</v>
      </c>
      <c r="L1991" s="6">
        <v>228</v>
      </c>
      <c r="M1991" s="5">
        <v>19</v>
      </c>
      <c r="N1991" s="5">
        <v>130</v>
      </c>
      <c r="O1991" s="5">
        <v>4</v>
      </c>
      <c r="P1991" s="5">
        <v>11</v>
      </c>
      <c r="Q1991" s="5">
        <v>51</v>
      </c>
      <c r="R1991" s="8">
        <v>2</v>
      </c>
      <c r="S1991" s="8">
        <v>3</v>
      </c>
      <c r="T1991" s="8">
        <v>3</v>
      </c>
      <c r="U1991" s="8">
        <v>8</v>
      </c>
      <c r="V1991" s="8">
        <v>2</v>
      </c>
      <c r="W1991" t="s">
        <v>473</v>
      </c>
      <c r="X1991" t="s">
        <v>473</v>
      </c>
      <c r="Y1991" t="s">
        <v>473</v>
      </c>
      <c r="Z1991" t="s">
        <v>473</v>
      </c>
      <c r="AA1991" t="s">
        <v>473</v>
      </c>
      <c r="AB1991" t="s">
        <v>473</v>
      </c>
      <c r="AC1991" s="10">
        <v>3</v>
      </c>
      <c r="AD1991" s="10">
        <v>11</v>
      </c>
      <c r="AE1991" t="s">
        <v>473</v>
      </c>
    </row>
    <row r="1992" spans="1:31" x14ac:dyDescent="0.25">
      <c r="A1992">
        <v>10949</v>
      </c>
      <c r="B1992">
        <v>1963</v>
      </c>
      <c r="C1992" t="s">
        <v>33</v>
      </c>
      <c r="D1992" t="s">
        <v>37</v>
      </c>
      <c r="E1992" t="str">
        <f>IF(OR(Table1[[#This Row],[marital_status]]="Married", Table1[[#This Row],[marital_status]]="Together"), "Partnered", "Single")</f>
        <v>Single</v>
      </c>
      <c r="F1992" s="7">
        <v>72968</v>
      </c>
      <c r="G1992" s="8">
        <v>0</v>
      </c>
      <c r="H1992" s="8">
        <v>0</v>
      </c>
      <c r="I1992" s="8">
        <f>Table1[[#This Row],[kids]]+Table1[[#This Row],[teens]]</f>
        <v>0</v>
      </c>
      <c r="J1992" s="9">
        <v>41624</v>
      </c>
      <c r="K1992" s="8">
        <v>8</v>
      </c>
      <c r="L1992" s="6">
        <v>1092</v>
      </c>
      <c r="M1992" s="5">
        <v>37</v>
      </c>
      <c r="N1992" s="5">
        <v>592</v>
      </c>
      <c r="O1992" s="5">
        <v>145</v>
      </c>
      <c r="P1992" s="5">
        <v>37</v>
      </c>
      <c r="Q1992" s="5">
        <v>55</v>
      </c>
      <c r="R1992" s="8">
        <v>1</v>
      </c>
      <c r="S1992" s="8">
        <v>5</v>
      </c>
      <c r="T1992" s="8">
        <v>5</v>
      </c>
      <c r="U1992" s="8">
        <v>8</v>
      </c>
      <c r="V1992" s="8">
        <v>3</v>
      </c>
      <c r="W1992" t="s">
        <v>473</v>
      </c>
      <c r="X1992" t="s">
        <v>473</v>
      </c>
      <c r="Y1992" t="s">
        <v>473</v>
      </c>
      <c r="Z1992" t="s">
        <v>474</v>
      </c>
      <c r="AA1992" t="s">
        <v>473</v>
      </c>
      <c r="AB1992" t="s">
        <v>473</v>
      </c>
      <c r="AC1992" s="10">
        <v>3</v>
      </c>
      <c r="AD1992" s="10">
        <v>11</v>
      </c>
      <c r="AE1992" t="s">
        <v>474</v>
      </c>
    </row>
    <row r="1993" spans="1:31" x14ac:dyDescent="0.25">
      <c r="A1993">
        <v>8212</v>
      </c>
      <c r="B1993">
        <v>1971</v>
      </c>
      <c r="C1993" t="s">
        <v>36</v>
      </c>
      <c r="D1993" t="s">
        <v>34</v>
      </c>
      <c r="E1993" t="str">
        <f>IF(OR(Table1[[#This Row],[marital_status]]="Married", Table1[[#This Row],[marital_status]]="Together"), "Partnered", "Single")</f>
        <v>Partnered</v>
      </c>
      <c r="F1993" s="7">
        <v>39791</v>
      </c>
      <c r="G1993" s="8">
        <v>0</v>
      </c>
      <c r="H1993" s="8">
        <v>1</v>
      </c>
      <c r="I1993" s="8">
        <f>Table1[[#This Row],[kids]]+Table1[[#This Row],[teens]]</f>
        <v>1</v>
      </c>
      <c r="J1993" s="9">
        <v>41361</v>
      </c>
      <c r="K1993" s="8">
        <v>89</v>
      </c>
      <c r="L1993" s="6">
        <v>85</v>
      </c>
      <c r="M1993" s="5">
        <v>15</v>
      </c>
      <c r="N1993" s="5">
        <v>27</v>
      </c>
      <c r="O1993" s="5">
        <v>13</v>
      </c>
      <c r="P1993" s="5">
        <v>13</v>
      </c>
      <c r="Q1993" s="5">
        <v>21</v>
      </c>
      <c r="R1993" s="8">
        <v>2</v>
      </c>
      <c r="S1993" s="8">
        <v>3</v>
      </c>
      <c r="T1993" s="8">
        <v>1</v>
      </c>
      <c r="U1993" s="8">
        <v>4</v>
      </c>
      <c r="V1993" s="8">
        <v>7</v>
      </c>
      <c r="W1993" t="s">
        <v>473</v>
      </c>
      <c r="X1993" t="s">
        <v>473</v>
      </c>
      <c r="Y1993" t="s">
        <v>473</v>
      </c>
      <c r="Z1993" t="s">
        <v>473</v>
      </c>
      <c r="AA1993" t="s">
        <v>473</v>
      </c>
      <c r="AB1993" t="s">
        <v>473</v>
      </c>
      <c r="AC1993" s="10">
        <v>3</v>
      </c>
      <c r="AD1993" s="10">
        <v>11</v>
      </c>
      <c r="AE1993" t="s">
        <v>473</v>
      </c>
    </row>
    <row r="1994" spans="1:31" x14ac:dyDescent="0.25">
      <c r="A1994">
        <v>6248</v>
      </c>
      <c r="B1994">
        <v>1947</v>
      </c>
      <c r="C1994" t="s">
        <v>36</v>
      </c>
      <c r="D1994" t="s">
        <v>30</v>
      </c>
      <c r="E1994" t="str">
        <f>IF(OR(Table1[[#This Row],[marital_status]]="Married", Table1[[#This Row],[marital_status]]="Together"), "Partnered", "Single")</f>
        <v>Single</v>
      </c>
      <c r="F1994" s="7">
        <v>91712</v>
      </c>
      <c r="G1994" s="8">
        <v>0</v>
      </c>
      <c r="H1994" s="8">
        <v>0</v>
      </c>
      <c r="I1994" s="8">
        <f>Table1[[#This Row],[kids]]+Table1[[#This Row],[teens]]</f>
        <v>0</v>
      </c>
      <c r="J1994" s="9">
        <v>41564</v>
      </c>
      <c r="K1994" s="8">
        <v>47</v>
      </c>
      <c r="L1994" s="6">
        <v>1276</v>
      </c>
      <c r="M1994" s="5">
        <v>24</v>
      </c>
      <c r="N1994" s="5">
        <v>746</v>
      </c>
      <c r="O1994" s="5">
        <v>94</v>
      </c>
      <c r="P1994" s="5">
        <v>29</v>
      </c>
      <c r="Q1994" s="5">
        <v>48</v>
      </c>
      <c r="R1994" s="8">
        <v>0</v>
      </c>
      <c r="S1994" s="8">
        <v>9</v>
      </c>
      <c r="T1994" s="8">
        <v>7</v>
      </c>
      <c r="U1994" s="8">
        <v>11</v>
      </c>
      <c r="V1994" s="8">
        <v>3</v>
      </c>
      <c r="W1994" t="s">
        <v>473</v>
      </c>
      <c r="X1994" t="s">
        <v>473</v>
      </c>
      <c r="Y1994" t="s">
        <v>474</v>
      </c>
      <c r="Z1994" t="s">
        <v>473</v>
      </c>
      <c r="AA1994" t="s">
        <v>473</v>
      </c>
      <c r="AB1994" t="s">
        <v>473</v>
      </c>
      <c r="AC1994" s="10">
        <v>3</v>
      </c>
      <c r="AD1994" s="10">
        <v>11</v>
      </c>
      <c r="AE1994" t="s">
        <v>474</v>
      </c>
    </row>
    <row r="1995" spans="1:31" x14ac:dyDescent="0.25">
      <c r="A1995">
        <v>10164</v>
      </c>
      <c r="B1995">
        <v>1958</v>
      </c>
      <c r="C1995" t="s">
        <v>466</v>
      </c>
      <c r="D1995" t="s">
        <v>30</v>
      </c>
      <c r="E1995" t="str">
        <f>IF(OR(Table1[[#This Row],[marital_status]]="Married", Table1[[#This Row],[marital_status]]="Together"), "Partnered", "Single")</f>
        <v>Single</v>
      </c>
      <c r="F1995" s="7">
        <v>94472</v>
      </c>
      <c r="G1995" s="8">
        <v>0</v>
      </c>
      <c r="H1995" s="8">
        <v>1</v>
      </c>
      <c r="I1995" s="8">
        <f>Table1[[#This Row],[kids]]+Table1[[#This Row],[teens]]</f>
        <v>1</v>
      </c>
      <c r="J1995" s="9">
        <v>41732</v>
      </c>
      <c r="K1995" s="8">
        <v>75</v>
      </c>
      <c r="L1995" s="6">
        <v>1017</v>
      </c>
      <c r="M1995" s="5">
        <v>33</v>
      </c>
      <c r="N1995" s="5">
        <v>417</v>
      </c>
      <c r="O1995" s="5">
        <v>108</v>
      </c>
      <c r="P1995" s="5">
        <v>100</v>
      </c>
      <c r="Q1995" s="5">
        <v>16</v>
      </c>
      <c r="R1995" s="8">
        <v>1</v>
      </c>
      <c r="S1995" s="8">
        <v>5</v>
      </c>
      <c r="T1995" s="8">
        <v>5</v>
      </c>
      <c r="U1995" s="8">
        <v>5</v>
      </c>
      <c r="V1995" s="8">
        <v>5</v>
      </c>
      <c r="W1995" t="s">
        <v>473</v>
      </c>
      <c r="X1995" t="s">
        <v>474</v>
      </c>
      <c r="Y1995" t="s">
        <v>474</v>
      </c>
      <c r="Z1995" t="s">
        <v>473</v>
      </c>
      <c r="AA1995" t="s">
        <v>473</v>
      </c>
      <c r="AB1995" t="s">
        <v>473</v>
      </c>
      <c r="AC1995" s="10">
        <v>3</v>
      </c>
      <c r="AD1995" s="10">
        <v>11</v>
      </c>
      <c r="AE1995" t="s">
        <v>473</v>
      </c>
    </row>
    <row r="1996" spans="1:31" x14ac:dyDescent="0.25">
      <c r="A1996">
        <v>4547</v>
      </c>
      <c r="B1996">
        <v>1960</v>
      </c>
      <c r="C1996" t="s">
        <v>466</v>
      </c>
      <c r="D1996" t="s">
        <v>31</v>
      </c>
      <c r="E1996" t="str">
        <f>IF(OR(Table1[[#This Row],[marital_status]]="Married", Table1[[#This Row],[marital_status]]="Together"), "Partnered", "Single")</f>
        <v>Partnered</v>
      </c>
      <c r="F1996" s="7">
        <v>13672</v>
      </c>
      <c r="G1996" s="8">
        <v>1</v>
      </c>
      <c r="H1996" s="8">
        <v>1</v>
      </c>
      <c r="I1996" s="8">
        <f>Table1[[#This Row],[kids]]+Table1[[#This Row],[teens]]</f>
        <v>2</v>
      </c>
      <c r="J1996" s="9">
        <v>41381</v>
      </c>
      <c r="K1996" s="8">
        <v>86</v>
      </c>
      <c r="L1996" s="6">
        <v>6</v>
      </c>
      <c r="M1996" s="5">
        <v>2</v>
      </c>
      <c r="N1996" s="5">
        <v>9</v>
      </c>
      <c r="O1996" s="5">
        <v>2</v>
      </c>
      <c r="P1996" s="5">
        <v>1</v>
      </c>
      <c r="Q1996" s="5">
        <v>5</v>
      </c>
      <c r="R1996" s="8">
        <v>2</v>
      </c>
      <c r="S1996" s="8">
        <v>1</v>
      </c>
      <c r="T1996" s="8">
        <v>0</v>
      </c>
      <c r="U1996" s="8">
        <v>3</v>
      </c>
      <c r="V1996" s="8">
        <v>8</v>
      </c>
      <c r="W1996" t="s">
        <v>473</v>
      </c>
      <c r="X1996" t="s">
        <v>473</v>
      </c>
      <c r="Y1996" t="s">
        <v>473</v>
      </c>
      <c r="Z1996" t="s">
        <v>473</v>
      </c>
      <c r="AA1996" t="s">
        <v>473</v>
      </c>
      <c r="AB1996" t="s">
        <v>473</v>
      </c>
      <c r="AC1996" s="10">
        <v>3</v>
      </c>
      <c r="AD1996" s="10">
        <v>11</v>
      </c>
      <c r="AE1996" t="s">
        <v>473</v>
      </c>
    </row>
    <row r="1997" spans="1:31" x14ac:dyDescent="0.25">
      <c r="A1997">
        <v>6815</v>
      </c>
      <c r="B1997">
        <v>1980</v>
      </c>
      <c r="C1997" t="s">
        <v>46</v>
      </c>
      <c r="D1997" t="s">
        <v>34</v>
      </c>
      <c r="E1997" t="str">
        <f>IF(OR(Table1[[#This Row],[marital_status]]="Married", Table1[[#This Row],[marital_status]]="Together"), "Partnered", "Single")</f>
        <v>Partnered</v>
      </c>
      <c r="F1997" s="7">
        <v>96547</v>
      </c>
      <c r="G1997" s="8">
        <v>0</v>
      </c>
      <c r="H1997" s="8">
        <v>0</v>
      </c>
      <c r="I1997" s="8">
        <f>Table1[[#This Row],[kids]]+Table1[[#This Row],[teens]]</f>
        <v>0</v>
      </c>
      <c r="J1997" s="9">
        <v>41782</v>
      </c>
      <c r="K1997" s="8">
        <v>4</v>
      </c>
      <c r="L1997" s="6">
        <v>448</v>
      </c>
      <c r="M1997" s="5">
        <v>21</v>
      </c>
      <c r="N1997" s="5">
        <v>125</v>
      </c>
      <c r="O1997" s="5">
        <v>52</v>
      </c>
      <c r="P1997" s="5">
        <v>101</v>
      </c>
      <c r="Q1997" s="5">
        <v>62</v>
      </c>
      <c r="R1997" s="8">
        <v>0</v>
      </c>
      <c r="S1997" s="8">
        <v>7</v>
      </c>
      <c r="T1997" s="8">
        <v>6</v>
      </c>
      <c r="U1997" s="8">
        <v>8</v>
      </c>
      <c r="V1997" s="8">
        <v>2</v>
      </c>
      <c r="W1997" t="s">
        <v>474</v>
      </c>
      <c r="X1997" t="s">
        <v>473</v>
      </c>
      <c r="Y1997" t="s">
        <v>474</v>
      </c>
      <c r="Z1997" t="s">
        <v>474</v>
      </c>
      <c r="AA1997" t="s">
        <v>473</v>
      </c>
      <c r="AB1997" t="s">
        <v>473</v>
      </c>
      <c r="AC1997" s="10">
        <v>3</v>
      </c>
      <c r="AD1997" s="10">
        <v>11</v>
      </c>
      <c r="AE1997" t="s">
        <v>474</v>
      </c>
    </row>
    <row r="1998" spans="1:31" x14ac:dyDescent="0.25">
      <c r="A1998">
        <v>4122</v>
      </c>
      <c r="B1998">
        <v>1975</v>
      </c>
      <c r="C1998" t="s">
        <v>466</v>
      </c>
      <c r="D1998" t="s">
        <v>34</v>
      </c>
      <c r="E1998" t="str">
        <f>IF(OR(Table1[[#This Row],[marital_status]]="Married", Table1[[#This Row],[marital_status]]="Together"), "Partnered", "Single")</f>
        <v>Partnered</v>
      </c>
      <c r="F1998" s="7">
        <v>79205</v>
      </c>
      <c r="G1998" s="8">
        <v>0</v>
      </c>
      <c r="H1998" s="8">
        <v>0</v>
      </c>
      <c r="I1998" s="8">
        <f>Table1[[#This Row],[kids]]+Table1[[#This Row],[teens]]</f>
        <v>0</v>
      </c>
      <c r="J1998" s="9">
        <v>41150</v>
      </c>
      <c r="K1998" s="8">
        <v>73</v>
      </c>
      <c r="L1998" s="6">
        <v>504</v>
      </c>
      <c r="M1998" s="5">
        <v>23</v>
      </c>
      <c r="N1998" s="5">
        <v>117</v>
      </c>
      <c r="O1998" s="5">
        <v>179</v>
      </c>
      <c r="P1998" s="5">
        <v>28</v>
      </c>
      <c r="Q1998" s="5">
        <v>44</v>
      </c>
      <c r="R1998" s="8">
        <v>1</v>
      </c>
      <c r="S1998" s="8">
        <v>6</v>
      </c>
      <c r="T1998" s="8">
        <v>5</v>
      </c>
      <c r="U1998" s="8">
        <v>4</v>
      </c>
      <c r="V1998" s="8">
        <v>4</v>
      </c>
      <c r="W1998" t="s">
        <v>473</v>
      </c>
      <c r="X1998" t="s">
        <v>473</v>
      </c>
      <c r="Y1998" t="s">
        <v>473</v>
      </c>
      <c r="Z1998" t="s">
        <v>474</v>
      </c>
      <c r="AA1998" t="s">
        <v>473</v>
      </c>
      <c r="AB1998" t="s">
        <v>473</v>
      </c>
      <c r="AC1998" s="10">
        <v>3</v>
      </c>
      <c r="AD1998" s="10">
        <v>11</v>
      </c>
      <c r="AE1998" t="s">
        <v>474</v>
      </c>
    </row>
    <row r="1999" spans="1:31" x14ac:dyDescent="0.25">
      <c r="A1999">
        <v>10841</v>
      </c>
      <c r="B1999">
        <v>1975</v>
      </c>
      <c r="C1999" t="s">
        <v>33</v>
      </c>
      <c r="D1999" t="s">
        <v>31</v>
      </c>
      <c r="E1999" t="str">
        <f>IF(OR(Table1[[#This Row],[marital_status]]="Married", Table1[[#This Row],[marital_status]]="Together"), "Partnered", "Single")</f>
        <v>Partnered</v>
      </c>
      <c r="F1999" s="7">
        <v>56559</v>
      </c>
      <c r="G1999" s="8">
        <v>0</v>
      </c>
      <c r="H1999" s="8">
        <v>1</v>
      </c>
      <c r="I1999" s="8">
        <f>Table1[[#This Row],[kids]]+Table1[[#This Row],[teens]]</f>
        <v>1</v>
      </c>
      <c r="J1999" s="9">
        <v>41268</v>
      </c>
      <c r="K1999" s="8">
        <v>46</v>
      </c>
      <c r="L1999" s="6">
        <v>226</v>
      </c>
      <c r="M1999" s="5">
        <v>22</v>
      </c>
      <c r="N1999" s="5">
        <v>133</v>
      </c>
      <c r="O1999" s="5">
        <v>41</v>
      </c>
      <c r="P1999" s="5">
        <v>31</v>
      </c>
      <c r="Q1999" s="5">
        <v>31</v>
      </c>
      <c r="R1999" s="8">
        <v>3</v>
      </c>
      <c r="S1999" s="8">
        <v>4</v>
      </c>
      <c r="T1999" s="8">
        <v>3</v>
      </c>
      <c r="U1999" s="8">
        <v>8</v>
      </c>
      <c r="V1999" s="8">
        <v>4</v>
      </c>
      <c r="W1999" t="s">
        <v>473</v>
      </c>
      <c r="X1999" t="s">
        <v>473</v>
      </c>
      <c r="Y1999" t="s">
        <v>473</v>
      </c>
      <c r="Z1999" t="s">
        <v>473</v>
      </c>
      <c r="AA1999" t="s">
        <v>473</v>
      </c>
      <c r="AB1999" t="s">
        <v>473</v>
      </c>
      <c r="AC1999" s="10">
        <v>3</v>
      </c>
      <c r="AD1999" s="10">
        <v>11</v>
      </c>
      <c r="AE1999" t="s">
        <v>473</v>
      </c>
    </row>
    <row r="2000" spans="1:31" x14ac:dyDescent="0.25">
      <c r="A2000">
        <v>5370</v>
      </c>
      <c r="B2000">
        <v>1973</v>
      </c>
      <c r="C2000" t="s">
        <v>33</v>
      </c>
      <c r="D2000" t="s">
        <v>34</v>
      </c>
      <c r="E2000" t="str">
        <f>IF(OR(Table1[[#This Row],[marital_status]]="Married", Table1[[#This Row],[marital_status]]="Together"), "Partnered", "Single")</f>
        <v>Partnered</v>
      </c>
      <c r="F2000" s="7">
        <v>32644</v>
      </c>
      <c r="G2000" s="8">
        <v>1</v>
      </c>
      <c r="H2000" s="8">
        <v>0</v>
      </c>
      <c r="I2000" s="8">
        <f>Table1[[#This Row],[kids]]+Table1[[#This Row],[teens]]</f>
        <v>1</v>
      </c>
      <c r="J2000" s="9">
        <v>41290</v>
      </c>
      <c r="K2000" s="8">
        <v>38</v>
      </c>
      <c r="L2000" s="6">
        <v>239</v>
      </c>
      <c r="M2000" s="5">
        <v>3</v>
      </c>
      <c r="N2000" s="5">
        <v>141</v>
      </c>
      <c r="O2000" s="5">
        <v>0</v>
      </c>
      <c r="P2000" s="5">
        <v>7</v>
      </c>
      <c r="Q2000" s="5">
        <v>23</v>
      </c>
      <c r="R2000" s="8">
        <v>4</v>
      </c>
      <c r="S2000" s="8">
        <v>7</v>
      </c>
      <c r="T2000" s="8">
        <v>1</v>
      </c>
      <c r="U2000" s="8">
        <v>6</v>
      </c>
      <c r="V2000" s="8">
        <v>8</v>
      </c>
      <c r="W2000" t="s">
        <v>474</v>
      </c>
      <c r="X2000" t="s">
        <v>473</v>
      </c>
      <c r="Y2000" t="s">
        <v>473</v>
      </c>
      <c r="Z2000" t="s">
        <v>473</v>
      </c>
      <c r="AA2000" t="s">
        <v>473</v>
      </c>
      <c r="AB2000" t="s">
        <v>473</v>
      </c>
      <c r="AC2000" s="10">
        <v>3</v>
      </c>
      <c r="AD2000" s="10">
        <v>11</v>
      </c>
      <c r="AE2000" t="s">
        <v>473</v>
      </c>
    </row>
    <row r="2001" spans="1:31" x14ac:dyDescent="0.25">
      <c r="A2001">
        <v>176</v>
      </c>
      <c r="B2001">
        <v>1980</v>
      </c>
      <c r="C2001" t="s">
        <v>46</v>
      </c>
      <c r="D2001" t="s">
        <v>30</v>
      </c>
      <c r="E2001" t="str">
        <f>IF(OR(Table1[[#This Row],[marital_status]]="Married", Table1[[#This Row],[marital_status]]="Together"), "Partnered", "Single")</f>
        <v>Single</v>
      </c>
      <c r="F2001" s="7">
        <v>67506</v>
      </c>
      <c r="G2001" s="8">
        <v>0</v>
      </c>
      <c r="H2001" s="8">
        <v>1</v>
      </c>
      <c r="I2001" s="8">
        <f>Table1[[#This Row],[kids]]+Table1[[#This Row],[teens]]</f>
        <v>1</v>
      </c>
      <c r="J2001" s="9">
        <v>41641</v>
      </c>
      <c r="K2001" s="8">
        <v>73</v>
      </c>
      <c r="L2001" s="6">
        <v>90</v>
      </c>
      <c r="M2001" s="5">
        <v>38</v>
      </c>
      <c r="N2001" s="5">
        <v>67</v>
      </c>
      <c r="O2001" s="5">
        <v>33</v>
      </c>
      <c r="P2001" s="5">
        <v>36</v>
      </c>
      <c r="Q2001" s="5">
        <v>67</v>
      </c>
      <c r="R2001" s="8">
        <v>1</v>
      </c>
      <c r="S2001" s="8">
        <v>4</v>
      </c>
      <c r="T2001" s="8">
        <v>1</v>
      </c>
      <c r="U2001" s="8">
        <v>6</v>
      </c>
      <c r="V2001" s="8">
        <v>3</v>
      </c>
      <c r="W2001" t="s">
        <v>473</v>
      </c>
      <c r="X2001" t="s">
        <v>473</v>
      </c>
      <c r="Y2001" t="s">
        <v>473</v>
      </c>
      <c r="Z2001" t="s">
        <v>473</v>
      </c>
      <c r="AA2001" t="s">
        <v>473</v>
      </c>
      <c r="AB2001" t="s">
        <v>473</v>
      </c>
      <c r="AC2001" s="10">
        <v>3</v>
      </c>
      <c r="AD2001" s="10">
        <v>11</v>
      </c>
      <c r="AE2001" t="s">
        <v>473</v>
      </c>
    </row>
    <row r="2002" spans="1:31" x14ac:dyDescent="0.25">
      <c r="A2002">
        <v>4860</v>
      </c>
      <c r="B2002">
        <v>1970</v>
      </c>
      <c r="C2002" t="s">
        <v>466</v>
      </c>
      <c r="D2002" t="s">
        <v>30</v>
      </c>
      <c r="E2002" t="str">
        <f>IF(OR(Table1[[#This Row],[marital_status]]="Married", Table1[[#This Row],[marital_status]]="Together"), "Partnered", "Single")</f>
        <v>Single</v>
      </c>
      <c r="F2002" s="7">
        <v>24206</v>
      </c>
      <c r="G2002" s="8">
        <v>1</v>
      </c>
      <c r="H2002" s="8">
        <v>0</v>
      </c>
      <c r="I2002" s="8">
        <f>Table1[[#This Row],[kids]]+Table1[[#This Row],[teens]]</f>
        <v>1</v>
      </c>
      <c r="J2002" s="9">
        <v>41341</v>
      </c>
      <c r="K2002" s="8">
        <v>66</v>
      </c>
      <c r="L2002" s="6">
        <v>7</v>
      </c>
      <c r="M2002" s="5">
        <v>2</v>
      </c>
      <c r="N2002" s="5">
        <v>8</v>
      </c>
      <c r="O2002" s="5">
        <v>3</v>
      </c>
      <c r="P2002" s="5">
        <v>2</v>
      </c>
      <c r="Q2002" s="5">
        <v>3</v>
      </c>
      <c r="R2002" s="8">
        <v>1</v>
      </c>
      <c r="S2002" s="8">
        <v>1</v>
      </c>
      <c r="T2002" s="8">
        <v>0</v>
      </c>
      <c r="U2002" s="8">
        <v>3</v>
      </c>
      <c r="V2002" s="8">
        <v>6</v>
      </c>
      <c r="W2002" t="s">
        <v>473</v>
      </c>
      <c r="X2002" t="s">
        <v>473</v>
      </c>
      <c r="Y2002" t="s">
        <v>473</v>
      </c>
      <c r="Z2002" t="s">
        <v>473</v>
      </c>
      <c r="AA2002" t="s">
        <v>473</v>
      </c>
      <c r="AB2002" t="s">
        <v>473</v>
      </c>
      <c r="AC2002" s="10">
        <v>3</v>
      </c>
      <c r="AD2002" s="10">
        <v>11</v>
      </c>
      <c r="AE2002" t="s">
        <v>473</v>
      </c>
    </row>
    <row r="2003" spans="1:31" x14ac:dyDescent="0.25">
      <c r="A2003">
        <v>10757</v>
      </c>
      <c r="B2003">
        <v>1967</v>
      </c>
      <c r="C2003" t="s">
        <v>33</v>
      </c>
      <c r="D2003" t="s">
        <v>37</v>
      </c>
      <c r="E2003" t="str">
        <f>IF(OR(Table1[[#This Row],[marital_status]]="Married", Table1[[#This Row],[marital_status]]="Together"), "Partnered", "Single")</f>
        <v>Single</v>
      </c>
      <c r="F2003" s="7">
        <v>28420</v>
      </c>
      <c r="G2003" s="8">
        <v>1</v>
      </c>
      <c r="H2003" s="8">
        <v>0</v>
      </c>
      <c r="I2003" s="8">
        <f>Table1[[#This Row],[kids]]+Table1[[#This Row],[teens]]</f>
        <v>1</v>
      </c>
      <c r="J2003" s="9">
        <v>41632</v>
      </c>
      <c r="K2003" s="8">
        <v>36</v>
      </c>
      <c r="L2003" s="6">
        <v>4</v>
      </c>
      <c r="M2003" s="5">
        <v>2</v>
      </c>
      <c r="N2003" s="5">
        <v>5</v>
      </c>
      <c r="O2003" s="5">
        <v>2</v>
      </c>
      <c r="P2003" s="5">
        <v>0</v>
      </c>
      <c r="Q2003" s="5">
        <v>0</v>
      </c>
      <c r="R2003" s="8">
        <v>1</v>
      </c>
      <c r="S2003" s="8">
        <v>1</v>
      </c>
      <c r="T2003" s="8">
        <v>0</v>
      </c>
      <c r="U2003" s="8">
        <v>2</v>
      </c>
      <c r="V2003" s="8">
        <v>6</v>
      </c>
      <c r="W2003" t="s">
        <v>473</v>
      </c>
      <c r="X2003" t="s">
        <v>473</v>
      </c>
      <c r="Y2003" t="s">
        <v>473</v>
      </c>
      <c r="Z2003" t="s">
        <v>473</v>
      </c>
      <c r="AA2003" t="s">
        <v>473</v>
      </c>
      <c r="AB2003" t="s">
        <v>473</v>
      </c>
      <c r="AC2003" s="10">
        <v>3</v>
      </c>
      <c r="AD2003" s="10">
        <v>11</v>
      </c>
      <c r="AE2003" t="s">
        <v>473</v>
      </c>
    </row>
    <row r="2004" spans="1:31" x14ac:dyDescent="0.25">
      <c r="A2004">
        <v>4023</v>
      </c>
      <c r="B2004">
        <v>1970</v>
      </c>
      <c r="C2004" t="s">
        <v>466</v>
      </c>
      <c r="D2004" t="s">
        <v>34</v>
      </c>
      <c r="E2004" t="str">
        <f>IF(OR(Table1[[#This Row],[marital_status]]="Married", Table1[[#This Row],[marital_status]]="Together"), "Partnered", "Single")</f>
        <v>Partnered</v>
      </c>
      <c r="F2004" s="7">
        <v>22979</v>
      </c>
      <c r="G2004" s="8">
        <v>1</v>
      </c>
      <c r="H2004" s="8">
        <v>0</v>
      </c>
      <c r="I2004" s="8">
        <f>Table1[[#This Row],[kids]]+Table1[[#This Row],[teens]]</f>
        <v>1</v>
      </c>
      <c r="J2004" s="9">
        <v>41158</v>
      </c>
      <c r="K2004" s="8">
        <v>29</v>
      </c>
      <c r="L2004" s="6">
        <v>16</v>
      </c>
      <c r="M2004" s="5">
        <v>17</v>
      </c>
      <c r="N2004" s="5">
        <v>19</v>
      </c>
      <c r="O2004" s="5">
        <v>20</v>
      </c>
      <c r="P2004" s="5">
        <v>21</v>
      </c>
      <c r="Q2004" s="5">
        <v>22</v>
      </c>
      <c r="R2004" s="8">
        <v>3</v>
      </c>
      <c r="S2004" s="8">
        <v>3</v>
      </c>
      <c r="T2004" s="8">
        <v>2</v>
      </c>
      <c r="U2004" s="8">
        <v>2</v>
      </c>
      <c r="V2004" s="8">
        <v>8</v>
      </c>
      <c r="W2004" t="s">
        <v>473</v>
      </c>
      <c r="X2004" t="s">
        <v>473</v>
      </c>
      <c r="Y2004" t="s">
        <v>473</v>
      </c>
      <c r="Z2004" t="s">
        <v>473</v>
      </c>
      <c r="AA2004" t="s">
        <v>473</v>
      </c>
      <c r="AB2004" t="s">
        <v>473</v>
      </c>
      <c r="AC2004" s="10">
        <v>3</v>
      </c>
      <c r="AD2004" s="10">
        <v>11</v>
      </c>
      <c r="AE2004" t="s">
        <v>474</v>
      </c>
    </row>
    <row r="2005" spans="1:31" x14ac:dyDescent="0.25">
      <c r="A2005">
        <v>6679</v>
      </c>
      <c r="B2005">
        <v>1966</v>
      </c>
      <c r="C2005" t="s">
        <v>466</v>
      </c>
      <c r="D2005" t="s">
        <v>30</v>
      </c>
      <c r="E2005" t="str">
        <f>IF(OR(Table1[[#This Row],[marital_status]]="Married", Table1[[#This Row],[marital_status]]="Together"), "Partnered", "Single")</f>
        <v>Single</v>
      </c>
      <c r="F2005" s="7">
        <v>33279</v>
      </c>
      <c r="G2005" s="8">
        <v>0</v>
      </c>
      <c r="H2005" s="8">
        <v>0</v>
      </c>
      <c r="I2005" s="8">
        <f>Table1[[#This Row],[kids]]+Table1[[#This Row],[teens]]</f>
        <v>0</v>
      </c>
      <c r="J2005" s="9">
        <v>41802</v>
      </c>
      <c r="K2005" s="8">
        <v>29</v>
      </c>
      <c r="L2005" s="6">
        <v>10</v>
      </c>
      <c r="M2005" s="5">
        <v>3</v>
      </c>
      <c r="N2005" s="5">
        <v>3</v>
      </c>
      <c r="O2005" s="5">
        <v>0</v>
      </c>
      <c r="P2005" s="5">
        <v>0</v>
      </c>
      <c r="Q2005" s="5">
        <v>0</v>
      </c>
      <c r="R2005" s="8">
        <v>1</v>
      </c>
      <c r="S2005" s="8">
        <v>0</v>
      </c>
      <c r="T2005" s="8">
        <v>0</v>
      </c>
      <c r="U2005" s="8">
        <v>3</v>
      </c>
      <c r="V2005" s="8">
        <v>3</v>
      </c>
      <c r="W2005" t="s">
        <v>473</v>
      </c>
      <c r="X2005" t="s">
        <v>473</v>
      </c>
      <c r="Y2005" t="s">
        <v>473</v>
      </c>
      <c r="Z2005" t="s">
        <v>473</v>
      </c>
      <c r="AA2005" t="s">
        <v>473</v>
      </c>
      <c r="AB2005" t="s">
        <v>473</v>
      </c>
      <c r="AC2005" s="10">
        <v>3</v>
      </c>
      <c r="AD2005" s="10">
        <v>11</v>
      </c>
      <c r="AE2005" t="s">
        <v>473</v>
      </c>
    </row>
    <row r="2006" spans="1:31" x14ac:dyDescent="0.25">
      <c r="A2006">
        <v>9923</v>
      </c>
      <c r="B2006">
        <v>1972</v>
      </c>
      <c r="C2006" t="s">
        <v>36</v>
      </c>
      <c r="D2006" t="s">
        <v>30</v>
      </c>
      <c r="E2006" t="str">
        <f>IF(OR(Table1[[#This Row],[marital_status]]="Married", Table1[[#This Row],[marital_status]]="Together"), "Partnered", "Single")</f>
        <v>Single</v>
      </c>
      <c r="F2006" s="7">
        <v>46423</v>
      </c>
      <c r="G2006" s="8">
        <v>1</v>
      </c>
      <c r="H2006" s="8">
        <v>1</v>
      </c>
      <c r="I2006" s="8">
        <f>Table1[[#This Row],[kids]]+Table1[[#This Row],[teens]]</f>
        <v>2</v>
      </c>
      <c r="J2006" s="9">
        <v>41535</v>
      </c>
      <c r="K2006" s="8">
        <v>6</v>
      </c>
      <c r="L2006" s="6">
        <v>68</v>
      </c>
      <c r="M2006" s="5">
        <v>0</v>
      </c>
      <c r="N2006" s="5">
        <v>16</v>
      </c>
      <c r="O2006" s="5">
        <v>0</v>
      </c>
      <c r="P2006" s="5">
        <v>0</v>
      </c>
      <c r="Q2006" s="5">
        <v>8</v>
      </c>
      <c r="R2006" s="8">
        <v>3</v>
      </c>
      <c r="S2006" s="8">
        <v>2</v>
      </c>
      <c r="T2006" s="8">
        <v>0</v>
      </c>
      <c r="U2006" s="8">
        <v>4</v>
      </c>
      <c r="V2006" s="8">
        <v>7</v>
      </c>
      <c r="W2006" t="s">
        <v>473</v>
      </c>
      <c r="X2006" t="s">
        <v>473</v>
      </c>
      <c r="Y2006" t="s">
        <v>473</v>
      </c>
      <c r="Z2006" t="s">
        <v>473</v>
      </c>
      <c r="AA2006" t="s">
        <v>473</v>
      </c>
      <c r="AB2006" t="s">
        <v>473</v>
      </c>
      <c r="AC2006" s="10">
        <v>3</v>
      </c>
      <c r="AD2006" s="10">
        <v>11</v>
      </c>
      <c r="AE2006" t="s">
        <v>473</v>
      </c>
    </row>
    <row r="2007" spans="1:31" x14ac:dyDescent="0.25">
      <c r="A2007">
        <v>7181</v>
      </c>
      <c r="B2007">
        <v>1977</v>
      </c>
      <c r="C2007" t="s">
        <v>466</v>
      </c>
      <c r="D2007" t="s">
        <v>34</v>
      </c>
      <c r="E2007" t="str">
        <f>IF(OR(Table1[[#This Row],[marital_status]]="Married", Table1[[#This Row],[marital_status]]="Together"), "Partnered", "Single")</f>
        <v>Partnered</v>
      </c>
      <c r="F2007" s="7">
        <v>30368</v>
      </c>
      <c r="G2007" s="8">
        <v>0</v>
      </c>
      <c r="H2007" s="8">
        <v>1</v>
      </c>
      <c r="I2007" s="8">
        <f>Table1[[#This Row],[kids]]+Table1[[#This Row],[teens]]</f>
        <v>1</v>
      </c>
      <c r="J2007" s="9">
        <v>41585</v>
      </c>
      <c r="K2007" s="8">
        <v>97</v>
      </c>
      <c r="L2007" s="6">
        <v>35</v>
      </c>
      <c r="M2007" s="5">
        <v>0</v>
      </c>
      <c r="N2007" s="5">
        <v>13</v>
      </c>
      <c r="O2007" s="5">
        <v>2</v>
      </c>
      <c r="P2007" s="5">
        <v>0</v>
      </c>
      <c r="Q2007" s="5">
        <v>2</v>
      </c>
      <c r="R2007" s="8">
        <v>2</v>
      </c>
      <c r="S2007" s="8">
        <v>2</v>
      </c>
      <c r="T2007" s="8">
        <v>0</v>
      </c>
      <c r="U2007" s="8">
        <v>3</v>
      </c>
      <c r="V2007" s="8">
        <v>8</v>
      </c>
      <c r="W2007" t="s">
        <v>473</v>
      </c>
      <c r="X2007" t="s">
        <v>473</v>
      </c>
      <c r="Y2007" t="s">
        <v>473</v>
      </c>
      <c r="Z2007" t="s">
        <v>473</v>
      </c>
      <c r="AA2007" t="s">
        <v>473</v>
      </c>
      <c r="AB2007" t="s">
        <v>473</v>
      </c>
      <c r="AC2007" s="10">
        <v>3</v>
      </c>
      <c r="AD2007" s="10">
        <v>11</v>
      </c>
      <c r="AE2007" t="s">
        <v>473</v>
      </c>
    </row>
    <row r="2008" spans="1:31" x14ac:dyDescent="0.25">
      <c r="A2008">
        <v>3599</v>
      </c>
      <c r="B2008">
        <v>1970</v>
      </c>
      <c r="C2008" t="s">
        <v>466</v>
      </c>
      <c r="D2008" t="s">
        <v>34</v>
      </c>
      <c r="E2008" t="str">
        <f>IF(OR(Table1[[#This Row],[marital_status]]="Married", Table1[[#This Row],[marital_status]]="Together"), "Partnered", "Single")</f>
        <v>Partnered</v>
      </c>
      <c r="F2008" s="7">
        <v>63684</v>
      </c>
      <c r="G2008" s="8">
        <v>0</v>
      </c>
      <c r="H2008" s="8">
        <v>1</v>
      </c>
      <c r="I2008" s="8">
        <f>Table1[[#This Row],[kids]]+Table1[[#This Row],[teens]]</f>
        <v>1</v>
      </c>
      <c r="J2008" s="9">
        <v>41239</v>
      </c>
      <c r="K2008" s="8">
        <v>61</v>
      </c>
      <c r="L2008" s="6">
        <v>575</v>
      </c>
      <c r="M2008" s="5">
        <v>80</v>
      </c>
      <c r="N2008" s="5">
        <v>428</v>
      </c>
      <c r="O2008" s="5">
        <v>208</v>
      </c>
      <c r="P2008" s="5">
        <v>93</v>
      </c>
      <c r="Q2008" s="5">
        <v>80</v>
      </c>
      <c r="R2008" s="8">
        <v>3</v>
      </c>
      <c r="S2008" s="8">
        <v>8</v>
      </c>
      <c r="T2008" s="8">
        <v>4</v>
      </c>
      <c r="U2008" s="8">
        <v>8</v>
      </c>
      <c r="V2008" s="8">
        <v>5</v>
      </c>
      <c r="W2008" t="s">
        <v>473</v>
      </c>
      <c r="X2008" t="s">
        <v>473</v>
      </c>
      <c r="Y2008" t="s">
        <v>473</v>
      </c>
      <c r="Z2008" t="s">
        <v>473</v>
      </c>
      <c r="AA2008" t="s">
        <v>473</v>
      </c>
      <c r="AB2008" t="s">
        <v>473</v>
      </c>
      <c r="AC2008" s="10">
        <v>3</v>
      </c>
      <c r="AD2008" s="10">
        <v>11</v>
      </c>
      <c r="AE2008" t="s">
        <v>473</v>
      </c>
    </row>
    <row r="2009" spans="1:31" x14ac:dyDescent="0.25">
      <c r="A2009">
        <v>405</v>
      </c>
      <c r="B2009">
        <v>1964</v>
      </c>
      <c r="C2009" t="s">
        <v>466</v>
      </c>
      <c r="D2009" t="s">
        <v>37</v>
      </c>
      <c r="E2009" t="str">
        <f>IF(OR(Table1[[#This Row],[marital_status]]="Married", Table1[[#This Row],[marital_status]]="Together"), "Partnered", "Single")</f>
        <v>Single</v>
      </c>
      <c r="F2009" s="7">
        <v>41638</v>
      </c>
      <c r="G2009" s="8">
        <v>0</v>
      </c>
      <c r="H2009" s="8">
        <v>1</v>
      </c>
      <c r="I2009" s="8">
        <f>Table1[[#This Row],[kids]]+Table1[[#This Row],[teens]]</f>
        <v>1</v>
      </c>
      <c r="J2009" s="9">
        <v>41318</v>
      </c>
      <c r="K2009" s="8">
        <v>68</v>
      </c>
      <c r="L2009" s="6">
        <v>315</v>
      </c>
      <c r="M2009" s="5">
        <v>0</v>
      </c>
      <c r="N2009" s="5">
        <v>31</v>
      </c>
      <c r="O2009" s="5">
        <v>4</v>
      </c>
      <c r="P2009" s="5">
        <v>0</v>
      </c>
      <c r="Q2009" s="5">
        <v>91</v>
      </c>
      <c r="R2009" s="8">
        <v>4</v>
      </c>
      <c r="S2009" s="8">
        <v>5</v>
      </c>
      <c r="T2009" s="8">
        <v>5</v>
      </c>
      <c r="U2009" s="8">
        <v>3</v>
      </c>
      <c r="V2009" s="8">
        <v>8</v>
      </c>
      <c r="W2009" t="s">
        <v>474</v>
      </c>
      <c r="X2009" t="s">
        <v>473</v>
      </c>
      <c r="Y2009" t="s">
        <v>473</v>
      </c>
      <c r="Z2009" t="s">
        <v>473</v>
      </c>
      <c r="AA2009" t="s">
        <v>473</v>
      </c>
      <c r="AB2009" t="s">
        <v>473</v>
      </c>
      <c r="AC2009" s="10">
        <v>3</v>
      </c>
      <c r="AD2009" s="10">
        <v>11</v>
      </c>
      <c r="AE2009" t="s">
        <v>473</v>
      </c>
    </row>
    <row r="2010" spans="1:31" x14ac:dyDescent="0.25">
      <c r="A2010">
        <v>6870</v>
      </c>
      <c r="B2010">
        <v>1959</v>
      </c>
      <c r="C2010" t="s">
        <v>33</v>
      </c>
      <c r="D2010" t="s">
        <v>37</v>
      </c>
      <c r="E2010" t="str">
        <f>IF(OR(Table1[[#This Row],[marital_status]]="Married", Table1[[#This Row],[marital_status]]="Together"), "Partnered", "Single")</f>
        <v>Single</v>
      </c>
      <c r="F2010" s="7">
        <v>68805</v>
      </c>
      <c r="G2010" s="8">
        <v>0</v>
      </c>
      <c r="H2010" s="8">
        <v>1</v>
      </c>
      <c r="I2010" s="8">
        <f>Table1[[#This Row],[kids]]+Table1[[#This Row],[teens]]</f>
        <v>1</v>
      </c>
      <c r="J2010" s="9">
        <v>41534</v>
      </c>
      <c r="K2010" s="8">
        <v>73</v>
      </c>
      <c r="L2010" s="6">
        <v>182</v>
      </c>
      <c r="M2010" s="5">
        <v>2</v>
      </c>
      <c r="N2010" s="5">
        <v>49</v>
      </c>
      <c r="O2010" s="5">
        <v>17</v>
      </c>
      <c r="P2010" s="5">
        <v>13</v>
      </c>
      <c r="Q2010" s="5">
        <v>20</v>
      </c>
      <c r="R2010" s="8">
        <v>1</v>
      </c>
      <c r="S2010" s="8">
        <v>3</v>
      </c>
      <c r="T2010" s="8">
        <v>1</v>
      </c>
      <c r="U2010" s="8">
        <v>7</v>
      </c>
      <c r="V2010" s="8">
        <v>2</v>
      </c>
      <c r="W2010" t="s">
        <v>473</v>
      </c>
      <c r="X2010" t="s">
        <v>473</v>
      </c>
      <c r="Y2010" t="s">
        <v>473</v>
      </c>
      <c r="Z2010" t="s">
        <v>473</v>
      </c>
      <c r="AA2010" t="s">
        <v>473</v>
      </c>
      <c r="AB2010" t="s">
        <v>473</v>
      </c>
      <c r="AC2010" s="10">
        <v>3</v>
      </c>
      <c r="AD2010" s="10">
        <v>11</v>
      </c>
      <c r="AE2010" t="s">
        <v>473</v>
      </c>
    </row>
    <row r="2011" spans="1:31" x14ac:dyDescent="0.25">
      <c r="A2011">
        <v>832</v>
      </c>
      <c r="B2011">
        <v>1966</v>
      </c>
      <c r="C2011" t="s">
        <v>33</v>
      </c>
      <c r="D2011" t="s">
        <v>31</v>
      </c>
      <c r="E2011" t="str">
        <f>IF(OR(Table1[[#This Row],[marital_status]]="Married", Table1[[#This Row],[marital_status]]="Together"), "Partnered", "Single")</f>
        <v>Partnered</v>
      </c>
      <c r="F2011" s="7">
        <v>65814</v>
      </c>
      <c r="G2011" s="8">
        <v>0</v>
      </c>
      <c r="H2011" s="8">
        <v>1</v>
      </c>
      <c r="I2011" s="8">
        <f>Table1[[#This Row],[kids]]+Table1[[#This Row],[teens]]</f>
        <v>1</v>
      </c>
      <c r="J2011" s="9">
        <v>41700</v>
      </c>
      <c r="K2011" s="8">
        <v>90</v>
      </c>
      <c r="L2011" s="6">
        <v>561</v>
      </c>
      <c r="M2011" s="5">
        <v>14</v>
      </c>
      <c r="N2011" s="5">
        <v>113</v>
      </c>
      <c r="O2011" s="5">
        <v>10</v>
      </c>
      <c r="P2011" s="5">
        <v>14</v>
      </c>
      <c r="Q2011" s="5">
        <v>35</v>
      </c>
      <c r="R2011" s="8">
        <v>3</v>
      </c>
      <c r="S2011" s="8">
        <v>8</v>
      </c>
      <c r="T2011" s="8">
        <v>2</v>
      </c>
      <c r="U2011" s="8">
        <v>10</v>
      </c>
      <c r="V2011" s="8">
        <v>5</v>
      </c>
      <c r="W2011" t="s">
        <v>473</v>
      </c>
      <c r="X2011" t="s">
        <v>473</v>
      </c>
      <c r="Y2011" t="s">
        <v>473</v>
      </c>
      <c r="Z2011" t="s">
        <v>473</v>
      </c>
      <c r="AA2011" t="s">
        <v>473</v>
      </c>
      <c r="AB2011" t="s">
        <v>473</v>
      </c>
      <c r="AC2011" s="10">
        <v>3</v>
      </c>
      <c r="AD2011" s="10">
        <v>11</v>
      </c>
      <c r="AE2011" t="s">
        <v>473</v>
      </c>
    </row>
    <row r="2012" spans="1:31" x14ac:dyDescent="0.25">
      <c r="A2012">
        <v>2002</v>
      </c>
      <c r="B2012">
        <v>1958</v>
      </c>
      <c r="C2012" t="s">
        <v>466</v>
      </c>
      <c r="D2012" t="s">
        <v>37</v>
      </c>
      <c r="E2012" t="str">
        <f>IF(OR(Table1[[#This Row],[marital_status]]="Married", Table1[[#This Row],[marital_status]]="Together"), "Partnered", "Single")</f>
        <v>Single</v>
      </c>
      <c r="F2012" s="7">
        <v>71964</v>
      </c>
      <c r="G2012" s="8">
        <v>0</v>
      </c>
      <c r="H2012" s="8">
        <v>0</v>
      </c>
      <c r="I2012" s="8">
        <f>Table1[[#This Row],[kids]]+Table1[[#This Row],[teens]]</f>
        <v>0</v>
      </c>
      <c r="J2012" s="9">
        <v>41414</v>
      </c>
      <c r="K2012" s="8">
        <v>81</v>
      </c>
      <c r="L2012" s="6">
        <v>587</v>
      </c>
      <c r="M2012" s="5">
        <v>51</v>
      </c>
      <c r="N2012" s="5">
        <v>932</v>
      </c>
      <c r="O2012" s="5">
        <v>180</v>
      </c>
      <c r="P2012" s="5">
        <v>34</v>
      </c>
      <c r="Q2012" s="5">
        <v>86</v>
      </c>
      <c r="R2012" s="8">
        <v>1</v>
      </c>
      <c r="S2012" s="8">
        <v>5</v>
      </c>
      <c r="T2012" s="8">
        <v>6</v>
      </c>
      <c r="U2012" s="8">
        <v>5</v>
      </c>
      <c r="V2012" s="8">
        <v>3</v>
      </c>
      <c r="W2012" t="s">
        <v>473</v>
      </c>
      <c r="X2012" t="s">
        <v>473</v>
      </c>
      <c r="Y2012" t="s">
        <v>473</v>
      </c>
      <c r="Z2012" t="s">
        <v>473</v>
      </c>
      <c r="AA2012" t="s">
        <v>473</v>
      </c>
      <c r="AB2012" t="s">
        <v>473</v>
      </c>
      <c r="AC2012" s="10">
        <v>3</v>
      </c>
      <c r="AD2012" s="10">
        <v>11</v>
      </c>
      <c r="AE2012" t="s">
        <v>473</v>
      </c>
    </row>
    <row r="2013" spans="1:31" x14ac:dyDescent="0.25">
      <c r="A2013">
        <v>3657</v>
      </c>
      <c r="B2013">
        <v>1986</v>
      </c>
      <c r="C2013" t="s">
        <v>466</v>
      </c>
      <c r="D2013" t="s">
        <v>30</v>
      </c>
      <c r="E2013" t="str">
        <f>IF(OR(Table1[[#This Row],[marital_status]]="Married", Table1[[#This Row],[marital_status]]="Together"), "Partnered", "Single")</f>
        <v>Single</v>
      </c>
      <c r="F2013" s="7">
        <v>39146</v>
      </c>
      <c r="G2013" s="8">
        <v>1</v>
      </c>
      <c r="H2013" s="8">
        <v>0</v>
      </c>
      <c r="I2013" s="8">
        <f>Table1[[#This Row],[kids]]+Table1[[#This Row],[teens]]</f>
        <v>1</v>
      </c>
      <c r="J2013" s="9">
        <v>41319</v>
      </c>
      <c r="K2013" s="8">
        <v>1</v>
      </c>
      <c r="L2013" s="6">
        <v>94</v>
      </c>
      <c r="M2013" s="5">
        <v>1</v>
      </c>
      <c r="N2013" s="5">
        <v>33</v>
      </c>
      <c r="O2013" s="5">
        <v>13</v>
      </c>
      <c r="P2013" s="5">
        <v>12</v>
      </c>
      <c r="Q2013" s="5">
        <v>12</v>
      </c>
      <c r="R2013" s="8">
        <v>3</v>
      </c>
      <c r="S2013" s="8">
        <v>4</v>
      </c>
      <c r="T2013" s="8">
        <v>0</v>
      </c>
      <c r="U2013" s="8">
        <v>4</v>
      </c>
      <c r="V2013" s="8">
        <v>8</v>
      </c>
      <c r="W2013" t="s">
        <v>473</v>
      </c>
      <c r="X2013" t="s">
        <v>473</v>
      </c>
      <c r="Y2013" t="s">
        <v>473</v>
      </c>
      <c r="Z2013" t="s">
        <v>473</v>
      </c>
      <c r="AA2013" t="s">
        <v>473</v>
      </c>
      <c r="AB2013" t="s">
        <v>473</v>
      </c>
      <c r="AC2013" s="10">
        <v>3</v>
      </c>
      <c r="AD2013" s="10">
        <v>11</v>
      </c>
      <c r="AE2013" t="s">
        <v>473</v>
      </c>
    </row>
    <row r="2014" spans="1:31" x14ac:dyDescent="0.25">
      <c r="A2014">
        <v>500</v>
      </c>
      <c r="B2014">
        <v>1977</v>
      </c>
      <c r="C2014" t="s">
        <v>466</v>
      </c>
      <c r="D2014" t="s">
        <v>31</v>
      </c>
      <c r="E2014" t="str">
        <f>IF(OR(Table1[[#This Row],[marital_status]]="Married", Table1[[#This Row],[marital_status]]="Together"), "Partnered", "Single")</f>
        <v>Partnered</v>
      </c>
      <c r="F2014" s="7">
        <v>96876</v>
      </c>
      <c r="G2014" s="8">
        <v>0</v>
      </c>
      <c r="H2014" s="8">
        <v>0</v>
      </c>
      <c r="I2014" s="8">
        <f>Table1[[#This Row],[kids]]+Table1[[#This Row],[teens]]</f>
        <v>0</v>
      </c>
      <c r="J2014" s="9">
        <v>41492</v>
      </c>
      <c r="K2014" s="8">
        <v>79</v>
      </c>
      <c r="L2014" s="6">
        <v>908</v>
      </c>
      <c r="M2014" s="5">
        <v>43</v>
      </c>
      <c r="N2014" s="5">
        <v>735</v>
      </c>
      <c r="O2014" s="5">
        <v>40</v>
      </c>
      <c r="P2014" s="5">
        <v>194</v>
      </c>
      <c r="Q2014" s="5">
        <v>21</v>
      </c>
      <c r="R2014" s="8">
        <v>1</v>
      </c>
      <c r="S2014" s="8">
        <v>7</v>
      </c>
      <c r="T2014" s="8">
        <v>7</v>
      </c>
      <c r="U2014" s="8">
        <v>9</v>
      </c>
      <c r="V2014" s="8">
        <v>2</v>
      </c>
      <c r="W2014" t="s">
        <v>473</v>
      </c>
      <c r="X2014" t="s">
        <v>474</v>
      </c>
      <c r="Y2014" t="s">
        <v>474</v>
      </c>
      <c r="Z2014" t="s">
        <v>474</v>
      </c>
      <c r="AA2014" t="s">
        <v>473</v>
      </c>
      <c r="AB2014" t="s">
        <v>473</v>
      </c>
      <c r="AC2014" s="10">
        <v>3</v>
      </c>
      <c r="AD2014" s="10">
        <v>11</v>
      </c>
      <c r="AE2014" t="s">
        <v>474</v>
      </c>
    </row>
    <row r="2015" spans="1:31" x14ac:dyDescent="0.25">
      <c r="A2015">
        <v>1951</v>
      </c>
      <c r="B2015">
        <v>1981</v>
      </c>
      <c r="C2015" t="s">
        <v>41</v>
      </c>
      <c r="D2015" t="s">
        <v>34</v>
      </c>
      <c r="E2015" t="str">
        <f>IF(OR(Table1[[#This Row],[marital_status]]="Married", Table1[[#This Row],[marital_status]]="Together"), "Partnered", "Single")</f>
        <v>Partnered</v>
      </c>
      <c r="F2015" s="7">
        <v>34445</v>
      </c>
      <c r="G2015" s="8">
        <v>0</v>
      </c>
      <c r="H2015" s="8">
        <v>0</v>
      </c>
      <c r="I2015" s="8">
        <f>Table1[[#This Row],[kids]]+Table1[[#This Row],[teens]]</f>
        <v>0</v>
      </c>
      <c r="J2015" s="9">
        <v>41301</v>
      </c>
      <c r="K2015" s="8">
        <v>92</v>
      </c>
      <c r="L2015" s="6">
        <v>228</v>
      </c>
      <c r="M2015" s="5">
        <v>122</v>
      </c>
      <c r="N2015" s="5">
        <v>122</v>
      </c>
      <c r="O2015" s="5">
        <v>208</v>
      </c>
      <c r="P2015" s="5">
        <v>129</v>
      </c>
      <c r="Q2015" s="5">
        <v>30</v>
      </c>
      <c r="R2015" s="8">
        <v>6</v>
      </c>
      <c r="S2015" s="8">
        <v>11</v>
      </c>
      <c r="T2015" s="8">
        <v>2</v>
      </c>
      <c r="U2015" s="8">
        <v>8</v>
      </c>
      <c r="V2015" s="8">
        <v>9</v>
      </c>
      <c r="W2015" t="s">
        <v>473</v>
      </c>
      <c r="X2015" t="s">
        <v>473</v>
      </c>
      <c r="Y2015" t="s">
        <v>473</v>
      </c>
      <c r="Z2015" t="s">
        <v>473</v>
      </c>
      <c r="AA2015" t="s">
        <v>473</v>
      </c>
      <c r="AB2015" t="s">
        <v>473</v>
      </c>
      <c r="AC2015" s="10">
        <v>3</v>
      </c>
      <c r="AD2015" s="10">
        <v>11</v>
      </c>
      <c r="AE2015" t="s">
        <v>473</v>
      </c>
    </row>
    <row r="2016" spans="1:31" x14ac:dyDescent="0.25">
      <c r="A2016">
        <v>3262</v>
      </c>
      <c r="B2016">
        <v>1958</v>
      </c>
      <c r="C2016" t="s">
        <v>466</v>
      </c>
      <c r="D2016" t="s">
        <v>30</v>
      </c>
      <c r="E2016" t="str">
        <f>IF(OR(Table1[[#This Row],[marital_status]]="Married", Table1[[#This Row],[marital_status]]="Together"), "Partnered", "Single")</f>
        <v>Single</v>
      </c>
      <c r="F2016" s="7">
        <v>68281</v>
      </c>
      <c r="G2016" s="8">
        <v>0</v>
      </c>
      <c r="H2016" s="8">
        <v>0</v>
      </c>
      <c r="I2016" s="8">
        <f>Table1[[#This Row],[kids]]+Table1[[#This Row],[teens]]</f>
        <v>0</v>
      </c>
      <c r="J2016" s="9">
        <v>41128</v>
      </c>
      <c r="K2016" s="8">
        <v>31</v>
      </c>
      <c r="L2016" s="6">
        <v>995</v>
      </c>
      <c r="M2016" s="5">
        <v>112</v>
      </c>
      <c r="N2016" s="5">
        <v>417</v>
      </c>
      <c r="O2016" s="5">
        <v>42</v>
      </c>
      <c r="P2016" s="5">
        <v>48</v>
      </c>
      <c r="Q2016" s="5">
        <v>41</v>
      </c>
      <c r="R2016" s="8">
        <v>1</v>
      </c>
      <c r="S2016" s="8">
        <v>2</v>
      </c>
      <c r="T2016" s="8">
        <v>9</v>
      </c>
      <c r="U2016" s="8">
        <v>13</v>
      </c>
      <c r="V2016" s="8">
        <v>5</v>
      </c>
      <c r="W2016" t="s">
        <v>473</v>
      </c>
      <c r="X2016" t="s">
        <v>473</v>
      </c>
      <c r="Y2016" t="s">
        <v>473</v>
      </c>
      <c r="Z2016" t="s">
        <v>473</v>
      </c>
      <c r="AA2016" t="s">
        <v>473</v>
      </c>
      <c r="AB2016" t="s">
        <v>473</v>
      </c>
      <c r="AC2016" s="10">
        <v>3</v>
      </c>
      <c r="AD2016" s="10">
        <v>11</v>
      </c>
      <c r="AE2016" t="s">
        <v>474</v>
      </c>
    </row>
    <row r="2017" spans="1:31" x14ac:dyDescent="0.25">
      <c r="A2017">
        <v>4102</v>
      </c>
      <c r="B2017">
        <v>1975</v>
      </c>
      <c r="C2017" t="s">
        <v>46</v>
      </c>
      <c r="D2017" t="s">
        <v>34</v>
      </c>
      <c r="E2017" t="str">
        <f>IF(OR(Table1[[#This Row],[marital_status]]="Married", Table1[[#This Row],[marital_status]]="Together"), "Partnered", "Single")</f>
        <v>Partnered</v>
      </c>
      <c r="F2017" s="7">
        <v>37284</v>
      </c>
      <c r="G2017" s="8">
        <v>1</v>
      </c>
      <c r="H2017" s="8">
        <v>1</v>
      </c>
      <c r="I2017" s="8">
        <f>Table1[[#This Row],[kids]]+Table1[[#This Row],[teens]]</f>
        <v>2</v>
      </c>
      <c r="J2017" s="9">
        <v>41362</v>
      </c>
      <c r="K2017" s="8">
        <v>46</v>
      </c>
      <c r="L2017" s="6">
        <v>11</v>
      </c>
      <c r="M2017" s="5">
        <v>1</v>
      </c>
      <c r="N2017" s="5">
        <v>2</v>
      </c>
      <c r="O2017" s="5">
        <v>2</v>
      </c>
      <c r="P2017" s="5">
        <v>1</v>
      </c>
      <c r="Q2017" s="5">
        <v>6</v>
      </c>
      <c r="R2017" s="8">
        <v>1</v>
      </c>
      <c r="S2017" s="8">
        <v>0</v>
      </c>
      <c r="T2017" s="8">
        <v>0</v>
      </c>
      <c r="U2017" s="8">
        <v>3</v>
      </c>
      <c r="V2017" s="8">
        <v>6</v>
      </c>
      <c r="W2017" t="s">
        <v>473</v>
      </c>
      <c r="X2017" t="s">
        <v>473</v>
      </c>
      <c r="Y2017" t="s">
        <v>473</v>
      </c>
      <c r="Z2017" t="s">
        <v>473</v>
      </c>
      <c r="AA2017" t="s">
        <v>473</v>
      </c>
      <c r="AB2017" t="s">
        <v>473</v>
      </c>
      <c r="AC2017" s="10">
        <v>3</v>
      </c>
      <c r="AD2017" s="10">
        <v>11</v>
      </c>
      <c r="AE2017" t="s">
        <v>473</v>
      </c>
    </row>
    <row r="2018" spans="1:31" x14ac:dyDescent="0.25">
      <c r="A2018">
        <v>7042</v>
      </c>
      <c r="B2018">
        <v>1983</v>
      </c>
      <c r="C2018" t="s">
        <v>466</v>
      </c>
      <c r="D2018" t="s">
        <v>34</v>
      </c>
      <c r="E2018" t="str">
        <f>IF(OR(Table1[[#This Row],[marital_status]]="Married", Table1[[#This Row],[marital_status]]="Together"), "Partnered", "Single")</f>
        <v>Partnered</v>
      </c>
      <c r="F2018" s="7">
        <v>36790</v>
      </c>
      <c r="G2018" s="8">
        <v>0</v>
      </c>
      <c r="H2018" s="8">
        <v>0</v>
      </c>
      <c r="I2018" s="8">
        <f>Table1[[#This Row],[kids]]+Table1[[#This Row],[teens]]</f>
        <v>0</v>
      </c>
      <c r="J2018" s="9">
        <v>41334</v>
      </c>
      <c r="K2018" s="8">
        <v>14</v>
      </c>
      <c r="L2018" s="6">
        <v>3</v>
      </c>
      <c r="M2018" s="5">
        <v>3</v>
      </c>
      <c r="N2018" s="5">
        <v>14</v>
      </c>
      <c r="O2018" s="5">
        <v>15</v>
      </c>
      <c r="P2018" s="5">
        <v>21</v>
      </c>
      <c r="Q2018" s="5">
        <v>10</v>
      </c>
      <c r="R2018" s="8">
        <v>1</v>
      </c>
      <c r="S2018" s="8">
        <v>2</v>
      </c>
      <c r="T2018" s="8">
        <v>1</v>
      </c>
      <c r="U2018" s="8">
        <v>2</v>
      </c>
      <c r="V2018" s="8">
        <v>9</v>
      </c>
      <c r="W2018" t="s">
        <v>473</v>
      </c>
      <c r="X2018" t="s">
        <v>473</v>
      </c>
      <c r="Y2018" t="s">
        <v>473</v>
      </c>
      <c r="Z2018" t="s">
        <v>473</v>
      </c>
      <c r="AA2018" t="s">
        <v>473</v>
      </c>
      <c r="AB2018" t="s">
        <v>473</v>
      </c>
      <c r="AC2018" s="10">
        <v>3</v>
      </c>
      <c r="AD2018" s="10">
        <v>11</v>
      </c>
      <c r="AE2018" t="s">
        <v>474</v>
      </c>
    </row>
    <row r="2019" spans="1:31" x14ac:dyDescent="0.25">
      <c r="A2019">
        <v>10598</v>
      </c>
      <c r="B2019">
        <v>1967</v>
      </c>
      <c r="C2019" t="s">
        <v>466</v>
      </c>
      <c r="D2019" t="s">
        <v>31</v>
      </c>
      <c r="E2019" t="str">
        <f>IF(OR(Table1[[#This Row],[marital_status]]="Married", Table1[[#This Row],[marital_status]]="Together"), "Partnered", "Single")</f>
        <v>Partnered</v>
      </c>
      <c r="F2019" s="7">
        <v>27943</v>
      </c>
      <c r="G2019" s="8">
        <v>1</v>
      </c>
      <c r="H2019" s="8">
        <v>1</v>
      </c>
      <c r="I2019" s="8">
        <f>Table1[[#This Row],[kids]]+Table1[[#This Row],[teens]]</f>
        <v>2</v>
      </c>
      <c r="J2019" s="9">
        <v>41379</v>
      </c>
      <c r="K2019" s="8">
        <v>89</v>
      </c>
      <c r="L2019" s="6">
        <v>12</v>
      </c>
      <c r="M2019" s="5">
        <v>1</v>
      </c>
      <c r="N2019" s="5">
        <v>16</v>
      </c>
      <c r="O2019" s="5">
        <v>4</v>
      </c>
      <c r="P2019" s="5">
        <v>1</v>
      </c>
      <c r="Q2019" s="5">
        <v>3</v>
      </c>
      <c r="R2019" s="8">
        <v>3</v>
      </c>
      <c r="S2019" s="8">
        <v>2</v>
      </c>
      <c r="T2019" s="8">
        <v>0</v>
      </c>
      <c r="U2019" s="8">
        <v>3</v>
      </c>
      <c r="V2019" s="8">
        <v>8</v>
      </c>
      <c r="W2019" t="s">
        <v>473</v>
      </c>
      <c r="X2019" t="s">
        <v>473</v>
      </c>
      <c r="Y2019" t="s">
        <v>473</v>
      </c>
      <c r="Z2019" t="s">
        <v>473</v>
      </c>
      <c r="AA2019" t="s">
        <v>473</v>
      </c>
      <c r="AB2019" t="s">
        <v>473</v>
      </c>
      <c r="AC2019" s="10">
        <v>3</v>
      </c>
      <c r="AD2019" s="10">
        <v>11</v>
      </c>
      <c r="AE2019" t="s">
        <v>473</v>
      </c>
    </row>
    <row r="2020" spans="1:31" x14ac:dyDescent="0.25">
      <c r="A2020">
        <v>255</v>
      </c>
      <c r="B2020">
        <v>1951</v>
      </c>
      <c r="C2020" t="s">
        <v>466</v>
      </c>
      <c r="D2020" t="s">
        <v>37</v>
      </c>
      <c r="E2020" t="str">
        <f>IF(OR(Table1[[#This Row],[marital_status]]="Married", Table1[[#This Row],[marital_status]]="Together"), "Partnered", "Single")</f>
        <v>Single</v>
      </c>
      <c r="F2020" s="7">
        <v>22263</v>
      </c>
      <c r="G2020" s="8">
        <v>1</v>
      </c>
      <c r="H2020" s="8">
        <v>1</v>
      </c>
      <c r="I2020" s="8">
        <f>Table1[[#This Row],[kids]]+Table1[[#This Row],[teens]]</f>
        <v>2</v>
      </c>
      <c r="J2020" s="9">
        <v>41728</v>
      </c>
      <c r="K2020" s="8">
        <v>31</v>
      </c>
      <c r="L2020" s="6">
        <v>17</v>
      </c>
      <c r="M2020" s="5">
        <v>0</v>
      </c>
      <c r="N2020" s="5">
        <v>2</v>
      </c>
      <c r="O2020" s="5">
        <v>0</v>
      </c>
      <c r="P2020" s="5">
        <v>0</v>
      </c>
      <c r="Q2020" s="5">
        <v>2</v>
      </c>
      <c r="R2020" s="8">
        <v>2</v>
      </c>
      <c r="S2020" s="8">
        <v>1</v>
      </c>
      <c r="T2020" s="8">
        <v>0</v>
      </c>
      <c r="U2020" s="8">
        <v>3</v>
      </c>
      <c r="V2020" s="8">
        <v>6</v>
      </c>
      <c r="W2020" t="s">
        <v>473</v>
      </c>
      <c r="X2020" t="s">
        <v>473</v>
      </c>
      <c r="Y2020" t="s">
        <v>473</v>
      </c>
      <c r="Z2020" t="s">
        <v>473</v>
      </c>
      <c r="AA2020" t="s">
        <v>473</v>
      </c>
      <c r="AB2020" t="s">
        <v>474</v>
      </c>
      <c r="AC2020" s="10">
        <v>3</v>
      </c>
      <c r="AD2020" s="10">
        <v>11</v>
      </c>
      <c r="AE2020" t="s">
        <v>473</v>
      </c>
    </row>
    <row r="2021" spans="1:31" x14ac:dyDescent="0.25">
      <c r="A2021">
        <v>2375</v>
      </c>
      <c r="B2021">
        <v>1972</v>
      </c>
      <c r="C2021" t="s">
        <v>466</v>
      </c>
      <c r="D2021" t="s">
        <v>31</v>
      </c>
      <c r="E2021" t="str">
        <f>IF(OR(Table1[[#This Row],[marital_status]]="Married", Table1[[#This Row],[marital_status]]="Together"), "Partnered", "Single")</f>
        <v>Partnered</v>
      </c>
      <c r="F2021" s="7">
        <v>30261</v>
      </c>
      <c r="G2021" s="8">
        <v>1</v>
      </c>
      <c r="H2021" s="8">
        <v>2</v>
      </c>
      <c r="I2021" s="8">
        <f>Table1[[#This Row],[kids]]+Table1[[#This Row],[teens]]</f>
        <v>3</v>
      </c>
      <c r="J2021" s="9">
        <v>41177</v>
      </c>
      <c r="K2021" s="8">
        <v>75</v>
      </c>
      <c r="L2021" s="6">
        <v>8</v>
      </c>
      <c r="M2021" s="5">
        <v>0</v>
      </c>
      <c r="N2021" s="5">
        <v>5</v>
      </c>
      <c r="O2021" s="5">
        <v>0</v>
      </c>
      <c r="P2021" s="5">
        <v>3</v>
      </c>
      <c r="Q2021" s="5">
        <v>6</v>
      </c>
      <c r="R2021" s="8">
        <v>1</v>
      </c>
      <c r="S2021" s="8">
        <v>0</v>
      </c>
      <c r="T2021" s="8">
        <v>0</v>
      </c>
      <c r="U2021" s="8">
        <v>3</v>
      </c>
      <c r="V2021" s="8">
        <v>8</v>
      </c>
      <c r="W2021" t="s">
        <v>473</v>
      </c>
      <c r="X2021" t="s">
        <v>473</v>
      </c>
      <c r="Y2021" t="s">
        <v>473</v>
      </c>
      <c r="Z2021" t="s">
        <v>473</v>
      </c>
      <c r="AA2021" t="s">
        <v>473</v>
      </c>
      <c r="AB2021" t="s">
        <v>473</v>
      </c>
      <c r="AC2021" s="10">
        <v>3</v>
      </c>
      <c r="AD2021" s="10">
        <v>11</v>
      </c>
      <c r="AE2021" t="s">
        <v>473</v>
      </c>
    </row>
    <row r="2022" spans="1:31" x14ac:dyDescent="0.25">
      <c r="A2022">
        <v>9829</v>
      </c>
      <c r="B2022">
        <v>1978</v>
      </c>
      <c r="C2022" t="s">
        <v>466</v>
      </c>
      <c r="D2022" t="s">
        <v>31</v>
      </c>
      <c r="E2022" t="str">
        <f>IF(OR(Table1[[#This Row],[marital_status]]="Married", Table1[[#This Row],[marital_status]]="Together"), "Partnered", "Single")</f>
        <v>Partnered</v>
      </c>
      <c r="F2022" s="7">
        <v>28587</v>
      </c>
      <c r="G2022" s="8">
        <v>1</v>
      </c>
      <c r="H2022" s="8">
        <v>0</v>
      </c>
      <c r="I2022" s="8">
        <f>Table1[[#This Row],[kids]]+Table1[[#This Row],[teens]]</f>
        <v>1</v>
      </c>
      <c r="J2022" s="9">
        <v>41682</v>
      </c>
      <c r="K2022" s="8">
        <v>42</v>
      </c>
      <c r="L2022" s="6">
        <v>22</v>
      </c>
      <c r="M2022" s="5">
        <v>4</v>
      </c>
      <c r="N2022" s="5">
        <v>17</v>
      </c>
      <c r="O2022" s="5">
        <v>12</v>
      </c>
      <c r="P2022" s="5">
        <v>10</v>
      </c>
      <c r="Q2022" s="5">
        <v>13</v>
      </c>
      <c r="R2022" s="8">
        <v>3</v>
      </c>
      <c r="S2022" s="8">
        <v>2</v>
      </c>
      <c r="T2022" s="8">
        <v>0</v>
      </c>
      <c r="U2022" s="8">
        <v>4</v>
      </c>
      <c r="V2022" s="8">
        <v>6</v>
      </c>
      <c r="W2022" t="s">
        <v>473</v>
      </c>
      <c r="X2022" t="s">
        <v>473</v>
      </c>
      <c r="Y2022" t="s">
        <v>473</v>
      </c>
      <c r="Z2022" t="s">
        <v>473</v>
      </c>
      <c r="AA2022" t="s">
        <v>473</v>
      </c>
      <c r="AB2022" t="s">
        <v>473</v>
      </c>
      <c r="AC2022" s="10">
        <v>3</v>
      </c>
      <c r="AD2022" s="10">
        <v>11</v>
      </c>
      <c r="AE2022" t="s">
        <v>473</v>
      </c>
    </row>
    <row r="2023" spans="1:31" x14ac:dyDescent="0.25">
      <c r="A2023">
        <v>6214</v>
      </c>
      <c r="B2023">
        <v>1982</v>
      </c>
      <c r="C2023" t="s">
        <v>36</v>
      </c>
      <c r="D2023" t="s">
        <v>34</v>
      </c>
      <c r="E2023" t="str">
        <f>IF(OR(Table1[[#This Row],[marital_status]]="Married", Table1[[#This Row],[marital_status]]="Together"), "Partnered", "Single")</f>
        <v>Partnered</v>
      </c>
      <c r="F2023" s="7">
        <v>43815</v>
      </c>
      <c r="G2023" s="8">
        <v>1</v>
      </c>
      <c r="H2023" s="8">
        <v>0</v>
      </c>
      <c r="I2023" s="8">
        <f>Table1[[#This Row],[kids]]+Table1[[#This Row],[teens]]</f>
        <v>1</v>
      </c>
      <c r="J2023" s="9">
        <v>41369</v>
      </c>
      <c r="K2023" s="8">
        <v>53</v>
      </c>
      <c r="L2023" s="6">
        <v>14</v>
      </c>
      <c r="M2023" s="5">
        <v>10</v>
      </c>
      <c r="N2023" s="5">
        <v>29</v>
      </c>
      <c r="O2023" s="5">
        <v>4</v>
      </c>
      <c r="P2023" s="5">
        <v>7</v>
      </c>
      <c r="Q2023" s="5">
        <v>15</v>
      </c>
      <c r="R2023" s="8">
        <v>1</v>
      </c>
      <c r="S2023" s="8">
        <v>2</v>
      </c>
      <c r="T2023" s="8">
        <v>0</v>
      </c>
      <c r="U2023" s="8">
        <v>3</v>
      </c>
      <c r="V2023" s="8">
        <v>6</v>
      </c>
      <c r="W2023" t="s">
        <v>473</v>
      </c>
      <c r="X2023" t="s">
        <v>473</v>
      </c>
      <c r="Y2023" t="s">
        <v>473</v>
      </c>
      <c r="Z2023" t="s">
        <v>473</v>
      </c>
      <c r="AA2023" t="s">
        <v>473</v>
      </c>
      <c r="AB2023" t="s">
        <v>473</v>
      </c>
      <c r="AC2023" s="10">
        <v>3</v>
      </c>
      <c r="AD2023" s="10">
        <v>11</v>
      </c>
      <c r="AE2023" t="s">
        <v>473</v>
      </c>
    </row>
    <row r="2024" spans="1:31" x14ac:dyDescent="0.25">
      <c r="A2024">
        <v>4954</v>
      </c>
      <c r="B2024">
        <v>1956</v>
      </c>
      <c r="C2024" t="s">
        <v>466</v>
      </c>
      <c r="D2024" t="s">
        <v>34</v>
      </c>
      <c r="E2024" t="str">
        <f>IF(OR(Table1[[#This Row],[marital_status]]="Married", Table1[[#This Row],[marital_status]]="Together"), "Partnered", "Single")</f>
        <v>Partnered</v>
      </c>
      <c r="F2024" s="7">
        <v>48195</v>
      </c>
      <c r="G2024" s="8">
        <v>1</v>
      </c>
      <c r="H2024" s="8">
        <v>1</v>
      </c>
      <c r="I2024" s="8">
        <f>Table1[[#This Row],[kids]]+Table1[[#This Row],[teens]]</f>
        <v>2</v>
      </c>
      <c r="J2024" s="9">
        <v>41660</v>
      </c>
      <c r="K2024" s="8">
        <v>53</v>
      </c>
      <c r="L2024" s="6">
        <v>106</v>
      </c>
      <c r="M2024" s="5">
        <v>27</v>
      </c>
      <c r="N2024" s="5">
        <v>68</v>
      </c>
      <c r="O2024" s="5">
        <v>52</v>
      </c>
      <c r="P2024" s="5">
        <v>7</v>
      </c>
      <c r="Q2024" s="5">
        <v>5</v>
      </c>
      <c r="R2024" s="8">
        <v>6</v>
      </c>
      <c r="S2024" s="8">
        <v>4</v>
      </c>
      <c r="T2024" s="8">
        <v>2</v>
      </c>
      <c r="U2024" s="8">
        <v>5</v>
      </c>
      <c r="V2024" s="8">
        <v>6</v>
      </c>
      <c r="W2024" t="s">
        <v>473</v>
      </c>
      <c r="X2024" t="s">
        <v>473</v>
      </c>
      <c r="Y2024" t="s">
        <v>473</v>
      </c>
      <c r="Z2024" t="s">
        <v>473</v>
      </c>
      <c r="AA2024" t="s">
        <v>473</v>
      </c>
      <c r="AB2024" t="s">
        <v>473</v>
      </c>
      <c r="AC2024" s="10">
        <v>3</v>
      </c>
      <c r="AD2024" s="10">
        <v>11</v>
      </c>
      <c r="AE2024" t="s">
        <v>473</v>
      </c>
    </row>
    <row r="2025" spans="1:31" x14ac:dyDescent="0.25">
      <c r="A2025">
        <v>7861</v>
      </c>
      <c r="B2025">
        <v>1952</v>
      </c>
      <c r="C2025" t="s">
        <v>36</v>
      </c>
      <c r="D2025" t="s">
        <v>34</v>
      </c>
      <c r="E2025" t="str">
        <f>IF(OR(Table1[[#This Row],[marital_status]]="Married", Table1[[#This Row],[marital_status]]="Together"), "Partnered", "Single")</f>
        <v>Partnered</v>
      </c>
      <c r="F2025" s="7">
        <v>77027</v>
      </c>
      <c r="G2025" s="8">
        <v>0</v>
      </c>
      <c r="H2025" s="8">
        <v>1</v>
      </c>
      <c r="I2025" s="8">
        <f>Table1[[#This Row],[kids]]+Table1[[#This Row],[teens]]</f>
        <v>1</v>
      </c>
      <c r="J2025" s="9">
        <v>41675</v>
      </c>
      <c r="K2025" s="8">
        <v>23</v>
      </c>
      <c r="L2025" s="6">
        <v>820</v>
      </c>
      <c r="M2025" s="5">
        <v>57</v>
      </c>
      <c r="N2025" s="5">
        <v>242</v>
      </c>
      <c r="O2025" s="5">
        <v>45</v>
      </c>
      <c r="P2025" s="5">
        <v>0</v>
      </c>
      <c r="Q2025" s="5">
        <v>11</v>
      </c>
      <c r="R2025" s="8">
        <v>2</v>
      </c>
      <c r="S2025" s="8">
        <v>8</v>
      </c>
      <c r="T2025" s="8">
        <v>3</v>
      </c>
      <c r="U2025" s="8">
        <v>6</v>
      </c>
      <c r="V2025" s="8">
        <v>4</v>
      </c>
      <c r="W2025" t="s">
        <v>473</v>
      </c>
      <c r="X2025" t="s">
        <v>473</v>
      </c>
      <c r="Y2025" t="s">
        <v>473</v>
      </c>
      <c r="Z2025" t="s">
        <v>473</v>
      </c>
      <c r="AA2025" t="s">
        <v>473</v>
      </c>
      <c r="AB2025" t="s">
        <v>473</v>
      </c>
      <c r="AC2025" s="10">
        <v>3</v>
      </c>
      <c r="AD2025" s="10">
        <v>11</v>
      </c>
      <c r="AE2025" t="s">
        <v>473</v>
      </c>
    </row>
    <row r="2026" spans="1:31" x14ac:dyDescent="0.25">
      <c r="A2026">
        <v>4837</v>
      </c>
      <c r="B2026">
        <v>1965</v>
      </c>
      <c r="C2026" t="s">
        <v>33</v>
      </c>
      <c r="D2026" t="s">
        <v>34</v>
      </c>
      <c r="E2026" t="str">
        <f>IF(OR(Table1[[#This Row],[marital_status]]="Married", Table1[[#This Row],[marital_status]]="Together"), "Partnered", "Single")</f>
        <v>Partnered</v>
      </c>
      <c r="F2026" s="7">
        <v>71322</v>
      </c>
      <c r="G2026" s="8">
        <v>0</v>
      </c>
      <c r="H2026" s="8">
        <v>1</v>
      </c>
      <c r="I2026" s="8">
        <f>Table1[[#This Row],[kids]]+Table1[[#This Row],[teens]]</f>
        <v>1</v>
      </c>
      <c r="J2026" s="9">
        <v>41321</v>
      </c>
      <c r="K2026" s="8">
        <v>57</v>
      </c>
      <c r="L2026" s="6">
        <v>753</v>
      </c>
      <c r="M2026" s="5">
        <v>43</v>
      </c>
      <c r="N2026" s="5">
        <v>226</v>
      </c>
      <c r="O2026" s="5">
        <v>69</v>
      </c>
      <c r="P2026" s="5">
        <v>10</v>
      </c>
      <c r="Q2026" s="5">
        <v>204</v>
      </c>
      <c r="R2026" s="8">
        <v>2</v>
      </c>
      <c r="S2026" s="8">
        <v>8</v>
      </c>
      <c r="T2026" s="8">
        <v>5</v>
      </c>
      <c r="U2026" s="8">
        <v>13</v>
      </c>
      <c r="V2026" s="8">
        <v>4</v>
      </c>
      <c r="W2026" t="s">
        <v>473</v>
      </c>
      <c r="X2026" t="s">
        <v>473</v>
      </c>
      <c r="Y2026" t="s">
        <v>473</v>
      </c>
      <c r="Z2026" t="s">
        <v>473</v>
      </c>
      <c r="AA2026" t="s">
        <v>473</v>
      </c>
      <c r="AB2026" t="s">
        <v>473</v>
      </c>
      <c r="AC2026" s="10">
        <v>3</v>
      </c>
      <c r="AD2026" s="10">
        <v>11</v>
      </c>
      <c r="AE2026" t="s">
        <v>473</v>
      </c>
    </row>
    <row r="2027" spans="1:31" x14ac:dyDescent="0.25">
      <c r="A2027">
        <v>9423</v>
      </c>
      <c r="B2027">
        <v>1979</v>
      </c>
      <c r="C2027" t="s">
        <v>36</v>
      </c>
      <c r="D2027" t="s">
        <v>34</v>
      </c>
      <c r="E2027" t="str">
        <f>IF(OR(Table1[[#This Row],[marital_status]]="Married", Table1[[#This Row],[marital_status]]="Together"), "Partnered", "Single")</f>
        <v>Partnered</v>
      </c>
      <c r="F2027" s="7">
        <v>32765</v>
      </c>
      <c r="G2027" s="8">
        <v>1</v>
      </c>
      <c r="H2027" s="8">
        <v>0</v>
      </c>
      <c r="I2027" s="8">
        <f>Table1[[#This Row],[kids]]+Table1[[#This Row],[teens]]</f>
        <v>1</v>
      </c>
      <c r="J2027" s="9">
        <v>41693</v>
      </c>
      <c r="K2027" s="8">
        <v>49</v>
      </c>
      <c r="L2027" s="6">
        <v>13</v>
      </c>
      <c r="M2027" s="5">
        <v>3</v>
      </c>
      <c r="N2027" s="5">
        <v>17</v>
      </c>
      <c r="O2027" s="5">
        <v>7</v>
      </c>
      <c r="P2027" s="5">
        <v>3</v>
      </c>
      <c r="Q2027" s="5">
        <v>3</v>
      </c>
      <c r="R2027" s="8">
        <v>2</v>
      </c>
      <c r="S2027" s="8">
        <v>2</v>
      </c>
      <c r="T2027" s="8">
        <v>0</v>
      </c>
      <c r="U2027" s="8">
        <v>4</v>
      </c>
      <c r="V2027" s="8">
        <v>5</v>
      </c>
      <c r="W2027" t="s">
        <v>473</v>
      </c>
      <c r="X2027" t="s">
        <v>473</v>
      </c>
      <c r="Y2027" t="s">
        <v>473</v>
      </c>
      <c r="Z2027" t="s">
        <v>473</v>
      </c>
      <c r="AA2027" t="s">
        <v>473</v>
      </c>
      <c r="AB2027" t="s">
        <v>473</v>
      </c>
      <c r="AC2027" s="10">
        <v>3</v>
      </c>
      <c r="AD2027" s="10">
        <v>11</v>
      </c>
      <c r="AE2027" t="s">
        <v>473</v>
      </c>
    </row>
    <row r="2028" spans="1:31" x14ac:dyDescent="0.25">
      <c r="A2028">
        <v>4198</v>
      </c>
      <c r="B2028">
        <v>1965</v>
      </c>
      <c r="C2028" t="s">
        <v>466</v>
      </c>
      <c r="D2028" t="s">
        <v>31</v>
      </c>
      <c r="E2028" t="str">
        <f>IF(OR(Table1[[#This Row],[marital_status]]="Married", Table1[[#This Row],[marital_status]]="Together"), "Partnered", "Single")</f>
        <v>Partnered</v>
      </c>
      <c r="F2028" s="7">
        <v>29672</v>
      </c>
      <c r="G2028" s="8">
        <v>1</v>
      </c>
      <c r="H2028" s="8">
        <v>1</v>
      </c>
      <c r="I2028" s="8">
        <f>Table1[[#This Row],[kids]]+Table1[[#This Row],[teens]]</f>
        <v>2</v>
      </c>
      <c r="J2028" s="9">
        <v>41345</v>
      </c>
      <c r="K2028" s="8">
        <v>6</v>
      </c>
      <c r="L2028" s="6">
        <v>9</v>
      </c>
      <c r="M2028" s="5">
        <v>1</v>
      </c>
      <c r="N2028" s="5">
        <v>3</v>
      </c>
      <c r="O2028" s="5">
        <v>0</v>
      </c>
      <c r="P2028" s="5">
        <v>4</v>
      </c>
      <c r="Q2028" s="5">
        <v>8</v>
      </c>
      <c r="R2028" s="8">
        <v>1</v>
      </c>
      <c r="S2028" s="8">
        <v>0</v>
      </c>
      <c r="T2028" s="8">
        <v>0</v>
      </c>
      <c r="U2028" s="8">
        <v>3</v>
      </c>
      <c r="V2028" s="8">
        <v>6</v>
      </c>
      <c r="W2028" t="s">
        <v>473</v>
      </c>
      <c r="X2028" t="s">
        <v>473</v>
      </c>
      <c r="Y2028" t="s">
        <v>473</v>
      </c>
      <c r="Z2028" t="s">
        <v>473</v>
      </c>
      <c r="AA2028" t="s">
        <v>473</v>
      </c>
      <c r="AB2028" t="s">
        <v>473</v>
      </c>
      <c r="AC2028" s="10">
        <v>3</v>
      </c>
      <c r="AD2028" s="10">
        <v>11</v>
      </c>
      <c r="AE2028" t="s">
        <v>473</v>
      </c>
    </row>
    <row r="2029" spans="1:31" x14ac:dyDescent="0.25">
      <c r="A2029">
        <v>153</v>
      </c>
      <c r="B2029">
        <v>1953</v>
      </c>
      <c r="C2029" t="s">
        <v>466</v>
      </c>
      <c r="D2029" t="s">
        <v>37</v>
      </c>
      <c r="E2029" t="str">
        <f>IF(OR(Table1[[#This Row],[marital_status]]="Married", Table1[[#This Row],[marital_status]]="Together"), "Partnered", "Single")</f>
        <v>Single</v>
      </c>
      <c r="F2029" s="7">
        <v>23272</v>
      </c>
      <c r="G2029" s="8">
        <v>0</v>
      </c>
      <c r="H2029" s="8">
        <v>0</v>
      </c>
      <c r="I2029" s="8">
        <f>Table1[[#This Row],[kids]]+Table1[[#This Row],[teens]]</f>
        <v>0</v>
      </c>
      <c r="J2029" s="9">
        <v>41564</v>
      </c>
      <c r="K2029" s="8">
        <v>29</v>
      </c>
      <c r="L2029" s="6">
        <v>19</v>
      </c>
      <c r="M2029" s="5">
        <v>3</v>
      </c>
      <c r="N2029" s="5">
        <v>6</v>
      </c>
      <c r="O2029" s="5">
        <v>4</v>
      </c>
      <c r="P2029" s="5">
        <v>2</v>
      </c>
      <c r="Q2029" s="5">
        <v>12</v>
      </c>
      <c r="R2029" s="8">
        <v>1</v>
      </c>
      <c r="S2029" s="8">
        <v>1</v>
      </c>
      <c r="T2029" s="8">
        <v>0</v>
      </c>
      <c r="U2029" s="8">
        <v>3</v>
      </c>
      <c r="V2029" s="8">
        <v>4</v>
      </c>
      <c r="W2029" t="s">
        <v>473</v>
      </c>
      <c r="X2029" t="s">
        <v>473</v>
      </c>
      <c r="Y2029" t="s">
        <v>473</v>
      </c>
      <c r="Z2029" t="s">
        <v>473</v>
      </c>
      <c r="AA2029" t="s">
        <v>473</v>
      </c>
      <c r="AB2029" t="s">
        <v>473</v>
      </c>
      <c r="AC2029" s="10">
        <v>3</v>
      </c>
      <c r="AD2029" s="10">
        <v>11</v>
      </c>
      <c r="AE2029" t="s">
        <v>473</v>
      </c>
    </row>
    <row r="2030" spans="1:31" x14ac:dyDescent="0.25">
      <c r="A2030">
        <v>9323</v>
      </c>
      <c r="B2030">
        <v>1949</v>
      </c>
      <c r="C2030" t="s">
        <v>36</v>
      </c>
      <c r="D2030" t="s">
        <v>31</v>
      </c>
      <c r="E2030" t="str">
        <f>IF(OR(Table1[[#This Row],[marital_status]]="Married", Table1[[#This Row],[marital_status]]="Together"), "Partnered", "Single")</f>
        <v>Partnered</v>
      </c>
      <c r="F2030" s="7">
        <v>49912</v>
      </c>
      <c r="G2030" s="8">
        <v>0</v>
      </c>
      <c r="H2030" s="8">
        <v>1</v>
      </c>
      <c r="I2030" s="8">
        <f>Table1[[#This Row],[kids]]+Table1[[#This Row],[teens]]</f>
        <v>1</v>
      </c>
      <c r="J2030" s="9">
        <v>41159</v>
      </c>
      <c r="K2030" s="8">
        <v>5</v>
      </c>
      <c r="L2030" s="6">
        <v>520</v>
      </c>
      <c r="M2030" s="5">
        <v>8</v>
      </c>
      <c r="N2030" s="5">
        <v>223</v>
      </c>
      <c r="O2030" s="5">
        <v>32</v>
      </c>
      <c r="P2030" s="5">
        <v>49</v>
      </c>
      <c r="Q2030" s="5">
        <v>42</v>
      </c>
      <c r="R2030" s="8">
        <v>4</v>
      </c>
      <c r="S2030" s="8">
        <v>10</v>
      </c>
      <c r="T2030" s="8">
        <v>5</v>
      </c>
      <c r="U2030" s="8">
        <v>7</v>
      </c>
      <c r="V2030" s="8">
        <v>8</v>
      </c>
      <c r="W2030" t="s">
        <v>474</v>
      </c>
      <c r="X2030" t="s">
        <v>473</v>
      </c>
      <c r="Y2030" t="s">
        <v>473</v>
      </c>
      <c r="Z2030" t="s">
        <v>473</v>
      </c>
      <c r="AA2030" t="s">
        <v>473</v>
      </c>
      <c r="AB2030" t="s">
        <v>473</v>
      </c>
      <c r="AC2030" s="10">
        <v>3</v>
      </c>
      <c r="AD2030" s="10">
        <v>11</v>
      </c>
      <c r="AE2030" t="s">
        <v>474</v>
      </c>
    </row>
    <row r="2031" spans="1:31" x14ac:dyDescent="0.25">
      <c r="A2031">
        <v>10001</v>
      </c>
      <c r="B2031">
        <v>1985</v>
      </c>
      <c r="C2031" t="s">
        <v>46</v>
      </c>
      <c r="D2031" t="s">
        <v>31</v>
      </c>
      <c r="E2031" t="str">
        <f>IF(OR(Table1[[#This Row],[marital_status]]="Married", Table1[[#This Row],[marital_status]]="Together"), "Partnered", "Single")</f>
        <v>Partnered</v>
      </c>
      <c r="F2031" s="7">
        <v>7500</v>
      </c>
      <c r="G2031" s="8">
        <v>1</v>
      </c>
      <c r="H2031" s="8">
        <v>0</v>
      </c>
      <c r="I2031" s="8">
        <f>Table1[[#This Row],[kids]]+Table1[[#This Row],[teens]]</f>
        <v>1</v>
      </c>
      <c r="J2031" s="9">
        <v>41122</v>
      </c>
      <c r="K2031" s="8">
        <v>98</v>
      </c>
      <c r="L2031" s="6">
        <v>5</v>
      </c>
      <c r="M2031" s="5">
        <v>17</v>
      </c>
      <c r="N2031" s="5">
        <v>17</v>
      </c>
      <c r="O2031" s="5">
        <v>13</v>
      </c>
      <c r="P2031" s="5">
        <v>14</v>
      </c>
      <c r="Q2031" s="5">
        <v>34</v>
      </c>
      <c r="R2031" s="8">
        <v>4</v>
      </c>
      <c r="S2031" s="8">
        <v>2</v>
      </c>
      <c r="T2031" s="8">
        <v>1</v>
      </c>
      <c r="U2031" s="8">
        <v>3</v>
      </c>
      <c r="V2031" s="8">
        <v>9</v>
      </c>
      <c r="W2031" t="s">
        <v>473</v>
      </c>
      <c r="X2031" t="s">
        <v>473</v>
      </c>
      <c r="Y2031" t="s">
        <v>473</v>
      </c>
      <c r="Z2031" t="s">
        <v>473</v>
      </c>
      <c r="AA2031" t="s">
        <v>473</v>
      </c>
      <c r="AB2031" t="s">
        <v>473</v>
      </c>
      <c r="AC2031" s="10">
        <v>3</v>
      </c>
      <c r="AD2031" s="10">
        <v>11</v>
      </c>
      <c r="AE2031" t="s">
        <v>473</v>
      </c>
    </row>
    <row r="2032" spans="1:31" x14ac:dyDescent="0.25">
      <c r="A2032">
        <v>3945</v>
      </c>
      <c r="B2032">
        <v>1947</v>
      </c>
      <c r="C2032" t="s">
        <v>33</v>
      </c>
      <c r="D2032" t="s">
        <v>57</v>
      </c>
      <c r="E2032" t="str">
        <f>IF(OR(Table1[[#This Row],[marital_status]]="Married", Table1[[#This Row],[marital_status]]="Together"), "Partnered", "Single")</f>
        <v>Single</v>
      </c>
      <c r="F2032" s="7">
        <v>68117</v>
      </c>
      <c r="G2032" s="8">
        <v>0</v>
      </c>
      <c r="H2032" s="8">
        <v>1</v>
      </c>
      <c r="I2032" s="8">
        <f>Table1[[#This Row],[kids]]+Table1[[#This Row],[teens]]</f>
        <v>1</v>
      </c>
      <c r="J2032" s="9">
        <v>41343</v>
      </c>
      <c r="K2032" s="8">
        <v>80</v>
      </c>
      <c r="L2032" s="6">
        <v>618</v>
      </c>
      <c r="M2032" s="5">
        <v>44</v>
      </c>
      <c r="N2032" s="5">
        <v>215</v>
      </c>
      <c r="O2032" s="5">
        <v>0</v>
      </c>
      <c r="P2032" s="5">
        <v>17</v>
      </c>
      <c r="Q2032" s="5">
        <v>36</v>
      </c>
      <c r="R2032" s="8">
        <v>2</v>
      </c>
      <c r="S2032" s="8">
        <v>11</v>
      </c>
      <c r="T2032" s="8">
        <v>8</v>
      </c>
      <c r="U2032" s="8">
        <v>4</v>
      </c>
      <c r="V2032" s="8">
        <v>6</v>
      </c>
      <c r="W2032" t="s">
        <v>474</v>
      </c>
      <c r="X2032" t="s">
        <v>473</v>
      </c>
      <c r="Y2032" t="s">
        <v>473</v>
      </c>
      <c r="Z2032" t="s">
        <v>473</v>
      </c>
      <c r="AA2032" t="s">
        <v>473</v>
      </c>
      <c r="AB2032" t="s">
        <v>473</v>
      </c>
      <c r="AC2032" s="10">
        <v>3</v>
      </c>
      <c r="AD2032" s="10">
        <v>11</v>
      </c>
      <c r="AE2032" t="s">
        <v>474</v>
      </c>
    </row>
    <row r="2033" spans="1:31" x14ac:dyDescent="0.25">
      <c r="A2033">
        <v>3799</v>
      </c>
      <c r="B2033">
        <v>1955</v>
      </c>
      <c r="C2033" t="s">
        <v>466</v>
      </c>
      <c r="D2033" t="s">
        <v>34</v>
      </c>
      <c r="E2033" t="str">
        <f>IF(OR(Table1[[#This Row],[marital_status]]="Married", Table1[[#This Row],[marital_status]]="Together"), "Partnered", "Single")</f>
        <v>Partnered</v>
      </c>
      <c r="F2033" s="7">
        <v>67225</v>
      </c>
      <c r="G2033" s="8">
        <v>0</v>
      </c>
      <c r="H2033" s="8">
        <v>1</v>
      </c>
      <c r="I2033" s="8">
        <f>Table1[[#This Row],[kids]]+Table1[[#This Row],[teens]]</f>
        <v>1</v>
      </c>
      <c r="J2033" s="9">
        <v>41604</v>
      </c>
      <c r="K2033" s="8">
        <v>4</v>
      </c>
      <c r="L2033" s="6">
        <v>315</v>
      </c>
      <c r="M2033" s="5">
        <v>35</v>
      </c>
      <c r="N2033" s="5">
        <v>322</v>
      </c>
      <c r="O2033" s="5">
        <v>46</v>
      </c>
      <c r="P2033" s="5">
        <v>7</v>
      </c>
      <c r="Q2033" s="5">
        <v>143</v>
      </c>
      <c r="R2033" s="8">
        <v>3</v>
      </c>
      <c r="S2033" s="8">
        <v>7</v>
      </c>
      <c r="T2033" s="8">
        <v>2</v>
      </c>
      <c r="U2033" s="8">
        <v>11</v>
      </c>
      <c r="V2033" s="8">
        <v>5</v>
      </c>
      <c r="W2033" t="s">
        <v>473</v>
      </c>
      <c r="X2033" t="s">
        <v>473</v>
      </c>
      <c r="Y2033" t="s">
        <v>473</v>
      </c>
      <c r="Z2033" t="s">
        <v>473</v>
      </c>
      <c r="AA2033" t="s">
        <v>473</v>
      </c>
      <c r="AB2033" t="s">
        <v>473</v>
      </c>
      <c r="AC2033" s="10">
        <v>3</v>
      </c>
      <c r="AD2033" s="10">
        <v>11</v>
      </c>
      <c r="AE2033" t="s">
        <v>473</v>
      </c>
    </row>
    <row r="2034" spans="1:31" x14ac:dyDescent="0.25">
      <c r="A2034">
        <v>8625</v>
      </c>
      <c r="B2034">
        <v>1976</v>
      </c>
      <c r="C2034" t="s">
        <v>466</v>
      </c>
      <c r="D2034" t="s">
        <v>34</v>
      </c>
      <c r="E2034" t="str">
        <f>IF(OR(Table1[[#This Row],[marital_status]]="Married", Table1[[#This Row],[marital_status]]="Together"), "Partnered", "Single")</f>
        <v>Partnered</v>
      </c>
      <c r="F2034" s="7">
        <v>17649</v>
      </c>
      <c r="G2034" s="8">
        <v>1</v>
      </c>
      <c r="H2034" s="8">
        <v>0</v>
      </c>
      <c r="I2034" s="8">
        <f>Table1[[#This Row],[kids]]+Table1[[#This Row],[teens]]</f>
        <v>1</v>
      </c>
      <c r="J2034" s="9">
        <v>41590</v>
      </c>
      <c r="K2034" s="8">
        <v>70</v>
      </c>
      <c r="L2034" s="6">
        <v>15</v>
      </c>
      <c r="M2034" s="5">
        <v>1</v>
      </c>
      <c r="N2034" s="5">
        <v>23</v>
      </c>
      <c r="O2034" s="5">
        <v>0</v>
      </c>
      <c r="P2034" s="5">
        <v>5</v>
      </c>
      <c r="Q2034" s="5">
        <v>1</v>
      </c>
      <c r="R2034" s="8">
        <v>3</v>
      </c>
      <c r="S2034" s="8">
        <v>3</v>
      </c>
      <c r="T2034" s="8">
        <v>0</v>
      </c>
      <c r="U2034" s="8">
        <v>3</v>
      </c>
      <c r="V2034" s="8">
        <v>8</v>
      </c>
      <c r="W2034" t="s">
        <v>473</v>
      </c>
      <c r="X2034" t="s">
        <v>473</v>
      </c>
      <c r="Y2034" t="s">
        <v>473</v>
      </c>
      <c r="Z2034" t="s">
        <v>473</v>
      </c>
      <c r="AA2034" t="s">
        <v>473</v>
      </c>
      <c r="AB2034" t="s">
        <v>473</v>
      </c>
      <c r="AC2034" s="10">
        <v>3</v>
      </c>
      <c r="AD2034" s="10">
        <v>11</v>
      </c>
      <c r="AE2034" t="s">
        <v>473</v>
      </c>
    </row>
    <row r="2035" spans="1:31" x14ac:dyDescent="0.25">
      <c r="A2035">
        <v>3491</v>
      </c>
      <c r="B2035">
        <v>1975</v>
      </c>
      <c r="C2035" t="s">
        <v>466</v>
      </c>
      <c r="D2035" t="s">
        <v>31</v>
      </c>
      <c r="E2035" t="str">
        <f>IF(OR(Table1[[#This Row],[marital_status]]="Married", Table1[[#This Row],[marital_status]]="Together"), "Partnered", "Single")</f>
        <v>Partnered</v>
      </c>
      <c r="F2035" s="7">
        <v>55914</v>
      </c>
      <c r="G2035" s="8">
        <v>0</v>
      </c>
      <c r="H2035" s="8">
        <v>1</v>
      </c>
      <c r="I2035" s="8">
        <f>Table1[[#This Row],[kids]]+Table1[[#This Row],[teens]]</f>
        <v>1</v>
      </c>
      <c r="J2035" s="9">
        <v>41393</v>
      </c>
      <c r="K2035" s="8">
        <v>32</v>
      </c>
      <c r="L2035" s="6">
        <v>384</v>
      </c>
      <c r="M2035" s="5">
        <v>60</v>
      </c>
      <c r="N2035" s="5">
        <v>364</v>
      </c>
      <c r="O2035" s="5">
        <v>119</v>
      </c>
      <c r="P2035" s="5">
        <v>101</v>
      </c>
      <c r="Q2035" s="5">
        <v>232</v>
      </c>
      <c r="R2035" s="8">
        <v>4</v>
      </c>
      <c r="S2035" s="8">
        <v>11</v>
      </c>
      <c r="T2035" s="8">
        <v>6</v>
      </c>
      <c r="U2035" s="8">
        <v>8</v>
      </c>
      <c r="V2035" s="8">
        <v>7</v>
      </c>
      <c r="W2035" t="s">
        <v>473</v>
      </c>
      <c r="X2035" t="s">
        <v>473</v>
      </c>
      <c r="Y2035" t="s">
        <v>473</v>
      </c>
      <c r="Z2035" t="s">
        <v>473</v>
      </c>
      <c r="AA2035" t="s">
        <v>473</v>
      </c>
      <c r="AB2035" t="s">
        <v>473</v>
      </c>
      <c r="AC2035" s="10">
        <v>3</v>
      </c>
      <c r="AD2035" s="10">
        <v>11</v>
      </c>
      <c r="AE2035" t="s">
        <v>473</v>
      </c>
    </row>
    <row r="2036" spans="1:31" x14ac:dyDescent="0.25">
      <c r="A2036">
        <v>983</v>
      </c>
      <c r="B2036">
        <v>1984</v>
      </c>
      <c r="C2036" t="s">
        <v>466</v>
      </c>
      <c r="D2036" t="s">
        <v>34</v>
      </c>
      <c r="E2036" t="str">
        <f>IF(OR(Table1[[#This Row],[marital_status]]="Married", Table1[[#This Row],[marital_status]]="Together"), "Partnered", "Single")</f>
        <v>Partnered</v>
      </c>
      <c r="F2036" s="7">
        <v>40059</v>
      </c>
      <c r="G2036" s="8">
        <v>1</v>
      </c>
      <c r="H2036" s="8">
        <v>0</v>
      </c>
      <c r="I2036" s="8">
        <f>Table1[[#This Row],[kids]]+Table1[[#This Row],[teens]]</f>
        <v>1</v>
      </c>
      <c r="J2036" s="9">
        <v>41545</v>
      </c>
      <c r="K2036" s="8">
        <v>82</v>
      </c>
      <c r="L2036" s="6">
        <v>110</v>
      </c>
      <c r="M2036" s="5">
        <v>29</v>
      </c>
      <c r="N2036" s="5">
        <v>92</v>
      </c>
      <c r="O2036" s="5">
        <v>28</v>
      </c>
      <c r="P2036" s="5">
        <v>10</v>
      </c>
      <c r="Q2036" s="5">
        <v>145</v>
      </c>
      <c r="R2036" s="8">
        <v>1</v>
      </c>
      <c r="S2036" s="8">
        <v>6</v>
      </c>
      <c r="T2036" s="8">
        <v>2</v>
      </c>
      <c r="U2036" s="8">
        <v>3</v>
      </c>
      <c r="V2036" s="8">
        <v>8</v>
      </c>
      <c r="W2036" t="s">
        <v>474</v>
      </c>
      <c r="X2036" t="s">
        <v>473</v>
      </c>
      <c r="Y2036" t="s">
        <v>473</v>
      </c>
      <c r="Z2036" t="s">
        <v>473</v>
      </c>
      <c r="AA2036" t="s">
        <v>473</v>
      </c>
      <c r="AB2036" t="s">
        <v>473</v>
      </c>
      <c r="AC2036" s="10">
        <v>3</v>
      </c>
      <c r="AD2036" s="10">
        <v>11</v>
      </c>
      <c r="AE2036" t="s">
        <v>473</v>
      </c>
    </row>
    <row r="2037" spans="1:31" x14ac:dyDescent="0.25">
      <c r="A2037">
        <v>9119</v>
      </c>
      <c r="B2037">
        <v>1950</v>
      </c>
      <c r="C2037" t="s">
        <v>466</v>
      </c>
      <c r="D2037" t="s">
        <v>31</v>
      </c>
      <c r="E2037" t="str">
        <f>IF(OR(Table1[[#This Row],[marital_status]]="Married", Table1[[#This Row],[marital_status]]="Together"), "Partnered", "Single")</f>
        <v>Partnered</v>
      </c>
      <c r="F2037" s="7">
        <v>60905</v>
      </c>
      <c r="G2037" s="8">
        <v>0</v>
      </c>
      <c r="H2037" s="8">
        <v>1</v>
      </c>
      <c r="I2037" s="8">
        <f>Table1[[#This Row],[kids]]+Table1[[#This Row],[teens]]</f>
        <v>1</v>
      </c>
      <c r="J2037" s="9">
        <v>41613</v>
      </c>
      <c r="K2037" s="8">
        <v>27</v>
      </c>
      <c r="L2037" s="6">
        <v>208</v>
      </c>
      <c r="M2037" s="5">
        <v>17</v>
      </c>
      <c r="N2037" s="5">
        <v>76</v>
      </c>
      <c r="O2037" s="5">
        <v>36</v>
      </c>
      <c r="P2037" s="5">
        <v>17</v>
      </c>
      <c r="Q2037" s="5">
        <v>38</v>
      </c>
      <c r="R2037" s="8">
        <v>2</v>
      </c>
      <c r="S2037" s="8">
        <v>3</v>
      </c>
      <c r="T2037" s="8">
        <v>3</v>
      </c>
      <c r="U2037" s="8">
        <v>7</v>
      </c>
      <c r="V2037" s="8">
        <v>2</v>
      </c>
      <c r="W2037" t="s">
        <v>473</v>
      </c>
      <c r="X2037" t="s">
        <v>473</v>
      </c>
      <c r="Y2037" t="s">
        <v>473</v>
      </c>
      <c r="Z2037" t="s">
        <v>473</v>
      </c>
      <c r="AA2037" t="s">
        <v>473</v>
      </c>
      <c r="AB2037" t="s">
        <v>473</v>
      </c>
      <c r="AC2037" s="10">
        <v>3</v>
      </c>
      <c r="AD2037" s="10">
        <v>11</v>
      </c>
      <c r="AE2037" t="s">
        <v>473</v>
      </c>
    </row>
    <row r="2038" spans="1:31" x14ac:dyDescent="0.25">
      <c r="A2038">
        <v>4786</v>
      </c>
      <c r="B2038">
        <v>1977</v>
      </c>
      <c r="C2038" t="s">
        <v>466</v>
      </c>
      <c r="D2038" t="s">
        <v>34</v>
      </c>
      <c r="E2038" t="str">
        <f>IF(OR(Table1[[#This Row],[marital_status]]="Married", Table1[[#This Row],[marital_status]]="Together"), "Partnered", "Single")</f>
        <v>Partnered</v>
      </c>
      <c r="F2038" s="7">
        <v>75330</v>
      </c>
      <c r="G2038" s="8">
        <v>1</v>
      </c>
      <c r="H2038" s="8">
        <v>1</v>
      </c>
      <c r="I2038" s="8">
        <f>Table1[[#This Row],[kids]]+Table1[[#This Row],[teens]]</f>
        <v>2</v>
      </c>
      <c r="J2038" s="9">
        <v>41186</v>
      </c>
      <c r="K2038" s="8">
        <v>94</v>
      </c>
      <c r="L2038" s="6">
        <v>555</v>
      </c>
      <c r="M2038" s="5">
        <v>82</v>
      </c>
      <c r="N2038" s="5">
        <v>257</v>
      </c>
      <c r="O2038" s="5">
        <v>93</v>
      </c>
      <c r="P2038" s="5">
        <v>61</v>
      </c>
      <c r="Q2038" s="5">
        <v>61</v>
      </c>
      <c r="R2038" s="8">
        <v>4</v>
      </c>
      <c r="S2038" s="8">
        <v>10</v>
      </c>
      <c r="T2038" s="8">
        <v>3</v>
      </c>
      <c r="U2038" s="8">
        <v>12</v>
      </c>
      <c r="V2038" s="8">
        <v>6</v>
      </c>
      <c r="W2038" t="s">
        <v>473</v>
      </c>
      <c r="X2038" t="s">
        <v>473</v>
      </c>
      <c r="Y2038" t="s">
        <v>473</v>
      </c>
      <c r="Z2038" t="s">
        <v>473</v>
      </c>
      <c r="AA2038" t="s">
        <v>473</v>
      </c>
      <c r="AB2038" t="s">
        <v>473</v>
      </c>
      <c r="AC2038" s="10">
        <v>3</v>
      </c>
      <c r="AD2038" s="10">
        <v>11</v>
      </c>
      <c r="AE2038" t="s">
        <v>473</v>
      </c>
    </row>
    <row r="2039" spans="1:31" x14ac:dyDescent="0.25">
      <c r="A2039">
        <v>5872</v>
      </c>
      <c r="B2039">
        <v>1951</v>
      </c>
      <c r="C2039" t="s">
        <v>466</v>
      </c>
      <c r="D2039" t="s">
        <v>30</v>
      </c>
      <c r="E2039" t="str">
        <f>IF(OR(Table1[[#This Row],[marital_status]]="Married", Table1[[#This Row],[marital_status]]="Together"), "Partnered", "Single")</f>
        <v>Single</v>
      </c>
      <c r="F2039" s="7">
        <v>60689</v>
      </c>
      <c r="G2039" s="8">
        <v>0</v>
      </c>
      <c r="H2039" s="8">
        <v>1</v>
      </c>
      <c r="I2039" s="8">
        <f>Table1[[#This Row],[kids]]+Table1[[#This Row],[teens]]</f>
        <v>1</v>
      </c>
      <c r="J2039" s="9">
        <v>41426</v>
      </c>
      <c r="K2039" s="8">
        <v>23</v>
      </c>
      <c r="L2039" s="6">
        <v>240</v>
      </c>
      <c r="M2039" s="5">
        <v>90</v>
      </c>
      <c r="N2039" s="5">
        <v>216</v>
      </c>
      <c r="O2039" s="5">
        <v>63</v>
      </c>
      <c r="P2039" s="5">
        <v>6</v>
      </c>
      <c r="Q2039" s="5">
        <v>24</v>
      </c>
      <c r="R2039" s="8">
        <v>4</v>
      </c>
      <c r="S2039" s="8">
        <v>4</v>
      </c>
      <c r="T2039" s="8">
        <v>4</v>
      </c>
      <c r="U2039" s="8">
        <v>10</v>
      </c>
      <c r="V2039" s="8">
        <v>3</v>
      </c>
      <c r="W2039" t="s">
        <v>473</v>
      </c>
      <c r="X2039" t="s">
        <v>473</v>
      </c>
      <c r="Y2039" t="s">
        <v>473</v>
      </c>
      <c r="Z2039" t="s">
        <v>473</v>
      </c>
      <c r="AA2039" t="s">
        <v>473</v>
      </c>
      <c r="AB2039" t="s">
        <v>473</v>
      </c>
      <c r="AC2039" s="10">
        <v>3</v>
      </c>
      <c r="AD2039" s="10">
        <v>11</v>
      </c>
      <c r="AE2039" t="s">
        <v>473</v>
      </c>
    </row>
    <row r="2040" spans="1:31" x14ac:dyDescent="0.25">
      <c r="A2040">
        <v>6568</v>
      </c>
      <c r="B2040">
        <v>1984</v>
      </c>
      <c r="C2040" t="s">
        <v>466</v>
      </c>
      <c r="D2040" t="s">
        <v>34</v>
      </c>
      <c r="E2040" t="str">
        <f>IF(OR(Table1[[#This Row],[marital_status]]="Married", Table1[[#This Row],[marital_status]]="Together"), "Partnered", "Single")</f>
        <v>Partnered</v>
      </c>
      <c r="F2040" s="7">
        <v>38680</v>
      </c>
      <c r="G2040" s="8">
        <v>1</v>
      </c>
      <c r="H2040" s="8">
        <v>0</v>
      </c>
      <c r="I2040" s="8">
        <f>Table1[[#This Row],[kids]]+Table1[[#This Row],[teens]]</f>
        <v>1</v>
      </c>
      <c r="J2040" s="9">
        <v>41361</v>
      </c>
      <c r="K2040" s="8">
        <v>97</v>
      </c>
      <c r="L2040" s="6">
        <v>11</v>
      </c>
      <c r="M2040" s="5">
        <v>0</v>
      </c>
      <c r="N2040" s="5">
        <v>36</v>
      </c>
      <c r="O2040" s="5">
        <v>15</v>
      </c>
      <c r="P2040" s="5">
        <v>5</v>
      </c>
      <c r="Q2040" s="5">
        <v>12</v>
      </c>
      <c r="R2040" s="8">
        <v>1</v>
      </c>
      <c r="S2040" s="8">
        <v>2</v>
      </c>
      <c r="T2040" s="8">
        <v>0</v>
      </c>
      <c r="U2040" s="8">
        <v>3</v>
      </c>
      <c r="V2040" s="8">
        <v>7</v>
      </c>
      <c r="W2040" t="s">
        <v>473</v>
      </c>
      <c r="X2040" t="s">
        <v>473</v>
      </c>
      <c r="Y2040" t="s">
        <v>473</v>
      </c>
      <c r="Z2040" t="s">
        <v>473</v>
      </c>
      <c r="AA2040" t="s">
        <v>473</v>
      </c>
      <c r="AB2040" t="s">
        <v>473</v>
      </c>
      <c r="AC2040" s="10">
        <v>3</v>
      </c>
      <c r="AD2040" s="10">
        <v>11</v>
      </c>
      <c r="AE2040" t="s">
        <v>473</v>
      </c>
    </row>
    <row r="2041" spans="1:31" x14ac:dyDescent="0.25">
      <c r="A2041">
        <v>5628</v>
      </c>
      <c r="B2041">
        <v>1982</v>
      </c>
      <c r="C2041" t="s">
        <v>466</v>
      </c>
      <c r="D2041" t="s">
        <v>31</v>
      </c>
      <c r="E2041" t="str">
        <f>IF(OR(Table1[[#This Row],[marital_status]]="Married", Table1[[#This Row],[marital_status]]="Together"), "Partnered", "Single")</f>
        <v>Partnered</v>
      </c>
      <c r="F2041" s="7">
        <v>61416</v>
      </c>
      <c r="G2041" s="8">
        <v>0</v>
      </c>
      <c r="H2041" s="8">
        <v>0</v>
      </c>
      <c r="I2041" s="8">
        <f>Table1[[#This Row],[kids]]+Table1[[#This Row],[teens]]</f>
        <v>0</v>
      </c>
      <c r="J2041" s="9">
        <v>41313</v>
      </c>
      <c r="K2041" s="8">
        <v>25</v>
      </c>
      <c r="L2041" s="6">
        <v>848</v>
      </c>
      <c r="M2041" s="5">
        <v>154</v>
      </c>
      <c r="N2041" s="5">
        <v>323</v>
      </c>
      <c r="O2041" s="5">
        <v>201</v>
      </c>
      <c r="P2041" s="5">
        <v>61</v>
      </c>
      <c r="Q2041" s="5">
        <v>78</v>
      </c>
      <c r="R2041" s="8">
        <v>1</v>
      </c>
      <c r="S2041" s="8">
        <v>10</v>
      </c>
      <c r="T2041" s="8">
        <v>3</v>
      </c>
      <c r="U2041" s="8">
        <v>10</v>
      </c>
      <c r="V2041" s="8">
        <v>6</v>
      </c>
      <c r="W2041" t="s">
        <v>474</v>
      </c>
      <c r="X2041" t="s">
        <v>473</v>
      </c>
      <c r="Y2041" t="s">
        <v>473</v>
      </c>
      <c r="Z2041" t="s">
        <v>473</v>
      </c>
      <c r="AA2041" t="s">
        <v>473</v>
      </c>
      <c r="AB2041" t="s">
        <v>473</v>
      </c>
      <c r="AC2041" s="10">
        <v>3</v>
      </c>
      <c r="AD2041" s="10">
        <v>11</v>
      </c>
      <c r="AE2041" t="s">
        <v>473</v>
      </c>
    </row>
    <row r="2042" spans="1:31" x14ac:dyDescent="0.25">
      <c r="A2042">
        <v>5631</v>
      </c>
      <c r="B2042">
        <v>1991</v>
      </c>
      <c r="C2042" t="s">
        <v>466</v>
      </c>
      <c r="D2042" t="s">
        <v>30</v>
      </c>
      <c r="E2042" t="str">
        <f>IF(OR(Table1[[#This Row],[marital_status]]="Married", Table1[[#This Row],[marital_status]]="Together"), "Partnered", "Single")</f>
        <v>Single</v>
      </c>
      <c r="F2042" s="7">
        <v>49767</v>
      </c>
      <c r="G2042" s="8">
        <v>0</v>
      </c>
      <c r="H2042" s="8">
        <v>0</v>
      </c>
      <c r="I2042" s="8">
        <f>Table1[[#This Row],[kids]]+Table1[[#This Row],[teens]]</f>
        <v>0</v>
      </c>
      <c r="J2042" s="9">
        <v>41396</v>
      </c>
      <c r="K2042" s="8">
        <v>92</v>
      </c>
      <c r="L2042" s="6">
        <v>202</v>
      </c>
      <c r="M2042" s="5">
        <v>47</v>
      </c>
      <c r="N2042" s="5">
        <v>197</v>
      </c>
      <c r="O2042" s="5">
        <v>55</v>
      </c>
      <c r="P2042" s="5">
        <v>42</v>
      </c>
      <c r="Q2042" s="5">
        <v>149</v>
      </c>
      <c r="R2042" s="8">
        <v>1</v>
      </c>
      <c r="S2042" s="8">
        <v>5</v>
      </c>
      <c r="T2042" s="8">
        <v>4</v>
      </c>
      <c r="U2042" s="8">
        <v>8</v>
      </c>
      <c r="V2042" s="8">
        <v>4</v>
      </c>
      <c r="W2042" t="s">
        <v>473</v>
      </c>
      <c r="X2042" t="s">
        <v>473</v>
      </c>
      <c r="Y2042" t="s">
        <v>473</v>
      </c>
      <c r="Z2042" t="s">
        <v>473</v>
      </c>
      <c r="AA2042" t="s">
        <v>473</v>
      </c>
      <c r="AB2042" t="s">
        <v>473</v>
      </c>
      <c r="AC2042" s="10">
        <v>3</v>
      </c>
      <c r="AD2042" s="10">
        <v>11</v>
      </c>
      <c r="AE2042" t="s">
        <v>473</v>
      </c>
    </row>
    <row r="2043" spans="1:31" x14ac:dyDescent="0.25">
      <c r="A2043">
        <v>4974</v>
      </c>
      <c r="B2043">
        <v>1970</v>
      </c>
      <c r="C2043" t="s">
        <v>466</v>
      </c>
      <c r="D2043" t="s">
        <v>30</v>
      </c>
      <c r="E2043" t="str">
        <f>IF(OR(Table1[[#This Row],[marital_status]]="Married", Table1[[#This Row],[marital_status]]="Together"), "Partnered", "Single")</f>
        <v>Single</v>
      </c>
      <c r="F2043" s="7">
        <v>83273</v>
      </c>
      <c r="G2043" s="8">
        <v>1</v>
      </c>
      <c r="H2043" s="8">
        <v>2</v>
      </c>
      <c r="I2043" s="8">
        <f>Table1[[#This Row],[kids]]+Table1[[#This Row],[teens]]</f>
        <v>3</v>
      </c>
      <c r="J2043" s="9">
        <v>41177</v>
      </c>
      <c r="K2043" s="8">
        <v>98</v>
      </c>
      <c r="L2043" s="6">
        <v>433</v>
      </c>
      <c r="M2043" s="5">
        <v>89</v>
      </c>
      <c r="N2043" s="5">
        <v>650</v>
      </c>
      <c r="O2043" s="5">
        <v>16</v>
      </c>
      <c r="P2043" s="5">
        <v>102</v>
      </c>
      <c r="Q2043" s="5">
        <v>102</v>
      </c>
      <c r="R2043" s="8">
        <v>10</v>
      </c>
      <c r="S2043" s="8">
        <v>4</v>
      </c>
      <c r="T2043" s="8">
        <v>6</v>
      </c>
      <c r="U2043" s="8">
        <v>9</v>
      </c>
      <c r="V2043" s="8">
        <v>7</v>
      </c>
      <c r="W2043" t="s">
        <v>473</v>
      </c>
      <c r="X2043" t="s">
        <v>473</v>
      </c>
      <c r="Y2043" t="s">
        <v>473</v>
      </c>
      <c r="Z2043" t="s">
        <v>473</v>
      </c>
      <c r="AA2043" t="s">
        <v>473</v>
      </c>
      <c r="AB2043" t="s">
        <v>473</v>
      </c>
      <c r="AC2043" s="10">
        <v>3</v>
      </c>
      <c r="AD2043" s="10">
        <v>11</v>
      </c>
      <c r="AE2043" t="s">
        <v>473</v>
      </c>
    </row>
    <row r="2044" spans="1:31" x14ac:dyDescent="0.25">
      <c r="A2044">
        <v>8416</v>
      </c>
      <c r="B2044">
        <v>1981</v>
      </c>
      <c r="C2044" t="s">
        <v>466</v>
      </c>
      <c r="D2044" t="s">
        <v>34</v>
      </c>
      <c r="E2044" t="str">
        <f>IF(OR(Table1[[#This Row],[marital_status]]="Married", Table1[[#This Row],[marital_status]]="Together"), "Partnered", "Single")</f>
        <v>Partnered</v>
      </c>
      <c r="F2044" s="7">
        <v>29009</v>
      </c>
      <c r="G2044" s="8">
        <v>1</v>
      </c>
      <c r="H2044" s="8">
        <v>0</v>
      </c>
      <c r="I2044" s="8">
        <f>Table1[[#This Row],[kids]]+Table1[[#This Row],[teens]]</f>
        <v>1</v>
      </c>
      <c r="J2044" s="9">
        <v>41607</v>
      </c>
      <c r="K2044" s="8">
        <v>19</v>
      </c>
      <c r="L2044" s="6">
        <v>6</v>
      </c>
      <c r="M2044" s="5">
        <v>6</v>
      </c>
      <c r="N2044" s="5">
        <v>15</v>
      </c>
      <c r="O2044" s="5">
        <v>10</v>
      </c>
      <c r="P2044" s="5">
        <v>5</v>
      </c>
      <c r="Q2044" s="5">
        <v>2</v>
      </c>
      <c r="R2044" s="8">
        <v>2</v>
      </c>
      <c r="S2044" s="8">
        <v>2</v>
      </c>
      <c r="T2044" s="8">
        <v>0</v>
      </c>
      <c r="U2044" s="8">
        <v>3</v>
      </c>
      <c r="V2044" s="8">
        <v>6</v>
      </c>
      <c r="W2044" t="s">
        <v>473</v>
      </c>
      <c r="X2044" t="s">
        <v>473</v>
      </c>
      <c r="Y2044" t="s">
        <v>473</v>
      </c>
      <c r="Z2044" t="s">
        <v>473</v>
      </c>
      <c r="AA2044" t="s">
        <v>473</v>
      </c>
      <c r="AB2044" t="s">
        <v>473</v>
      </c>
      <c r="AC2044" s="10">
        <v>3</v>
      </c>
      <c r="AD2044" s="10">
        <v>11</v>
      </c>
      <c r="AE2044" t="s">
        <v>473</v>
      </c>
    </row>
    <row r="2045" spans="1:31" x14ac:dyDescent="0.25">
      <c r="A2045">
        <v>5454</v>
      </c>
      <c r="B2045">
        <v>1979</v>
      </c>
      <c r="C2045" t="s">
        <v>36</v>
      </c>
      <c r="D2045" t="s">
        <v>34</v>
      </c>
      <c r="E2045" t="str">
        <f>IF(OR(Table1[[#This Row],[marital_status]]="Married", Table1[[#This Row],[marital_status]]="Together"), "Partnered", "Single")</f>
        <v>Partnered</v>
      </c>
      <c r="F2045" s="7">
        <v>45057</v>
      </c>
      <c r="G2045" s="8">
        <v>1</v>
      </c>
      <c r="H2045" s="8">
        <v>0</v>
      </c>
      <c r="I2045" s="8">
        <f>Table1[[#This Row],[kids]]+Table1[[#This Row],[teens]]</f>
        <v>1</v>
      </c>
      <c r="J2045" s="9">
        <v>41609</v>
      </c>
      <c r="K2045" s="8">
        <v>80</v>
      </c>
      <c r="L2045" s="6">
        <v>37</v>
      </c>
      <c r="M2045" s="5">
        <v>0</v>
      </c>
      <c r="N2045" s="5">
        <v>7</v>
      </c>
      <c r="O2045" s="5">
        <v>3</v>
      </c>
      <c r="P2045" s="5">
        <v>0</v>
      </c>
      <c r="Q2045" s="5">
        <v>3</v>
      </c>
      <c r="R2045" s="8">
        <v>1</v>
      </c>
      <c r="S2045" s="8">
        <v>2</v>
      </c>
      <c r="T2045" s="8">
        <v>0</v>
      </c>
      <c r="U2045" s="8">
        <v>3</v>
      </c>
      <c r="V2045" s="8">
        <v>5</v>
      </c>
      <c r="W2045" t="s">
        <v>473</v>
      </c>
      <c r="X2045" t="s">
        <v>473</v>
      </c>
      <c r="Y2045" t="s">
        <v>473</v>
      </c>
      <c r="Z2045" t="s">
        <v>473</v>
      </c>
      <c r="AA2045" t="s">
        <v>473</v>
      </c>
      <c r="AB2045" t="s">
        <v>473</v>
      </c>
      <c r="AC2045" s="10">
        <v>3</v>
      </c>
      <c r="AD2045" s="10">
        <v>11</v>
      </c>
      <c r="AE2045" t="s">
        <v>473</v>
      </c>
    </row>
    <row r="2046" spans="1:31" x14ac:dyDescent="0.25">
      <c r="A2046">
        <v>4095</v>
      </c>
      <c r="B2046">
        <v>1971</v>
      </c>
      <c r="C2046" t="s">
        <v>466</v>
      </c>
      <c r="D2046" t="s">
        <v>34</v>
      </c>
      <c r="E2046" t="str">
        <f>IF(OR(Table1[[#This Row],[marital_status]]="Married", Table1[[#This Row],[marital_status]]="Together"), "Partnered", "Single")</f>
        <v>Partnered</v>
      </c>
      <c r="F2046" s="7">
        <v>37150</v>
      </c>
      <c r="G2046" s="8">
        <v>1</v>
      </c>
      <c r="H2046" s="8">
        <v>0</v>
      </c>
      <c r="I2046" s="8">
        <f>Table1[[#This Row],[kids]]+Table1[[#This Row],[teens]]</f>
        <v>1</v>
      </c>
      <c r="J2046" s="9">
        <v>41163</v>
      </c>
      <c r="K2046" s="8">
        <v>80</v>
      </c>
      <c r="L2046" s="6">
        <v>167</v>
      </c>
      <c r="M2046" s="5">
        <v>37</v>
      </c>
      <c r="N2046" s="5">
        <v>64</v>
      </c>
      <c r="O2046" s="5">
        <v>49</v>
      </c>
      <c r="P2046" s="5">
        <v>34</v>
      </c>
      <c r="Q2046" s="5">
        <v>116</v>
      </c>
      <c r="R2046" s="8">
        <v>8</v>
      </c>
      <c r="S2046" s="8">
        <v>4</v>
      </c>
      <c r="T2046" s="8">
        <v>3</v>
      </c>
      <c r="U2046" s="8">
        <v>6</v>
      </c>
      <c r="V2046" s="8">
        <v>7</v>
      </c>
      <c r="W2046" t="s">
        <v>473</v>
      </c>
      <c r="X2046" t="s">
        <v>473</v>
      </c>
      <c r="Y2046" t="s">
        <v>473</v>
      </c>
      <c r="Z2046" t="s">
        <v>473</v>
      </c>
      <c r="AA2046" t="s">
        <v>473</v>
      </c>
      <c r="AB2046" t="s">
        <v>473</v>
      </c>
      <c r="AC2046" s="10">
        <v>3</v>
      </c>
      <c r="AD2046" s="10">
        <v>11</v>
      </c>
      <c r="AE2046" t="s">
        <v>473</v>
      </c>
    </row>
    <row r="2047" spans="1:31" x14ac:dyDescent="0.25">
      <c r="A2047">
        <v>5474</v>
      </c>
      <c r="B2047">
        <v>1970</v>
      </c>
      <c r="C2047" t="s">
        <v>466</v>
      </c>
      <c r="D2047" t="s">
        <v>30</v>
      </c>
      <c r="E2047" t="str">
        <f>IF(OR(Table1[[#This Row],[marital_status]]="Married", Table1[[#This Row],[marital_status]]="Together"), "Partnered", "Single")</f>
        <v>Single</v>
      </c>
      <c r="F2047" s="7">
        <v>43020</v>
      </c>
      <c r="G2047" s="8">
        <v>1</v>
      </c>
      <c r="H2047" s="8">
        <v>0</v>
      </c>
      <c r="I2047" s="8">
        <f>Table1[[#This Row],[kids]]+Table1[[#This Row],[teens]]</f>
        <v>1</v>
      </c>
      <c r="J2047" s="9">
        <v>41608</v>
      </c>
      <c r="K2047" s="8">
        <v>79</v>
      </c>
      <c r="L2047" s="6">
        <v>45</v>
      </c>
      <c r="M2047" s="5">
        <v>7</v>
      </c>
      <c r="N2047" s="5">
        <v>99</v>
      </c>
      <c r="O2047" s="5">
        <v>4</v>
      </c>
      <c r="P2047" s="5">
        <v>25</v>
      </c>
      <c r="Q2047" s="5">
        <v>43</v>
      </c>
      <c r="R2047" s="8">
        <v>3</v>
      </c>
      <c r="S2047" s="8">
        <v>4</v>
      </c>
      <c r="T2047" s="8">
        <v>1</v>
      </c>
      <c r="U2047" s="8">
        <v>4</v>
      </c>
      <c r="V2047" s="8">
        <v>6</v>
      </c>
      <c r="W2047" t="s">
        <v>473</v>
      </c>
      <c r="X2047" t="s">
        <v>473</v>
      </c>
      <c r="Y2047" t="s">
        <v>473</v>
      </c>
      <c r="Z2047" t="s">
        <v>473</v>
      </c>
      <c r="AA2047" t="s">
        <v>473</v>
      </c>
      <c r="AB2047" t="s">
        <v>473</v>
      </c>
      <c r="AC2047" s="10">
        <v>3</v>
      </c>
      <c r="AD2047" s="10">
        <v>11</v>
      </c>
      <c r="AE2047" t="s">
        <v>473</v>
      </c>
    </row>
    <row r="2048" spans="1:31" x14ac:dyDescent="0.25">
      <c r="A2048">
        <v>4268</v>
      </c>
      <c r="B2048">
        <v>1959</v>
      </c>
      <c r="C2048" t="s">
        <v>466</v>
      </c>
      <c r="D2048" t="s">
        <v>34</v>
      </c>
      <c r="E2048" t="str">
        <f>IF(OR(Table1[[#This Row],[marital_status]]="Married", Table1[[#This Row],[marital_status]]="Together"), "Partnered", "Single")</f>
        <v>Partnered</v>
      </c>
      <c r="F2048" s="7">
        <v>53154</v>
      </c>
      <c r="G2048" s="8">
        <v>0</v>
      </c>
      <c r="H2048" s="8">
        <v>1</v>
      </c>
      <c r="I2048" s="8">
        <f>Table1[[#This Row],[kids]]+Table1[[#This Row],[teens]]</f>
        <v>1</v>
      </c>
      <c r="J2048" s="9">
        <v>41799</v>
      </c>
      <c r="K2048" s="8">
        <v>50</v>
      </c>
      <c r="L2048" s="6">
        <v>129</v>
      </c>
      <c r="M2048" s="5">
        <v>0</v>
      </c>
      <c r="N2048" s="5">
        <v>21</v>
      </c>
      <c r="O2048" s="5">
        <v>0</v>
      </c>
      <c r="P2048" s="5">
        <v>1</v>
      </c>
      <c r="Q2048" s="5">
        <v>7</v>
      </c>
      <c r="R2048" s="8">
        <v>1</v>
      </c>
      <c r="S2048" s="8">
        <v>3</v>
      </c>
      <c r="T2048" s="8">
        <v>1</v>
      </c>
      <c r="U2048" s="8">
        <v>4</v>
      </c>
      <c r="V2048" s="8">
        <v>4</v>
      </c>
      <c r="W2048" t="s">
        <v>473</v>
      </c>
      <c r="X2048" t="s">
        <v>473</v>
      </c>
      <c r="Y2048" t="s">
        <v>473</v>
      </c>
      <c r="Z2048" t="s">
        <v>473</v>
      </c>
      <c r="AA2048" t="s">
        <v>473</v>
      </c>
      <c r="AB2048" t="s">
        <v>473</v>
      </c>
      <c r="AC2048" s="10">
        <v>3</v>
      </c>
      <c r="AD2048" s="10">
        <v>11</v>
      </c>
      <c r="AE2048" t="s">
        <v>473</v>
      </c>
    </row>
    <row r="2049" spans="1:31" x14ac:dyDescent="0.25">
      <c r="A2049">
        <v>10701</v>
      </c>
      <c r="B2049">
        <v>1973</v>
      </c>
      <c r="C2049" t="s">
        <v>466</v>
      </c>
      <c r="D2049" t="s">
        <v>34</v>
      </c>
      <c r="E2049" t="str">
        <f>IF(OR(Table1[[#This Row],[marital_status]]="Married", Table1[[#This Row],[marital_status]]="Together"), "Partnered", "Single")</f>
        <v>Partnered</v>
      </c>
      <c r="F2049" s="7">
        <v>65308</v>
      </c>
      <c r="G2049" s="8">
        <v>0</v>
      </c>
      <c r="H2049" s="8">
        <v>0</v>
      </c>
      <c r="I2049" s="8">
        <f>Table1[[#This Row],[kids]]+Table1[[#This Row],[teens]]</f>
        <v>0</v>
      </c>
      <c r="J2049" s="9">
        <v>41528</v>
      </c>
      <c r="K2049" s="8">
        <v>60</v>
      </c>
      <c r="L2049" s="6">
        <v>713</v>
      </c>
      <c r="M2049" s="5">
        <v>0</v>
      </c>
      <c r="N2049" s="5">
        <v>264</v>
      </c>
      <c r="O2049" s="5">
        <v>120</v>
      </c>
      <c r="P2049" s="5">
        <v>80</v>
      </c>
      <c r="Q2049" s="5">
        <v>34</v>
      </c>
      <c r="R2049" s="8">
        <v>1</v>
      </c>
      <c r="S2049" s="8">
        <v>7</v>
      </c>
      <c r="T2049" s="8">
        <v>8</v>
      </c>
      <c r="U2049" s="8">
        <v>12</v>
      </c>
      <c r="V2049" s="8">
        <v>4</v>
      </c>
      <c r="W2049" t="s">
        <v>473</v>
      </c>
      <c r="X2049" t="s">
        <v>473</v>
      </c>
      <c r="Y2049" t="s">
        <v>474</v>
      </c>
      <c r="Z2049" t="s">
        <v>474</v>
      </c>
      <c r="AA2049" t="s">
        <v>473</v>
      </c>
      <c r="AB2049" t="s">
        <v>473</v>
      </c>
      <c r="AC2049" s="10">
        <v>3</v>
      </c>
      <c r="AD2049" s="10">
        <v>11</v>
      </c>
      <c r="AE2049" t="s">
        <v>473</v>
      </c>
    </row>
    <row r="2050" spans="1:31" x14ac:dyDescent="0.25">
      <c r="A2050">
        <v>3507</v>
      </c>
      <c r="B2050">
        <v>1970</v>
      </c>
      <c r="C2050" t="s">
        <v>466</v>
      </c>
      <c r="D2050" t="s">
        <v>30</v>
      </c>
      <c r="E2050" t="str">
        <f>IF(OR(Table1[[#This Row],[marital_status]]="Married", Table1[[#This Row],[marital_status]]="Together"), "Partnered", "Single")</f>
        <v>Single</v>
      </c>
      <c r="F2050" s="7">
        <v>76467</v>
      </c>
      <c r="G2050" s="8">
        <v>1</v>
      </c>
      <c r="H2050" s="8">
        <v>0</v>
      </c>
      <c r="I2050" s="8">
        <f>Table1[[#This Row],[kids]]+Table1[[#This Row],[teens]]</f>
        <v>1</v>
      </c>
      <c r="J2050" s="9">
        <v>41138</v>
      </c>
      <c r="K2050" s="8">
        <v>44</v>
      </c>
      <c r="L2050" s="6">
        <v>676</v>
      </c>
      <c r="M2050" s="5">
        <v>161</v>
      </c>
      <c r="N2050" s="5">
        <v>426</v>
      </c>
      <c r="O2050" s="5">
        <v>210</v>
      </c>
      <c r="P2050" s="5">
        <v>44</v>
      </c>
      <c r="Q2050" s="5">
        <v>58</v>
      </c>
      <c r="R2050" s="8">
        <v>2</v>
      </c>
      <c r="S2050" s="8">
        <v>2</v>
      </c>
      <c r="T2050" s="8">
        <v>5</v>
      </c>
      <c r="U2050" s="8">
        <v>5</v>
      </c>
      <c r="V2050" s="8">
        <v>6</v>
      </c>
      <c r="W2050" t="s">
        <v>473</v>
      </c>
      <c r="X2050" t="s">
        <v>473</v>
      </c>
      <c r="Y2050" t="s">
        <v>473</v>
      </c>
      <c r="Z2050" t="s">
        <v>473</v>
      </c>
      <c r="AA2050" t="s">
        <v>473</v>
      </c>
      <c r="AB2050" t="s">
        <v>473</v>
      </c>
      <c r="AC2050" s="10">
        <v>3</v>
      </c>
      <c r="AD2050" s="10">
        <v>11</v>
      </c>
      <c r="AE2050" t="s">
        <v>474</v>
      </c>
    </row>
    <row r="2051" spans="1:31" x14ac:dyDescent="0.25">
      <c r="A2051">
        <v>2079</v>
      </c>
      <c r="B2051">
        <v>1947</v>
      </c>
      <c r="C2051" t="s">
        <v>46</v>
      </c>
      <c r="D2051" t="s">
        <v>34</v>
      </c>
      <c r="E2051" t="str">
        <f>IF(OR(Table1[[#This Row],[marital_status]]="Married", Table1[[#This Row],[marital_status]]="Together"), "Partnered", "Single")</f>
        <v>Partnered</v>
      </c>
      <c r="F2051" s="7">
        <v>81044</v>
      </c>
      <c r="G2051" s="8">
        <v>0</v>
      </c>
      <c r="H2051" s="8">
        <v>0</v>
      </c>
      <c r="I2051" s="8">
        <f>Table1[[#This Row],[kids]]+Table1[[#This Row],[teens]]</f>
        <v>0</v>
      </c>
      <c r="J2051" s="9">
        <v>41635</v>
      </c>
      <c r="K2051" s="8">
        <v>0</v>
      </c>
      <c r="L2051" s="6">
        <v>450</v>
      </c>
      <c r="M2051" s="5">
        <v>26</v>
      </c>
      <c r="N2051" s="5">
        <v>535</v>
      </c>
      <c r="O2051" s="5">
        <v>73</v>
      </c>
      <c r="P2051" s="5">
        <v>98</v>
      </c>
      <c r="Q2051" s="5">
        <v>26</v>
      </c>
      <c r="R2051" s="8">
        <v>1</v>
      </c>
      <c r="S2051" s="8">
        <v>5</v>
      </c>
      <c r="T2051" s="8">
        <v>6</v>
      </c>
      <c r="U2051" s="8">
        <v>10</v>
      </c>
      <c r="V2051" s="8">
        <v>1</v>
      </c>
      <c r="W2051" t="s">
        <v>473</v>
      </c>
      <c r="X2051" t="s">
        <v>473</v>
      </c>
      <c r="Y2051" t="s">
        <v>473</v>
      </c>
      <c r="Z2051" t="s">
        <v>473</v>
      </c>
      <c r="AA2051" t="s">
        <v>473</v>
      </c>
      <c r="AB2051" t="s">
        <v>473</v>
      </c>
      <c r="AC2051" s="10">
        <v>3</v>
      </c>
      <c r="AD2051" s="10">
        <v>11</v>
      </c>
      <c r="AE2051" t="s">
        <v>473</v>
      </c>
    </row>
    <row r="2052" spans="1:31" x14ac:dyDescent="0.25">
      <c r="A2052">
        <v>626</v>
      </c>
      <c r="B2052">
        <v>1951</v>
      </c>
      <c r="C2052" t="s">
        <v>466</v>
      </c>
      <c r="D2052" t="s">
        <v>34</v>
      </c>
      <c r="E2052" t="str">
        <f>IF(OR(Table1[[#This Row],[marital_status]]="Married", Table1[[#This Row],[marital_status]]="Together"), "Partnered", "Single")</f>
        <v>Partnered</v>
      </c>
      <c r="F2052" s="7">
        <v>32871</v>
      </c>
      <c r="G2052" s="8">
        <v>1</v>
      </c>
      <c r="H2052" s="8">
        <v>1</v>
      </c>
      <c r="I2052" s="8">
        <f>Table1[[#This Row],[kids]]+Table1[[#This Row],[teens]]</f>
        <v>2</v>
      </c>
      <c r="J2052" s="9">
        <v>41342</v>
      </c>
      <c r="K2052" s="8">
        <v>28</v>
      </c>
      <c r="L2052" s="6">
        <v>22</v>
      </c>
      <c r="M2052" s="5">
        <v>2</v>
      </c>
      <c r="N2052" s="5">
        <v>12</v>
      </c>
      <c r="O2052" s="5">
        <v>0</v>
      </c>
      <c r="P2052" s="5">
        <v>2</v>
      </c>
      <c r="Q2052" s="5">
        <v>5</v>
      </c>
      <c r="R2052" s="8">
        <v>1</v>
      </c>
      <c r="S2052" s="8">
        <v>1</v>
      </c>
      <c r="T2052" s="8">
        <v>0</v>
      </c>
      <c r="U2052" s="8">
        <v>3</v>
      </c>
      <c r="V2052" s="8">
        <v>4</v>
      </c>
      <c r="W2052" t="s">
        <v>473</v>
      </c>
      <c r="X2052" t="s">
        <v>473</v>
      </c>
      <c r="Y2052" t="s">
        <v>473</v>
      </c>
      <c r="Z2052" t="s">
        <v>473</v>
      </c>
      <c r="AA2052" t="s">
        <v>473</v>
      </c>
      <c r="AB2052" t="s">
        <v>473</v>
      </c>
      <c r="AC2052" s="10">
        <v>3</v>
      </c>
      <c r="AD2052" s="10">
        <v>11</v>
      </c>
      <c r="AE2052" t="s">
        <v>473</v>
      </c>
    </row>
    <row r="2053" spans="1:31" x14ac:dyDescent="0.25">
      <c r="A2053">
        <v>4426</v>
      </c>
      <c r="B2053">
        <v>1975</v>
      </c>
      <c r="C2053" t="s">
        <v>466</v>
      </c>
      <c r="D2053" t="s">
        <v>30</v>
      </c>
      <c r="E2053" t="str">
        <f>IF(OR(Table1[[#This Row],[marital_status]]="Married", Table1[[#This Row],[marital_status]]="Together"), "Partnered", "Single")</f>
        <v>Single</v>
      </c>
      <c r="F2053" s="7">
        <v>55801</v>
      </c>
      <c r="G2053" s="8">
        <v>1</v>
      </c>
      <c r="H2053" s="8">
        <v>1</v>
      </c>
      <c r="I2053" s="8">
        <f>Table1[[#This Row],[kids]]+Table1[[#This Row],[teens]]</f>
        <v>2</v>
      </c>
      <c r="J2053" s="9">
        <v>41539</v>
      </c>
      <c r="K2053" s="8">
        <v>35</v>
      </c>
      <c r="L2053" s="6">
        <v>367</v>
      </c>
      <c r="M2053" s="5">
        <v>4</v>
      </c>
      <c r="N2053" s="5">
        <v>51</v>
      </c>
      <c r="O2053" s="5">
        <v>6</v>
      </c>
      <c r="P2053" s="5">
        <v>4</v>
      </c>
      <c r="Q2053" s="5">
        <v>95</v>
      </c>
      <c r="R2053" s="8">
        <v>6</v>
      </c>
      <c r="S2053" s="8">
        <v>7</v>
      </c>
      <c r="T2053" s="8">
        <v>2</v>
      </c>
      <c r="U2053" s="8">
        <v>6</v>
      </c>
      <c r="V2053" s="8">
        <v>7</v>
      </c>
      <c r="W2053" t="s">
        <v>473</v>
      </c>
      <c r="X2053" t="s">
        <v>473</v>
      </c>
      <c r="Y2053" t="s">
        <v>473</v>
      </c>
      <c r="Z2053" t="s">
        <v>474</v>
      </c>
      <c r="AA2053" t="s">
        <v>473</v>
      </c>
      <c r="AB2053" t="s">
        <v>473</v>
      </c>
      <c r="AC2053" s="10">
        <v>3</v>
      </c>
      <c r="AD2053" s="10">
        <v>11</v>
      </c>
      <c r="AE2053" t="s">
        <v>473</v>
      </c>
    </row>
    <row r="2054" spans="1:31" x14ac:dyDescent="0.25">
      <c r="A2054">
        <v>2591</v>
      </c>
      <c r="B2054">
        <v>1959</v>
      </c>
      <c r="C2054" t="s">
        <v>466</v>
      </c>
      <c r="D2054" t="s">
        <v>57</v>
      </c>
      <c r="E2054" t="str">
        <f>IF(OR(Table1[[#This Row],[marital_status]]="Married", Table1[[#This Row],[marital_status]]="Together"), "Partnered", "Single")</f>
        <v>Single</v>
      </c>
      <c r="F2054" s="7">
        <v>76320</v>
      </c>
      <c r="G2054" s="8">
        <v>0</v>
      </c>
      <c r="H2054" s="8">
        <v>1</v>
      </c>
      <c r="I2054" s="8">
        <f>Table1[[#This Row],[kids]]+Table1[[#This Row],[teens]]</f>
        <v>1</v>
      </c>
      <c r="J2054" s="9">
        <v>41812</v>
      </c>
      <c r="K2054" s="8">
        <v>49</v>
      </c>
      <c r="L2054" s="6">
        <v>526</v>
      </c>
      <c r="M2054" s="5">
        <v>35</v>
      </c>
      <c r="N2054" s="5">
        <v>214</v>
      </c>
      <c r="O2054" s="5">
        <v>69</v>
      </c>
      <c r="P2054" s="5">
        <v>53</v>
      </c>
      <c r="Q2054" s="5">
        <v>35</v>
      </c>
      <c r="R2054" s="8">
        <v>2</v>
      </c>
      <c r="S2054" s="8">
        <v>6</v>
      </c>
      <c r="T2054" s="8">
        <v>3</v>
      </c>
      <c r="U2054" s="8">
        <v>4</v>
      </c>
      <c r="V2054" s="8">
        <v>2</v>
      </c>
      <c r="W2054" t="s">
        <v>473</v>
      </c>
      <c r="X2054" t="s">
        <v>473</v>
      </c>
      <c r="Y2054" t="s">
        <v>473</v>
      </c>
      <c r="Z2054" t="s">
        <v>473</v>
      </c>
      <c r="AA2054" t="s">
        <v>473</v>
      </c>
      <c r="AB2054" t="s">
        <v>473</v>
      </c>
      <c r="AC2054" s="10">
        <v>3</v>
      </c>
      <c r="AD2054" s="10">
        <v>11</v>
      </c>
      <c r="AE2054" t="s">
        <v>473</v>
      </c>
    </row>
    <row r="2055" spans="1:31" x14ac:dyDescent="0.25">
      <c r="A2055">
        <v>10509</v>
      </c>
      <c r="B2055">
        <v>1955</v>
      </c>
      <c r="C2055" t="s">
        <v>36</v>
      </c>
      <c r="D2055" t="s">
        <v>30</v>
      </c>
      <c r="E2055" t="str">
        <f>IF(OR(Table1[[#This Row],[marital_status]]="Married", Table1[[#This Row],[marital_status]]="Together"), "Partnered", "Single")</f>
        <v>Single</v>
      </c>
      <c r="F2055" s="7">
        <v>36927</v>
      </c>
      <c r="G2055" s="8">
        <v>1</v>
      </c>
      <c r="H2055" s="8">
        <v>1</v>
      </c>
      <c r="I2055" s="8">
        <f>Table1[[#This Row],[kids]]+Table1[[#This Row],[teens]]</f>
        <v>2</v>
      </c>
      <c r="J2055" s="9">
        <v>41792</v>
      </c>
      <c r="K2055" s="8">
        <v>46</v>
      </c>
      <c r="L2055" s="6">
        <v>51</v>
      </c>
      <c r="M2055" s="5">
        <v>0</v>
      </c>
      <c r="N2055" s="5">
        <v>16</v>
      </c>
      <c r="O2055" s="5">
        <v>0</v>
      </c>
      <c r="P2055" s="5">
        <v>0</v>
      </c>
      <c r="Q2055" s="5">
        <v>4</v>
      </c>
      <c r="R2055" s="8">
        <v>2</v>
      </c>
      <c r="S2055" s="8">
        <v>3</v>
      </c>
      <c r="T2055" s="8">
        <v>0</v>
      </c>
      <c r="U2055" s="8">
        <v>3</v>
      </c>
      <c r="V2055" s="8">
        <v>8</v>
      </c>
      <c r="W2055" t="s">
        <v>473</v>
      </c>
      <c r="X2055" t="s">
        <v>473</v>
      </c>
      <c r="Y2055" t="s">
        <v>473</v>
      </c>
      <c r="Z2055" t="s">
        <v>473</v>
      </c>
      <c r="AA2055" t="s">
        <v>473</v>
      </c>
      <c r="AB2055" t="s">
        <v>473</v>
      </c>
      <c r="AC2055" s="10">
        <v>3</v>
      </c>
      <c r="AD2055" s="10">
        <v>11</v>
      </c>
      <c r="AE2055" t="s">
        <v>473</v>
      </c>
    </row>
    <row r="2056" spans="1:31" x14ac:dyDescent="0.25">
      <c r="A2056">
        <v>6382</v>
      </c>
      <c r="B2056">
        <v>1953</v>
      </c>
      <c r="C2056" t="s">
        <v>466</v>
      </c>
      <c r="D2056" t="s">
        <v>31</v>
      </c>
      <c r="E2056" t="str">
        <f>IF(OR(Table1[[#This Row],[marital_status]]="Married", Table1[[#This Row],[marital_status]]="Together"), "Partnered", "Single")</f>
        <v>Partnered</v>
      </c>
      <c r="F2056" s="7">
        <v>48794</v>
      </c>
      <c r="G2056" s="8">
        <v>1</v>
      </c>
      <c r="H2056" s="8">
        <v>1</v>
      </c>
      <c r="I2056" s="8">
        <f>Table1[[#This Row],[kids]]+Table1[[#This Row],[teens]]</f>
        <v>2</v>
      </c>
      <c r="J2056" s="9">
        <v>41816</v>
      </c>
      <c r="K2056" s="8">
        <v>97</v>
      </c>
      <c r="L2056" s="6">
        <v>25</v>
      </c>
      <c r="M2056" s="5">
        <v>0</v>
      </c>
      <c r="N2056" s="5">
        <v>11</v>
      </c>
      <c r="O2056" s="5">
        <v>3</v>
      </c>
      <c r="P2056" s="5">
        <v>0</v>
      </c>
      <c r="Q2056" s="5">
        <v>15</v>
      </c>
      <c r="R2056" s="8">
        <v>1</v>
      </c>
      <c r="S2056" s="8">
        <v>1</v>
      </c>
      <c r="T2056" s="8">
        <v>0</v>
      </c>
      <c r="U2056" s="8">
        <v>3</v>
      </c>
      <c r="V2056" s="8">
        <v>4</v>
      </c>
      <c r="W2056" t="s">
        <v>473</v>
      </c>
      <c r="X2056" t="s">
        <v>473</v>
      </c>
      <c r="Y2056" t="s">
        <v>473</v>
      </c>
      <c r="Z2056" t="s">
        <v>473</v>
      </c>
      <c r="AA2056" t="s">
        <v>473</v>
      </c>
      <c r="AB2056" t="s">
        <v>473</v>
      </c>
      <c r="AC2056" s="10">
        <v>3</v>
      </c>
      <c r="AD2056" s="10">
        <v>11</v>
      </c>
      <c r="AE2056" t="s">
        <v>473</v>
      </c>
    </row>
    <row r="2057" spans="1:31" x14ac:dyDescent="0.25">
      <c r="A2057">
        <v>6673</v>
      </c>
      <c r="B2057">
        <v>1965</v>
      </c>
      <c r="C2057" t="s">
        <v>466</v>
      </c>
      <c r="D2057" t="s">
        <v>30</v>
      </c>
      <c r="E2057" t="str">
        <f>IF(OR(Table1[[#This Row],[marital_status]]="Married", Table1[[#This Row],[marital_status]]="Together"), "Partnered", "Single")</f>
        <v>Single</v>
      </c>
      <c r="F2057" s="7">
        <v>23478</v>
      </c>
      <c r="G2057" s="8">
        <v>0</v>
      </c>
      <c r="H2057" s="8">
        <v>0</v>
      </c>
      <c r="I2057" s="8">
        <f>Table1[[#This Row],[kids]]+Table1[[#This Row],[teens]]</f>
        <v>0</v>
      </c>
      <c r="J2057" s="9">
        <v>41352</v>
      </c>
      <c r="K2057" s="8">
        <v>51</v>
      </c>
      <c r="L2057" s="6">
        <v>28</v>
      </c>
      <c r="M2057" s="5">
        <v>6</v>
      </c>
      <c r="N2057" s="5">
        <v>27</v>
      </c>
      <c r="O2057" s="5">
        <v>12</v>
      </c>
      <c r="P2057" s="5">
        <v>17</v>
      </c>
      <c r="Q2057" s="5">
        <v>39</v>
      </c>
      <c r="R2057" s="8">
        <v>1</v>
      </c>
      <c r="S2057" s="8">
        <v>3</v>
      </c>
      <c r="T2057" s="8">
        <v>0</v>
      </c>
      <c r="U2057" s="8">
        <v>3</v>
      </c>
      <c r="V2057" s="8">
        <v>8</v>
      </c>
      <c r="W2057" t="s">
        <v>473</v>
      </c>
      <c r="X2057" t="s">
        <v>473</v>
      </c>
      <c r="Y2057" t="s">
        <v>473</v>
      </c>
      <c r="Z2057" t="s">
        <v>473</v>
      </c>
      <c r="AA2057" t="s">
        <v>473</v>
      </c>
      <c r="AB2057" t="s">
        <v>473</v>
      </c>
      <c r="AC2057" s="10">
        <v>3</v>
      </c>
      <c r="AD2057" s="10">
        <v>11</v>
      </c>
      <c r="AE2057" t="s">
        <v>473</v>
      </c>
    </row>
    <row r="2058" spans="1:31" x14ac:dyDescent="0.25">
      <c r="A2058">
        <v>7441</v>
      </c>
      <c r="B2058">
        <v>1973</v>
      </c>
      <c r="C2058" t="s">
        <v>466</v>
      </c>
      <c r="D2058" t="s">
        <v>37</v>
      </c>
      <c r="E2058" t="str">
        <f>IF(OR(Table1[[#This Row],[marital_status]]="Married", Table1[[#This Row],[marital_status]]="Together"), "Partnered", "Single")</f>
        <v>Single</v>
      </c>
      <c r="F2058" s="7">
        <v>71128</v>
      </c>
      <c r="G2058" s="8">
        <v>1</v>
      </c>
      <c r="H2058" s="8">
        <v>0</v>
      </c>
      <c r="I2058" s="8">
        <f>Table1[[#This Row],[kids]]+Table1[[#This Row],[teens]]</f>
        <v>1</v>
      </c>
      <c r="J2058" s="9">
        <v>41188</v>
      </c>
      <c r="K2058" s="8">
        <v>80</v>
      </c>
      <c r="L2058" s="6">
        <v>958</v>
      </c>
      <c r="M2058" s="5">
        <v>159</v>
      </c>
      <c r="N2058" s="5">
        <v>447</v>
      </c>
      <c r="O2058" s="5">
        <v>20</v>
      </c>
      <c r="P2058" s="5">
        <v>0</v>
      </c>
      <c r="Q2058" s="5">
        <v>31</v>
      </c>
      <c r="R2058" s="8">
        <v>3</v>
      </c>
      <c r="S2058" s="8">
        <v>2</v>
      </c>
      <c r="T2058" s="8">
        <v>10</v>
      </c>
      <c r="U2058" s="8">
        <v>12</v>
      </c>
      <c r="V2058" s="8">
        <v>7</v>
      </c>
      <c r="W2058" t="s">
        <v>473</v>
      </c>
      <c r="X2058" t="s">
        <v>473</v>
      </c>
      <c r="Y2058" t="s">
        <v>473</v>
      </c>
      <c r="Z2058" t="s">
        <v>473</v>
      </c>
      <c r="AA2058" t="s">
        <v>473</v>
      </c>
      <c r="AB2058" t="s">
        <v>473</v>
      </c>
      <c r="AC2058" s="10">
        <v>3</v>
      </c>
      <c r="AD2058" s="10">
        <v>11</v>
      </c>
      <c r="AE2058" t="s">
        <v>473</v>
      </c>
    </row>
    <row r="2059" spans="1:31" x14ac:dyDescent="0.25">
      <c r="A2059">
        <v>1071</v>
      </c>
      <c r="B2059">
        <v>1976</v>
      </c>
      <c r="C2059" t="s">
        <v>33</v>
      </c>
      <c r="D2059" t="s">
        <v>37</v>
      </c>
      <c r="E2059" t="str">
        <f>IF(OR(Table1[[#This Row],[marital_status]]="Married", Table1[[#This Row],[marital_status]]="Together"), "Partnered", "Single")</f>
        <v>Single</v>
      </c>
      <c r="F2059" s="7">
        <v>70179</v>
      </c>
      <c r="G2059" s="8">
        <v>0</v>
      </c>
      <c r="H2059" s="8">
        <v>1</v>
      </c>
      <c r="I2059" s="8">
        <f>Table1[[#This Row],[kids]]+Table1[[#This Row],[teens]]</f>
        <v>1</v>
      </c>
      <c r="J2059" s="9">
        <v>41476</v>
      </c>
      <c r="K2059" s="8">
        <v>10</v>
      </c>
      <c r="L2059" s="6">
        <v>532</v>
      </c>
      <c r="M2059" s="5">
        <v>88</v>
      </c>
      <c r="N2059" s="5">
        <v>168</v>
      </c>
      <c r="O2059" s="5">
        <v>69</v>
      </c>
      <c r="P2059" s="5">
        <v>44</v>
      </c>
      <c r="Q2059" s="5">
        <v>133</v>
      </c>
      <c r="R2059" s="8">
        <v>3</v>
      </c>
      <c r="S2059" s="8">
        <v>7</v>
      </c>
      <c r="T2059" s="8">
        <v>3</v>
      </c>
      <c r="U2059" s="8">
        <v>13</v>
      </c>
      <c r="V2059" s="8">
        <v>5</v>
      </c>
      <c r="W2059" t="s">
        <v>473</v>
      </c>
      <c r="X2059" t="s">
        <v>473</v>
      </c>
      <c r="Y2059" t="s">
        <v>473</v>
      </c>
      <c r="Z2059" t="s">
        <v>473</v>
      </c>
      <c r="AA2059" t="s">
        <v>473</v>
      </c>
      <c r="AB2059" t="s">
        <v>473</v>
      </c>
      <c r="AC2059" s="10">
        <v>3</v>
      </c>
      <c r="AD2059" s="10">
        <v>11</v>
      </c>
      <c r="AE2059" t="s">
        <v>473</v>
      </c>
    </row>
    <row r="2060" spans="1:31" x14ac:dyDescent="0.25">
      <c r="A2060">
        <v>10061</v>
      </c>
      <c r="B2060">
        <v>1950</v>
      </c>
      <c r="C2060" t="s">
        <v>466</v>
      </c>
      <c r="D2060" t="s">
        <v>34</v>
      </c>
      <c r="E2060" t="str">
        <f>IF(OR(Table1[[#This Row],[marital_status]]="Married", Table1[[#This Row],[marital_status]]="Together"), "Partnered", "Single")</f>
        <v>Partnered</v>
      </c>
      <c r="F2060" s="7">
        <v>59462</v>
      </c>
      <c r="G2060" s="8">
        <v>0</v>
      </c>
      <c r="H2060" s="8">
        <v>1</v>
      </c>
      <c r="I2060" s="8">
        <f>Table1[[#This Row],[kids]]+Table1[[#This Row],[teens]]</f>
        <v>1</v>
      </c>
      <c r="J2060" s="9">
        <v>41279</v>
      </c>
      <c r="K2060" s="8">
        <v>29</v>
      </c>
      <c r="L2060" s="6">
        <v>724</v>
      </c>
      <c r="M2060" s="5">
        <v>17</v>
      </c>
      <c r="N2060" s="5">
        <v>143</v>
      </c>
      <c r="O2060" s="5">
        <v>0</v>
      </c>
      <c r="P2060" s="5">
        <v>8</v>
      </c>
      <c r="Q2060" s="5">
        <v>196</v>
      </c>
      <c r="R2060" s="8">
        <v>2</v>
      </c>
      <c r="S2060" s="8">
        <v>9</v>
      </c>
      <c r="T2060" s="8">
        <v>2</v>
      </c>
      <c r="U2060" s="8">
        <v>12</v>
      </c>
      <c r="V2060" s="8">
        <v>7</v>
      </c>
      <c r="W2060" t="s">
        <v>473</v>
      </c>
      <c r="X2060" t="s">
        <v>473</v>
      </c>
      <c r="Y2060" t="s">
        <v>473</v>
      </c>
      <c r="Z2060" t="s">
        <v>473</v>
      </c>
      <c r="AA2060" t="s">
        <v>473</v>
      </c>
      <c r="AB2060" t="s">
        <v>473</v>
      </c>
      <c r="AC2060" s="10">
        <v>3</v>
      </c>
      <c r="AD2060" s="10">
        <v>11</v>
      </c>
      <c r="AE2060" t="s">
        <v>473</v>
      </c>
    </row>
    <row r="2061" spans="1:31" x14ac:dyDescent="0.25">
      <c r="A2061">
        <v>7187</v>
      </c>
      <c r="B2061">
        <v>1969</v>
      </c>
      <c r="C2061" t="s">
        <v>36</v>
      </c>
      <c r="D2061" t="s">
        <v>31</v>
      </c>
      <c r="E2061" t="str">
        <f>IF(OR(Table1[[#This Row],[marital_status]]="Married", Table1[[#This Row],[marital_status]]="Together"), "Partnered", "Single")</f>
        <v>Partnered</v>
      </c>
      <c r="F2061" s="7" t="s">
        <v>464</v>
      </c>
      <c r="G2061" s="8">
        <v>1</v>
      </c>
      <c r="H2061" s="8">
        <v>1</v>
      </c>
      <c r="I2061" s="8">
        <f>Table1[[#This Row],[kids]]+Table1[[#This Row],[teens]]</f>
        <v>2</v>
      </c>
      <c r="J2061" s="9">
        <v>41412</v>
      </c>
      <c r="K2061" s="8">
        <v>52</v>
      </c>
      <c r="L2061" s="6">
        <v>375</v>
      </c>
      <c r="M2061" s="5">
        <v>42</v>
      </c>
      <c r="N2061" s="5">
        <v>48</v>
      </c>
      <c r="O2061" s="5">
        <v>94</v>
      </c>
      <c r="P2061" s="5">
        <v>66</v>
      </c>
      <c r="Q2061" s="5">
        <v>96</v>
      </c>
      <c r="R2061" s="8">
        <v>7</v>
      </c>
      <c r="S2061" s="8">
        <v>4</v>
      </c>
      <c r="T2061" s="8">
        <v>10</v>
      </c>
      <c r="U2061" s="8">
        <v>4</v>
      </c>
      <c r="V2061" s="8">
        <v>3</v>
      </c>
      <c r="W2061" t="s">
        <v>473</v>
      </c>
      <c r="X2061" t="s">
        <v>473</v>
      </c>
      <c r="Y2061" t="s">
        <v>473</v>
      </c>
      <c r="Z2061" t="s">
        <v>473</v>
      </c>
      <c r="AA2061" t="s">
        <v>473</v>
      </c>
      <c r="AB2061" t="s">
        <v>473</v>
      </c>
      <c r="AC2061" s="10">
        <v>3</v>
      </c>
      <c r="AD2061" s="10">
        <v>11</v>
      </c>
      <c r="AE2061" t="s">
        <v>473</v>
      </c>
    </row>
    <row r="2062" spans="1:31" x14ac:dyDescent="0.25">
      <c r="A2062">
        <v>8775</v>
      </c>
      <c r="B2062">
        <v>1969</v>
      </c>
      <c r="C2062" t="s">
        <v>466</v>
      </c>
      <c r="D2062" t="s">
        <v>31</v>
      </c>
      <c r="E2062" t="str">
        <f>IF(OR(Table1[[#This Row],[marital_status]]="Married", Table1[[#This Row],[marital_status]]="Together"), "Partnered", "Single")</f>
        <v>Partnered</v>
      </c>
      <c r="F2062" s="7">
        <v>38361</v>
      </c>
      <c r="G2062" s="8">
        <v>1</v>
      </c>
      <c r="H2062" s="8">
        <v>0</v>
      </c>
      <c r="I2062" s="8">
        <f>Table1[[#This Row],[kids]]+Table1[[#This Row],[teens]]</f>
        <v>1</v>
      </c>
      <c r="J2062" s="9">
        <v>41635</v>
      </c>
      <c r="K2062" s="8">
        <v>74</v>
      </c>
      <c r="L2062" s="6">
        <v>39</v>
      </c>
      <c r="M2062" s="5">
        <v>0</v>
      </c>
      <c r="N2062" s="5">
        <v>56</v>
      </c>
      <c r="O2062" s="5">
        <v>20</v>
      </c>
      <c r="P2062" s="5">
        <v>8</v>
      </c>
      <c r="Q2062" s="5">
        <v>14</v>
      </c>
      <c r="R2062" s="8">
        <v>3</v>
      </c>
      <c r="S2062" s="8">
        <v>3</v>
      </c>
      <c r="T2062" s="8">
        <v>1</v>
      </c>
      <c r="U2062" s="8">
        <v>3</v>
      </c>
      <c r="V2062" s="8">
        <v>7</v>
      </c>
      <c r="W2062" t="s">
        <v>473</v>
      </c>
      <c r="X2062" t="s">
        <v>473</v>
      </c>
      <c r="Y2062" t="s">
        <v>473</v>
      </c>
      <c r="Z2062" t="s">
        <v>473</v>
      </c>
      <c r="AA2062" t="s">
        <v>473</v>
      </c>
      <c r="AB2062" t="s">
        <v>473</v>
      </c>
      <c r="AC2062" s="10">
        <v>3</v>
      </c>
      <c r="AD2062" s="10">
        <v>11</v>
      </c>
      <c r="AE2062" t="s">
        <v>473</v>
      </c>
    </row>
    <row r="2063" spans="1:31" x14ac:dyDescent="0.25">
      <c r="A2063">
        <v>1612</v>
      </c>
      <c r="B2063">
        <v>1981</v>
      </c>
      <c r="C2063" t="s">
        <v>33</v>
      </c>
      <c r="D2063" t="s">
        <v>30</v>
      </c>
      <c r="E2063" t="str">
        <f>IF(OR(Table1[[#This Row],[marital_status]]="Married", Table1[[#This Row],[marital_status]]="Together"), "Partnered", "Single")</f>
        <v>Single</v>
      </c>
      <c r="F2063" s="7" t="s">
        <v>464</v>
      </c>
      <c r="G2063" s="8">
        <v>1</v>
      </c>
      <c r="H2063" s="8">
        <v>0</v>
      </c>
      <c r="I2063" s="8">
        <f>Table1[[#This Row],[kids]]+Table1[[#This Row],[teens]]</f>
        <v>1</v>
      </c>
      <c r="J2063" s="9">
        <v>41425</v>
      </c>
      <c r="K2063" s="8">
        <v>82</v>
      </c>
      <c r="L2063" s="6">
        <v>23</v>
      </c>
      <c r="M2063" s="5">
        <v>0</v>
      </c>
      <c r="N2063" s="5">
        <v>15</v>
      </c>
      <c r="O2063" s="5">
        <v>0</v>
      </c>
      <c r="P2063" s="5">
        <v>2</v>
      </c>
      <c r="Q2063" s="5">
        <v>7</v>
      </c>
      <c r="R2063" s="8">
        <v>2</v>
      </c>
      <c r="S2063" s="8">
        <v>3</v>
      </c>
      <c r="T2063" s="8">
        <v>0</v>
      </c>
      <c r="U2063" s="8">
        <v>3</v>
      </c>
      <c r="V2063" s="8">
        <v>6</v>
      </c>
      <c r="W2063" t="s">
        <v>473</v>
      </c>
      <c r="X2063" t="s">
        <v>473</v>
      </c>
      <c r="Y2063" t="s">
        <v>473</v>
      </c>
      <c r="Z2063" t="s">
        <v>473</v>
      </c>
      <c r="AA2063" t="s">
        <v>473</v>
      </c>
      <c r="AB2063" t="s">
        <v>473</v>
      </c>
      <c r="AC2063" s="10">
        <v>3</v>
      </c>
      <c r="AD2063" s="10">
        <v>11</v>
      </c>
      <c r="AE2063" t="s">
        <v>473</v>
      </c>
    </row>
    <row r="2064" spans="1:31" x14ac:dyDescent="0.25">
      <c r="A2064">
        <v>2345</v>
      </c>
      <c r="B2064">
        <v>1982</v>
      </c>
      <c r="C2064" t="s">
        <v>33</v>
      </c>
      <c r="D2064" t="s">
        <v>31</v>
      </c>
      <c r="E2064" t="str">
        <f>IF(OR(Table1[[#This Row],[marital_status]]="Married", Table1[[#This Row],[marital_status]]="Together"), "Partnered", "Single")</f>
        <v>Partnered</v>
      </c>
      <c r="F2064" s="7">
        <v>70038</v>
      </c>
      <c r="G2064" s="8">
        <v>0</v>
      </c>
      <c r="H2064" s="8">
        <v>0</v>
      </c>
      <c r="I2064" s="8">
        <f>Table1[[#This Row],[kids]]+Table1[[#This Row],[teens]]</f>
        <v>0</v>
      </c>
      <c r="J2064" s="9">
        <v>41572</v>
      </c>
      <c r="K2064" s="8">
        <v>54</v>
      </c>
      <c r="L2064" s="6">
        <v>587</v>
      </c>
      <c r="M2064" s="5">
        <v>54</v>
      </c>
      <c r="N2064" s="5">
        <v>348</v>
      </c>
      <c r="O2064" s="5">
        <v>71</v>
      </c>
      <c r="P2064" s="5">
        <v>54</v>
      </c>
      <c r="Q2064" s="5">
        <v>130</v>
      </c>
      <c r="R2064" s="8">
        <v>1</v>
      </c>
      <c r="S2064" s="8">
        <v>4</v>
      </c>
      <c r="T2064" s="8">
        <v>4</v>
      </c>
      <c r="U2064" s="8">
        <v>8</v>
      </c>
      <c r="V2064" s="8">
        <v>2</v>
      </c>
      <c r="W2064" t="s">
        <v>473</v>
      </c>
      <c r="X2064" t="s">
        <v>473</v>
      </c>
      <c r="Y2064" t="s">
        <v>473</v>
      </c>
      <c r="Z2064" t="s">
        <v>473</v>
      </c>
      <c r="AA2064" t="s">
        <v>473</v>
      </c>
      <c r="AB2064" t="s">
        <v>473</v>
      </c>
      <c r="AC2064" s="10">
        <v>3</v>
      </c>
      <c r="AD2064" s="10">
        <v>11</v>
      </c>
      <c r="AE2064" t="s">
        <v>473</v>
      </c>
    </row>
    <row r="2065" spans="1:31" x14ac:dyDescent="0.25">
      <c r="A2065">
        <v>322</v>
      </c>
      <c r="B2065">
        <v>1978</v>
      </c>
      <c r="C2065" t="s">
        <v>466</v>
      </c>
      <c r="D2065" t="s">
        <v>31</v>
      </c>
      <c r="E2065" t="str">
        <f>IF(OR(Table1[[#This Row],[marital_status]]="Married", Table1[[#This Row],[marital_status]]="Together"), "Partnered", "Single")</f>
        <v>Partnered</v>
      </c>
      <c r="F2065" s="7">
        <v>42554</v>
      </c>
      <c r="G2065" s="8">
        <v>1</v>
      </c>
      <c r="H2065" s="8">
        <v>1</v>
      </c>
      <c r="I2065" s="8">
        <f>Table1[[#This Row],[kids]]+Table1[[#This Row],[teens]]</f>
        <v>2</v>
      </c>
      <c r="J2065" s="9">
        <v>41286</v>
      </c>
      <c r="K2065" s="8">
        <v>93</v>
      </c>
      <c r="L2065" s="6">
        <v>29</v>
      </c>
      <c r="M2065" s="5">
        <v>1</v>
      </c>
      <c r="N2065" s="5">
        <v>11</v>
      </c>
      <c r="O2065" s="5">
        <v>0</v>
      </c>
      <c r="P2065" s="5">
        <v>0</v>
      </c>
      <c r="Q2065" s="5">
        <v>0</v>
      </c>
      <c r="R2065" s="8">
        <v>2</v>
      </c>
      <c r="S2065" s="8">
        <v>2</v>
      </c>
      <c r="T2065" s="8">
        <v>0</v>
      </c>
      <c r="U2065" s="8">
        <v>3</v>
      </c>
      <c r="V2065" s="8">
        <v>4</v>
      </c>
      <c r="W2065" t="s">
        <v>473</v>
      </c>
      <c r="X2065" t="s">
        <v>473</v>
      </c>
      <c r="Y2065" t="s">
        <v>473</v>
      </c>
      <c r="Z2065" t="s">
        <v>473</v>
      </c>
      <c r="AA2065" t="s">
        <v>473</v>
      </c>
      <c r="AB2065" t="s">
        <v>473</v>
      </c>
      <c r="AC2065" s="10">
        <v>3</v>
      </c>
      <c r="AD2065" s="10">
        <v>11</v>
      </c>
      <c r="AE2065" t="s">
        <v>473</v>
      </c>
    </row>
    <row r="2066" spans="1:31" x14ac:dyDescent="0.25">
      <c r="A2066">
        <v>10897</v>
      </c>
      <c r="B2066">
        <v>1974</v>
      </c>
      <c r="C2066" t="s">
        <v>466</v>
      </c>
      <c r="D2066" t="s">
        <v>34</v>
      </c>
      <c r="E2066" t="str">
        <f>IF(OR(Table1[[#This Row],[marital_status]]="Married", Table1[[#This Row],[marital_status]]="Together"), "Partnered", "Single")</f>
        <v>Partnered</v>
      </c>
      <c r="F2066" s="7">
        <v>67445</v>
      </c>
      <c r="G2066" s="8">
        <v>0</v>
      </c>
      <c r="H2066" s="8">
        <v>1</v>
      </c>
      <c r="I2066" s="8">
        <f>Table1[[#This Row],[kids]]+Table1[[#This Row],[teens]]</f>
        <v>1</v>
      </c>
      <c r="J2066" s="9">
        <v>41133</v>
      </c>
      <c r="K2066" s="8">
        <v>63</v>
      </c>
      <c r="L2066" s="6">
        <v>757</v>
      </c>
      <c r="M2066" s="5">
        <v>80</v>
      </c>
      <c r="N2066" s="5">
        <v>217</v>
      </c>
      <c r="O2066" s="5">
        <v>29</v>
      </c>
      <c r="P2066" s="5">
        <v>80</v>
      </c>
      <c r="Q2066" s="5">
        <v>11</v>
      </c>
      <c r="R2066" s="8">
        <v>5</v>
      </c>
      <c r="S2066" s="8">
        <v>9</v>
      </c>
      <c r="T2066" s="8">
        <v>6</v>
      </c>
      <c r="U2066" s="8">
        <v>12</v>
      </c>
      <c r="V2066" s="8">
        <v>6</v>
      </c>
      <c r="W2066" t="s">
        <v>473</v>
      </c>
      <c r="X2066" t="s">
        <v>473</v>
      </c>
      <c r="Y2066" t="s">
        <v>473</v>
      </c>
      <c r="Z2066" t="s">
        <v>473</v>
      </c>
      <c r="AA2066" t="s">
        <v>473</v>
      </c>
      <c r="AB2066" t="s">
        <v>473</v>
      </c>
      <c r="AC2066" s="10">
        <v>3</v>
      </c>
      <c r="AD2066" s="10">
        <v>11</v>
      </c>
      <c r="AE2066" t="s">
        <v>473</v>
      </c>
    </row>
    <row r="2067" spans="1:31" x14ac:dyDescent="0.25">
      <c r="A2067">
        <v>123</v>
      </c>
      <c r="B2067">
        <v>1951</v>
      </c>
      <c r="C2067" t="s">
        <v>466</v>
      </c>
      <c r="D2067" t="s">
        <v>57</v>
      </c>
      <c r="E2067" t="str">
        <f>IF(OR(Table1[[#This Row],[marital_status]]="Married", Table1[[#This Row],[marital_status]]="Together"), "Partnered", "Single")</f>
        <v>Single</v>
      </c>
      <c r="F2067" s="7">
        <v>67046</v>
      </c>
      <c r="G2067" s="8">
        <v>0</v>
      </c>
      <c r="H2067" s="8">
        <v>1</v>
      </c>
      <c r="I2067" s="8">
        <f>Table1[[#This Row],[kids]]+Table1[[#This Row],[teens]]</f>
        <v>1</v>
      </c>
      <c r="J2067" s="9">
        <v>41280</v>
      </c>
      <c r="K2067" s="8">
        <v>92</v>
      </c>
      <c r="L2067" s="6">
        <v>544</v>
      </c>
      <c r="M2067" s="5">
        <v>35</v>
      </c>
      <c r="N2067" s="5">
        <v>133</v>
      </c>
      <c r="O2067" s="5">
        <v>23</v>
      </c>
      <c r="P2067" s="5">
        <v>151</v>
      </c>
      <c r="Q2067" s="5">
        <v>107</v>
      </c>
      <c r="R2067" s="8">
        <v>2</v>
      </c>
      <c r="S2067" s="8">
        <v>4</v>
      </c>
      <c r="T2067" s="8">
        <v>5</v>
      </c>
      <c r="U2067" s="8">
        <v>4</v>
      </c>
      <c r="V2067" s="8">
        <v>2</v>
      </c>
      <c r="W2067" t="s">
        <v>473</v>
      </c>
      <c r="X2067" t="s">
        <v>473</v>
      </c>
      <c r="Y2067" t="s">
        <v>473</v>
      </c>
      <c r="Z2067" t="s">
        <v>473</v>
      </c>
      <c r="AA2067" t="s">
        <v>473</v>
      </c>
      <c r="AB2067" t="s">
        <v>473</v>
      </c>
      <c r="AC2067" s="10">
        <v>3</v>
      </c>
      <c r="AD2067" s="10">
        <v>11</v>
      </c>
      <c r="AE2067" t="s">
        <v>473</v>
      </c>
    </row>
    <row r="2068" spans="1:31" x14ac:dyDescent="0.25">
      <c r="A2068">
        <v>6103</v>
      </c>
      <c r="B2068">
        <v>1948</v>
      </c>
      <c r="C2068" t="s">
        <v>466</v>
      </c>
      <c r="D2068" t="s">
        <v>34</v>
      </c>
      <c r="E2068" t="str">
        <f>IF(OR(Table1[[#This Row],[marital_status]]="Married", Table1[[#This Row],[marital_status]]="Together"), "Partnered", "Single")</f>
        <v>Partnered</v>
      </c>
      <c r="F2068" s="7">
        <v>42192</v>
      </c>
      <c r="G2068" s="8">
        <v>0</v>
      </c>
      <c r="H2068" s="8">
        <v>0</v>
      </c>
      <c r="I2068" s="8">
        <f>Table1[[#This Row],[kids]]+Table1[[#This Row],[teens]]</f>
        <v>0</v>
      </c>
      <c r="J2068" s="9">
        <v>41523</v>
      </c>
      <c r="K2068" s="8">
        <v>40</v>
      </c>
      <c r="L2068" s="6">
        <v>40</v>
      </c>
      <c r="M2068" s="5">
        <v>15</v>
      </c>
      <c r="N2068" s="5">
        <v>15</v>
      </c>
      <c r="O2068" s="5">
        <v>17</v>
      </c>
      <c r="P2068" s="5">
        <v>6</v>
      </c>
      <c r="Q2068" s="5">
        <v>7</v>
      </c>
      <c r="R2068" s="8">
        <v>1</v>
      </c>
      <c r="S2068" s="8">
        <v>2</v>
      </c>
      <c r="T2068" s="8">
        <v>1</v>
      </c>
      <c r="U2068" s="8">
        <v>3</v>
      </c>
      <c r="V2068" s="8">
        <v>4</v>
      </c>
      <c r="W2068" t="s">
        <v>473</v>
      </c>
      <c r="X2068" t="s">
        <v>473</v>
      </c>
      <c r="Y2068" t="s">
        <v>473</v>
      </c>
      <c r="Z2068" t="s">
        <v>473</v>
      </c>
      <c r="AA2068" t="s">
        <v>473</v>
      </c>
      <c r="AB2068" t="s">
        <v>473</v>
      </c>
      <c r="AC2068" s="10">
        <v>3</v>
      </c>
      <c r="AD2068" s="10">
        <v>11</v>
      </c>
      <c r="AE2068" t="s">
        <v>473</v>
      </c>
    </row>
    <row r="2069" spans="1:31" x14ac:dyDescent="0.25">
      <c r="A2069">
        <v>7899</v>
      </c>
      <c r="B2069">
        <v>1952</v>
      </c>
      <c r="C2069" t="s">
        <v>33</v>
      </c>
      <c r="D2069" t="s">
        <v>34</v>
      </c>
      <c r="E2069" t="str">
        <f>IF(OR(Table1[[#This Row],[marital_status]]="Married", Table1[[#This Row],[marital_status]]="Together"), "Partnered", "Single")</f>
        <v>Partnered</v>
      </c>
      <c r="F2069" s="7">
        <v>77610</v>
      </c>
      <c r="G2069" s="8">
        <v>0</v>
      </c>
      <c r="H2069" s="8">
        <v>1</v>
      </c>
      <c r="I2069" s="8">
        <f>Table1[[#This Row],[kids]]+Table1[[#This Row],[teens]]</f>
        <v>1</v>
      </c>
      <c r="J2069" s="9">
        <v>41211</v>
      </c>
      <c r="K2069" s="8">
        <v>70</v>
      </c>
      <c r="L2069" s="6">
        <v>1245</v>
      </c>
      <c r="M2069" s="5">
        <v>33</v>
      </c>
      <c r="N2069" s="5">
        <v>332</v>
      </c>
      <c r="O2069" s="5">
        <v>21</v>
      </c>
      <c r="P2069" s="5">
        <v>33</v>
      </c>
      <c r="Q2069" s="5">
        <v>16</v>
      </c>
      <c r="R2069" s="8">
        <v>2</v>
      </c>
      <c r="S2069" s="8">
        <v>4</v>
      </c>
      <c r="T2069" s="8">
        <v>7</v>
      </c>
      <c r="U2069" s="8">
        <v>4</v>
      </c>
      <c r="V2069" s="8">
        <v>7</v>
      </c>
      <c r="W2069" t="s">
        <v>473</v>
      </c>
      <c r="X2069" t="s">
        <v>473</v>
      </c>
      <c r="Y2069" t="s">
        <v>473</v>
      </c>
      <c r="Z2069" t="s">
        <v>473</v>
      </c>
      <c r="AA2069" t="s">
        <v>473</v>
      </c>
      <c r="AB2069" t="s">
        <v>473</v>
      </c>
      <c r="AC2069" s="10">
        <v>3</v>
      </c>
      <c r="AD2069" s="10">
        <v>11</v>
      </c>
      <c r="AE2069" t="s">
        <v>473</v>
      </c>
    </row>
    <row r="2070" spans="1:31" x14ac:dyDescent="0.25">
      <c r="A2070">
        <v>10500</v>
      </c>
      <c r="B2070">
        <v>1984</v>
      </c>
      <c r="C2070" t="s">
        <v>466</v>
      </c>
      <c r="D2070" t="s">
        <v>34</v>
      </c>
      <c r="E2070" t="str">
        <f>IF(OR(Table1[[#This Row],[marital_status]]="Married", Table1[[#This Row],[marital_status]]="Together"), "Partnered", "Single")</f>
        <v>Partnered</v>
      </c>
      <c r="F2070" s="7">
        <v>31761</v>
      </c>
      <c r="G2070" s="8">
        <v>1</v>
      </c>
      <c r="H2070" s="8">
        <v>0</v>
      </c>
      <c r="I2070" s="8">
        <f>Table1[[#This Row],[kids]]+Table1[[#This Row],[teens]]</f>
        <v>1</v>
      </c>
      <c r="J2070" s="9">
        <v>41734</v>
      </c>
      <c r="K2070" s="8">
        <v>96</v>
      </c>
      <c r="L2070" s="6">
        <v>19</v>
      </c>
      <c r="M2070" s="5">
        <v>1</v>
      </c>
      <c r="N2070" s="5">
        <v>20</v>
      </c>
      <c r="O2070" s="5">
        <v>16</v>
      </c>
      <c r="P2070" s="5">
        <v>14</v>
      </c>
      <c r="Q2070" s="5">
        <v>28</v>
      </c>
      <c r="R2070" s="8">
        <v>2</v>
      </c>
      <c r="S2070" s="8">
        <v>3</v>
      </c>
      <c r="T2070" s="8">
        <v>0</v>
      </c>
      <c r="U2070" s="8">
        <v>4</v>
      </c>
      <c r="V2070" s="8">
        <v>5</v>
      </c>
      <c r="W2070" t="s">
        <v>473</v>
      </c>
      <c r="X2070" t="s">
        <v>473</v>
      </c>
      <c r="Y2070" t="s">
        <v>473</v>
      </c>
      <c r="Z2070" t="s">
        <v>473</v>
      </c>
      <c r="AA2070" t="s">
        <v>473</v>
      </c>
      <c r="AB2070" t="s">
        <v>473</v>
      </c>
      <c r="AC2070" s="10">
        <v>3</v>
      </c>
      <c r="AD2070" s="10">
        <v>11</v>
      </c>
      <c r="AE2070" t="s">
        <v>473</v>
      </c>
    </row>
    <row r="2071" spans="1:31" x14ac:dyDescent="0.25">
      <c r="A2071">
        <v>1655</v>
      </c>
      <c r="B2071">
        <v>1979</v>
      </c>
      <c r="C2071" t="s">
        <v>466</v>
      </c>
      <c r="D2071" t="s">
        <v>31</v>
      </c>
      <c r="E2071" t="str">
        <f>IF(OR(Table1[[#This Row],[marital_status]]="Married", Table1[[#This Row],[marital_status]]="Together"), "Partnered", "Single")</f>
        <v>Partnered</v>
      </c>
      <c r="F2071" s="7">
        <v>34350</v>
      </c>
      <c r="G2071" s="8">
        <v>1</v>
      </c>
      <c r="H2071" s="8">
        <v>0</v>
      </c>
      <c r="I2071" s="8">
        <f>Table1[[#This Row],[kids]]+Table1[[#This Row],[teens]]</f>
        <v>1</v>
      </c>
      <c r="J2071" s="9">
        <v>41566</v>
      </c>
      <c r="K2071" s="8">
        <v>81</v>
      </c>
      <c r="L2071" s="6">
        <v>16</v>
      </c>
      <c r="M2071" s="5">
        <v>3</v>
      </c>
      <c r="N2071" s="5">
        <v>15</v>
      </c>
      <c r="O2071" s="5">
        <v>2</v>
      </c>
      <c r="P2071" s="5">
        <v>1</v>
      </c>
      <c r="Q2071" s="5">
        <v>11</v>
      </c>
      <c r="R2071" s="8">
        <v>1</v>
      </c>
      <c r="S2071" s="8">
        <v>1</v>
      </c>
      <c r="T2071" s="8">
        <v>0</v>
      </c>
      <c r="U2071" s="8">
        <v>3</v>
      </c>
      <c r="V2071" s="8">
        <v>7</v>
      </c>
      <c r="W2071" t="s">
        <v>473</v>
      </c>
      <c r="X2071" t="s">
        <v>473</v>
      </c>
      <c r="Y2071" t="s">
        <v>473</v>
      </c>
      <c r="Z2071" t="s">
        <v>473</v>
      </c>
      <c r="AA2071" t="s">
        <v>473</v>
      </c>
      <c r="AB2071" t="s">
        <v>473</v>
      </c>
      <c r="AC2071" s="10">
        <v>3</v>
      </c>
      <c r="AD2071" s="10">
        <v>11</v>
      </c>
      <c r="AE2071" t="s">
        <v>473</v>
      </c>
    </row>
    <row r="2072" spans="1:31" x14ac:dyDescent="0.25">
      <c r="A2072">
        <v>2406</v>
      </c>
      <c r="B2072">
        <v>1949</v>
      </c>
      <c r="C2072" t="s">
        <v>466</v>
      </c>
      <c r="D2072" t="s">
        <v>31</v>
      </c>
      <c r="E2072" t="str">
        <f>IF(OR(Table1[[#This Row],[marital_status]]="Married", Table1[[#This Row],[marital_status]]="Together"), "Partnered", "Single")</f>
        <v>Partnered</v>
      </c>
      <c r="F2072" s="7">
        <v>54591</v>
      </c>
      <c r="G2072" s="8">
        <v>0</v>
      </c>
      <c r="H2072" s="8">
        <v>1</v>
      </c>
      <c r="I2072" s="8">
        <f>Table1[[#This Row],[kids]]+Table1[[#This Row],[teens]]</f>
        <v>1</v>
      </c>
      <c r="J2072" s="9">
        <v>41491</v>
      </c>
      <c r="K2072" s="8">
        <v>63</v>
      </c>
      <c r="L2072" s="6">
        <v>376</v>
      </c>
      <c r="M2072" s="5">
        <v>4</v>
      </c>
      <c r="N2072" s="5">
        <v>94</v>
      </c>
      <c r="O2072" s="5">
        <v>12</v>
      </c>
      <c r="P2072" s="5">
        <v>9</v>
      </c>
      <c r="Q2072" s="5">
        <v>24</v>
      </c>
      <c r="R2072" s="8">
        <v>3</v>
      </c>
      <c r="S2072" s="8">
        <v>6</v>
      </c>
      <c r="T2072" s="8">
        <v>2</v>
      </c>
      <c r="U2072" s="8">
        <v>8</v>
      </c>
      <c r="V2072" s="8">
        <v>5</v>
      </c>
      <c r="W2072" t="s">
        <v>473</v>
      </c>
      <c r="X2072" t="s">
        <v>473</v>
      </c>
      <c r="Y2072" t="s">
        <v>473</v>
      </c>
      <c r="Z2072" t="s">
        <v>473</v>
      </c>
      <c r="AA2072" t="s">
        <v>473</v>
      </c>
      <c r="AB2072" t="s">
        <v>473</v>
      </c>
      <c r="AC2072" s="10">
        <v>3</v>
      </c>
      <c r="AD2072" s="10">
        <v>11</v>
      </c>
      <c r="AE2072" t="s">
        <v>473</v>
      </c>
    </row>
    <row r="2073" spans="1:31" x14ac:dyDescent="0.25">
      <c r="A2073">
        <v>2712</v>
      </c>
      <c r="B2073">
        <v>1956</v>
      </c>
      <c r="C2073" t="s">
        <v>466</v>
      </c>
      <c r="D2073" t="s">
        <v>34</v>
      </c>
      <c r="E2073" t="str">
        <f>IF(OR(Table1[[#This Row],[marital_status]]="Married", Table1[[#This Row],[marital_status]]="Together"), "Partnered", "Single")</f>
        <v>Partnered</v>
      </c>
      <c r="F2073" s="7">
        <v>71866</v>
      </c>
      <c r="G2073" s="8">
        <v>0</v>
      </c>
      <c r="H2073" s="8">
        <v>1</v>
      </c>
      <c r="I2073" s="8">
        <f>Table1[[#This Row],[kids]]+Table1[[#This Row],[teens]]</f>
        <v>1</v>
      </c>
      <c r="J2073" s="9">
        <v>41633</v>
      </c>
      <c r="K2073" s="8">
        <v>85</v>
      </c>
      <c r="L2073" s="6">
        <v>184</v>
      </c>
      <c r="M2073" s="5">
        <v>178</v>
      </c>
      <c r="N2073" s="5">
        <v>178</v>
      </c>
      <c r="O2073" s="5">
        <v>103</v>
      </c>
      <c r="P2073" s="5">
        <v>39</v>
      </c>
      <c r="Q2073" s="5">
        <v>33</v>
      </c>
      <c r="R2073" s="8">
        <v>1</v>
      </c>
      <c r="S2073" s="8">
        <v>6</v>
      </c>
      <c r="T2073" s="8">
        <v>3</v>
      </c>
      <c r="U2073" s="8">
        <v>10</v>
      </c>
      <c r="V2073" s="8">
        <v>3</v>
      </c>
      <c r="W2073" t="s">
        <v>473</v>
      </c>
      <c r="X2073" t="s">
        <v>473</v>
      </c>
      <c r="Y2073" t="s">
        <v>473</v>
      </c>
      <c r="Z2073" t="s">
        <v>473</v>
      </c>
      <c r="AA2073" t="s">
        <v>473</v>
      </c>
      <c r="AB2073" t="s">
        <v>473</v>
      </c>
      <c r="AC2073" s="10">
        <v>3</v>
      </c>
      <c r="AD2073" s="10">
        <v>11</v>
      </c>
      <c r="AE2073" t="s">
        <v>473</v>
      </c>
    </row>
    <row r="2074" spans="1:31" x14ac:dyDescent="0.25">
      <c r="A2074">
        <v>5517</v>
      </c>
      <c r="B2074">
        <v>1969</v>
      </c>
      <c r="C2074" t="s">
        <v>466</v>
      </c>
      <c r="D2074" t="s">
        <v>34</v>
      </c>
      <c r="E2074" t="str">
        <f>IF(OR(Table1[[#This Row],[marital_status]]="Married", Table1[[#This Row],[marital_status]]="Together"), "Partnered", "Single")</f>
        <v>Partnered</v>
      </c>
      <c r="F2074" s="7">
        <v>25293</v>
      </c>
      <c r="G2074" s="8">
        <v>1</v>
      </c>
      <c r="H2074" s="8">
        <v>0</v>
      </c>
      <c r="I2074" s="8">
        <f>Table1[[#This Row],[kids]]+Table1[[#This Row],[teens]]</f>
        <v>1</v>
      </c>
      <c r="J2074" s="9">
        <v>41532</v>
      </c>
      <c r="K2074" s="8">
        <v>51</v>
      </c>
      <c r="L2074" s="6">
        <v>15</v>
      </c>
      <c r="M2074" s="5">
        <v>0</v>
      </c>
      <c r="N2074" s="5">
        <v>11</v>
      </c>
      <c r="O2074" s="5">
        <v>0</v>
      </c>
      <c r="P2074" s="5">
        <v>2</v>
      </c>
      <c r="Q2074" s="5">
        <v>9</v>
      </c>
      <c r="R2074" s="8">
        <v>1</v>
      </c>
      <c r="S2074" s="8">
        <v>1</v>
      </c>
      <c r="T2074" s="8">
        <v>1</v>
      </c>
      <c r="U2074" s="8">
        <v>2</v>
      </c>
      <c r="V2074" s="8">
        <v>8</v>
      </c>
      <c r="W2074" t="s">
        <v>473</v>
      </c>
      <c r="X2074" t="s">
        <v>473</v>
      </c>
      <c r="Y2074" t="s">
        <v>473</v>
      </c>
      <c r="Z2074" t="s">
        <v>473</v>
      </c>
      <c r="AA2074" t="s">
        <v>473</v>
      </c>
      <c r="AB2074" t="s">
        <v>473</v>
      </c>
      <c r="AC2074" s="10">
        <v>3</v>
      </c>
      <c r="AD2074" s="10">
        <v>11</v>
      </c>
      <c r="AE2074" t="s">
        <v>473</v>
      </c>
    </row>
    <row r="2075" spans="1:31" x14ac:dyDescent="0.25">
      <c r="A2075">
        <v>10643</v>
      </c>
      <c r="B2075">
        <v>1987</v>
      </c>
      <c r="C2075" t="s">
        <v>33</v>
      </c>
      <c r="D2075" t="s">
        <v>30</v>
      </c>
      <c r="E2075" t="str">
        <f>IF(OR(Table1[[#This Row],[marital_status]]="Married", Table1[[#This Row],[marital_status]]="Together"), "Partnered", "Single")</f>
        <v>Single</v>
      </c>
      <c r="F2075" s="7">
        <v>42000</v>
      </c>
      <c r="G2075" s="8">
        <v>0</v>
      </c>
      <c r="H2075" s="8">
        <v>0</v>
      </c>
      <c r="I2075" s="8">
        <f>Table1[[#This Row],[kids]]+Table1[[#This Row],[teens]]</f>
        <v>0</v>
      </c>
      <c r="J2075" s="9">
        <v>41284</v>
      </c>
      <c r="K2075" s="8">
        <v>23</v>
      </c>
      <c r="L2075" s="6">
        <v>124</v>
      </c>
      <c r="M2075" s="5">
        <v>83</v>
      </c>
      <c r="N2075" s="5">
        <v>267</v>
      </c>
      <c r="O2075" s="5">
        <v>85</v>
      </c>
      <c r="P2075" s="5">
        <v>59</v>
      </c>
      <c r="Q2075" s="5">
        <v>35</v>
      </c>
      <c r="R2075" s="8">
        <v>2</v>
      </c>
      <c r="S2075" s="8">
        <v>5</v>
      </c>
      <c r="T2075" s="8">
        <v>2</v>
      </c>
      <c r="U2075" s="8">
        <v>11</v>
      </c>
      <c r="V2075" s="8">
        <v>5</v>
      </c>
      <c r="W2075" t="s">
        <v>473</v>
      </c>
      <c r="X2075" t="s">
        <v>473</v>
      </c>
      <c r="Y2075" t="s">
        <v>473</v>
      </c>
      <c r="Z2075" t="s">
        <v>473</v>
      </c>
      <c r="AA2075" t="s">
        <v>473</v>
      </c>
      <c r="AB2075" t="s">
        <v>473</v>
      </c>
      <c r="AC2075" s="10">
        <v>3</v>
      </c>
      <c r="AD2075" s="10">
        <v>11</v>
      </c>
      <c r="AE2075" t="s">
        <v>474</v>
      </c>
    </row>
    <row r="2076" spans="1:31" x14ac:dyDescent="0.25">
      <c r="A2076">
        <v>2254</v>
      </c>
      <c r="B2076">
        <v>1983</v>
      </c>
      <c r="C2076" t="s">
        <v>466</v>
      </c>
      <c r="D2076" t="s">
        <v>34</v>
      </c>
      <c r="E2076" t="str">
        <f>IF(OR(Table1[[#This Row],[marital_status]]="Married", Table1[[#This Row],[marital_status]]="Together"), "Partnered", "Single")</f>
        <v>Partnered</v>
      </c>
      <c r="F2076" s="7">
        <v>69520</v>
      </c>
      <c r="G2076" s="8">
        <v>0</v>
      </c>
      <c r="H2076" s="8">
        <v>0</v>
      </c>
      <c r="I2076" s="8">
        <f>Table1[[#This Row],[kids]]+Table1[[#This Row],[teens]]</f>
        <v>0</v>
      </c>
      <c r="J2076" s="9">
        <v>41462</v>
      </c>
      <c r="K2076" s="8">
        <v>95</v>
      </c>
      <c r="L2076" s="6">
        <v>627</v>
      </c>
      <c r="M2076" s="5">
        <v>120</v>
      </c>
      <c r="N2076" s="5">
        <v>414</v>
      </c>
      <c r="O2076" s="5">
        <v>121</v>
      </c>
      <c r="P2076" s="5">
        <v>80</v>
      </c>
      <c r="Q2076" s="5">
        <v>93</v>
      </c>
      <c r="R2076" s="8">
        <v>1</v>
      </c>
      <c r="S2076" s="8">
        <v>9</v>
      </c>
      <c r="T2076" s="8">
        <v>6</v>
      </c>
      <c r="U2076" s="8">
        <v>5</v>
      </c>
      <c r="V2076" s="8">
        <v>5</v>
      </c>
      <c r="W2076" t="s">
        <v>473</v>
      </c>
      <c r="X2076" t="s">
        <v>473</v>
      </c>
      <c r="Y2076" t="s">
        <v>473</v>
      </c>
      <c r="Z2076" t="s">
        <v>473</v>
      </c>
      <c r="AA2076" t="s">
        <v>473</v>
      </c>
      <c r="AB2076" t="s">
        <v>473</v>
      </c>
      <c r="AC2076" s="10">
        <v>3</v>
      </c>
      <c r="AD2076" s="10">
        <v>11</v>
      </c>
      <c r="AE2076" t="s">
        <v>473</v>
      </c>
    </row>
    <row r="2077" spans="1:31" x14ac:dyDescent="0.25">
      <c r="A2077">
        <v>10281</v>
      </c>
      <c r="B2077">
        <v>1970</v>
      </c>
      <c r="C2077" t="s">
        <v>466</v>
      </c>
      <c r="D2077" t="s">
        <v>37</v>
      </c>
      <c r="E2077" t="str">
        <f>IF(OR(Table1[[#This Row],[marital_status]]="Married", Table1[[#This Row],[marital_status]]="Together"), "Partnered", "Single")</f>
        <v>Single</v>
      </c>
      <c r="F2077" s="7">
        <v>64713</v>
      </c>
      <c r="G2077" s="8">
        <v>1</v>
      </c>
      <c r="H2077" s="8">
        <v>0</v>
      </c>
      <c r="I2077" s="8">
        <f>Table1[[#This Row],[kids]]+Table1[[#This Row],[teens]]</f>
        <v>1</v>
      </c>
      <c r="J2077" s="9">
        <v>41677</v>
      </c>
      <c r="K2077" s="8">
        <v>11</v>
      </c>
      <c r="L2077" s="6">
        <v>180</v>
      </c>
      <c r="M2077" s="5">
        <v>60</v>
      </c>
      <c r="N2077" s="5">
        <v>241</v>
      </c>
      <c r="O2077" s="5">
        <v>13</v>
      </c>
      <c r="P2077" s="5">
        <v>54</v>
      </c>
      <c r="Q2077" s="5">
        <v>54</v>
      </c>
      <c r="R2077" s="8">
        <v>2</v>
      </c>
      <c r="S2077" s="8">
        <v>5</v>
      </c>
      <c r="T2077" s="8">
        <v>5</v>
      </c>
      <c r="U2077" s="8">
        <v>7</v>
      </c>
      <c r="V2077" s="8">
        <v>4</v>
      </c>
      <c r="W2077" t="s">
        <v>473</v>
      </c>
      <c r="X2077" t="s">
        <v>473</v>
      </c>
      <c r="Y2077" t="s">
        <v>473</v>
      </c>
      <c r="Z2077" t="s">
        <v>473</v>
      </c>
      <c r="AA2077" t="s">
        <v>473</v>
      </c>
      <c r="AB2077" t="s">
        <v>473</v>
      </c>
      <c r="AC2077" s="10">
        <v>3</v>
      </c>
      <c r="AD2077" s="10">
        <v>11</v>
      </c>
      <c r="AE2077" t="s">
        <v>474</v>
      </c>
    </row>
    <row r="2078" spans="1:31" x14ac:dyDescent="0.25">
      <c r="A2078">
        <v>6958</v>
      </c>
      <c r="B2078">
        <v>1977</v>
      </c>
      <c r="C2078" t="s">
        <v>36</v>
      </c>
      <c r="D2078" t="s">
        <v>34</v>
      </c>
      <c r="E2078" t="str">
        <f>IF(OR(Table1[[#This Row],[marital_status]]="Married", Table1[[#This Row],[marital_status]]="Together"), "Partnered", "Single")</f>
        <v>Partnered</v>
      </c>
      <c r="F2078" s="7">
        <v>27889</v>
      </c>
      <c r="G2078" s="8">
        <v>1</v>
      </c>
      <c r="H2078" s="8">
        <v>0</v>
      </c>
      <c r="I2078" s="8">
        <f>Table1[[#This Row],[kids]]+Table1[[#This Row],[teens]]</f>
        <v>1</v>
      </c>
      <c r="J2078" s="9">
        <v>41460</v>
      </c>
      <c r="K2078" s="8">
        <v>42</v>
      </c>
      <c r="L2078" s="6">
        <v>14</v>
      </c>
      <c r="M2078" s="5">
        <v>0</v>
      </c>
      <c r="N2078" s="5">
        <v>4</v>
      </c>
      <c r="O2078" s="5">
        <v>0</v>
      </c>
      <c r="P2078" s="5">
        <v>0</v>
      </c>
      <c r="Q2078" s="5">
        <v>8</v>
      </c>
      <c r="R2078" s="8">
        <v>1</v>
      </c>
      <c r="S2078" s="8">
        <v>1</v>
      </c>
      <c r="T2078" s="8">
        <v>1</v>
      </c>
      <c r="U2078" s="8">
        <v>2</v>
      </c>
      <c r="V2078" s="8">
        <v>6</v>
      </c>
      <c r="W2078" t="s">
        <v>473</v>
      </c>
      <c r="X2078" t="s">
        <v>473</v>
      </c>
      <c r="Y2078" t="s">
        <v>473</v>
      </c>
      <c r="Z2078" t="s">
        <v>473</v>
      </c>
      <c r="AA2078" t="s">
        <v>473</v>
      </c>
      <c r="AB2078" t="s">
        <v>473</v>
      </c>
      <c r="AC2078" s="10">
        <v>3</v>
      </c>
      <c r="AD2078" s="10">
        <v>11</v>
      </c>
      <c r="AE2078" t="s">
        <v>473</v>
      </c>
    </row>
    <row r="2079" spans="1:31" x14ac:dyDescent="0.25">
      <c r="A2079">
        <v>954</v>
      </c>
      <c r="B2079">
        <v>1960</v>
      </c>
      <c r="C2079" t="s">
        <v>41</v>
      </c>
      <c r="D2079" t="s">
        <v>57</v>
      </c>
      <c r="E2079" t="str">
        <f>IF(OR(Table1[[#This Row],[marital_status]]="Married", Table1[[#This Row],[marital_status]]="Together"), "Partnered", "Single")</f>
        <v>Single</v>
      </c>
      <c r="F2079" s="7">
        <v>22123</v>
      </c>
      <c r="G2079" s="8">
        <v>0</v>
      </c>
      <c r="H2079" s="8">
        <v>0</v>
      </c>
      <c r="I2079" s="8">
        <f>Table1[[#This Row],[kids]]+Table1[[#This Row],[teens]]</f>
        <v>0</v>
      </c>
      <c r="J2079" s="9">
        <v>41725</v>
      </c>
      <c r="K2079" s="8">
        <v>77</v>
      </c>
      <c r="L2079" s="6">
        <v>3</v>
      </c>
      <c r="M2079" s="5">
        <v>3</v>
      </c>
      <c r="N2079" s="5">
        <v>24</v>
      </c>
      <c r="O2079" s="5">
        <v>34</v>
      </c>
      <c r="P2079" s="5">
        <v>7</v>
      </c>
      <c r="Q2079" s="5">
        <v>31</v>
      </c>
      <c r="R2079" s="8">
        <v>1</v>
      </c>
      <c r="S2079" s="8">
        <v>2</v>
      </c>
      <c r="T2079" s="8">
        <v>1</v>
      </c>
      <c r="U2079" s="8">
        <v>3</v>
      </c>
      <c r="V2079" s="8">
        <v>5</v>
      </c>
      <c r="W2079" t="s">
        <v>473</v>
      </c>
      <c r="X2079" t="s">
        <v>473</v>
      </c>
      <c r="Y2079" t="s">
        <v>473</v>
      </c>
      <c r="Z2079" t="s">
        <v>473</v>
      </c>
      <c r="AA2079" t="s">
        <v>473</v>
      </c>
      <c r="AB2079" t="s">
        <v>473</v>
      </c>
      <c r="AC2079" s="10">
        <v>3</v>
      </c>
      <c r="AD2079" s="10">
        <v>11</v>
      </c>
      <c r="AE2079" t="s">
        <v>473</v>
      </c>
    </row>
    <row r="2080" spans="1:31" x14ac:dyDescent="0.25">
      <c r="A2080">
        <v>5079</v>
      </c>
      <c r="B2080">
        <v>1971</v>
      </c>
      <c r="C2080" t="s">
        <v>466</v>
      </c>
      <c r="D2080" t="s">
        <v>34</v>
      </c>
      <c r="E2080" t="str">
        <f>IF(OR(Table1[[#This Row],[marital_status]]="Married", Table1[[#This Row],[marital_status]]="Together"), "Partnered", "Single")</f>
        <v>Partnered</v>
      </c>
      <c r="F2080" s="7" t="s">
        <v>464</v>
      </c>
      <c r="G2080" s="8">
        <v>1</v>
      </c>
      <c r="H2080" s="8">
        <v>1</v>
      </c>
      <c r="I2080" s="8">
        <f>Table1[[#This Row],[kids]]+Table1[[#This Row],[teens]]</f>
        <v>2</v>
      </c>
      <c r="J2080" s="9">
        <v>41336</v>
      </c>
      <c r="K2080" s="8">
        <v>82</v>
      </c>
      <c r="L2080" s="6">
        <v>71</v>
      </c>
      <c r="M2080" s="5">
        <v>1</v>
      </c>
      <c r="N2080" s="5">
        <v>16</v>
      </c>
      <c r="O2080" s="5">
        <v>0</v>
      </c>
      <c r="P2080" s="5">
        <v>0</v>
      </c>
      <c r="Q2080" s="5">
        <v>9</v>
      </c>
      <c r="R2080" s="8">
        <v>4</v>
      </c>
      <c r="S2080" s="8">
        <v>2</v>
      </c>
      <c r="T2080" s="8">
        <v>1</v>
      </c>
      <c r="U2080" s="8">
        <v>3</v>
      </c>
      <c r="V2080" s="8">
        <v>8</v>
      </c>
      <c r="W2080" t="s">
        <v>473</v>
      </c>
      <c r="X2080" t="s">
        <v>473</v>
      </c>
      <c r="Y2080" t="s">
        <v>473</v>
      </c>
      <c r="Z2080" t="s">
        <v>473</v>
      </c>
      <c r="AA2080" t="s">
        <v>473</v>
      </c>
      <c r="AB2080" t="s">
        <v>473</v>
      </c>
      <c r="AC2080" s="10">
        <v>3</v>
      </c>
      <c r="AD2080" s="10">
        <v>11</v>
      </c>
      <c r="AE2080" t="s">
        <v>473</v>
      </c>
    </row>
    <row r="2081" spans="1:31" x14ac:dyDescent="0.25">
      <c r="A2081">
        <v>10339</v>
      </c>
      <c r="B2081">
        <v>1954</v>
      </c>
      <c r="C2081" t="s">
        <v>36</v>
      </c>
      <c r="D2081" t="s">
        <v>31</v>
      </c>
      <c r="E2081" t="str">
        <f>IF(OR(Table1[[#This Row],[marital_status]]="Married", Table1[[#This Row],[marital_status]]="Together"), "Partnered", "Single")</f>
        <v>Partnered</v>
      </c>
      <c r="F2081" s="7" t="s">
        <v>464</v>
      </c>
      <c r="G2081" s="8">
        <v>0</v>
      </c>
      <c r="H2081" s="8">
        <v>1</v>
      </c>
      <c r="I2081" s="8">
        <f>Table1[[#This Row],[kids]]+Table1[[#This Row],[teens]]</f>
        <v>1</v>
      </c>
      <c r="J2081" s="9">
        <v>41448</v>
      </c>
      <c r="K2081" s="8">
        <v>83</v>
      </c>
      <c r="L2081" s="6">
        <v>161</v>
      </c>
      <c r="M2081" s="5">
        <v>0</v>
      </c>
      <c r="N2081" s="5">
        <v>22</v>
      </c>
      <c r="O2081" s="5">
        <v>0</v>
      </c>
      <c r="P2081" s="5">
        <v>0</v>
      </c>
      <c r="Q2081" s="5">
        <v>24</v>
      </c>
      <c r="R2081" s="8">
        <v>2</v>
      </c>
      <c r="S2081" s="8">
        <v>4</v>
      </c>
      <c r="T2081" s="8">
        <v>1</v>
      </c>
      <c r="U2081" s="8">
        <v>4</v>
      </c>
      <c r="V2081" s="8">
        <v>6</v>
      </c>
      <c r="W2081" t="s">
        <v>473</v>
      </c>
      <c r="X2081" t="s">
        <v>473</v>
      </c>
      <c r="Y2081" t="s">
        <v>473</v>
      </c>
      <c r="Z2081" t="s">
        <v>473</v>
      </c>
      <c r="AA2081" t="s">
        <v>473</v>
      </c>
      <c r="AB2081" t="s">
        <v>473</v>
      </c>
      <c r="AC2081" s="10">
        <v>3</v>
      </c>
      <c r="AD2081" s="10">
        <v>11</v>
      </c>
      <c r="AE2081" t="s">
        <v>473</v>
      </c>
    </row>
    <row r="2082" spans="1:31" x14ac:dyDescent="0.25">
      <c r="A2082">
        <v>4643</v>
      </c>
      <c r="B2082">
        <v>1973</v>
      </c>
      <c r="C2082" t="s">
        <v>466</v>
      </c>
      <c r="D2082" t="s">
        <v>34</v>
      </c>
      <c r="E2082" t="str">
        <f>IF(OR(Table1[[#This Row],[marital_status]]="Married", Table1[[#This Row],[marital_status]]="Together"), "Partnered", "Single")</f>
        <v>Partnered</v>
      </c>
      <c r="F2082" s="7">
        <v>27803</v>
      </c>
      <c r="G2082" s="8">
        <v>1</v>
      </c>
      <c r="H2082" s="8">
        <v>0</v>
      </c>
      <c r="I2082" s="8">
        <f>Table1[[#This Row],[kids]]+Table1[[#This Row],[teens]]</f>
        <v>1</v>
      </c>
      <c r="J2082" s="9">
        <v>41147</v>
      </c>
      <c r="K2082" s="8">
        <v>40</v>
      </c>
      <c r="L2082" s="6">
        <v>8</v>
      </c>
      <c r="M2082" s="5">
        <v>26</v>
      </c>
      <c r="N2082" s="5">
        <v>46</v>
      </c>
      <c r="O2082" s="5">
        <v>38</v>
      </c>
      <c r="P2082" s="5">
        <v>9</v>
      </c>
      <c r="Q2082" s="5">
        <v>49</v>
      </c>
      <c r="R2082" s="8">
        <v>2</v>
      </c>
      <c r="S2082" s="8">
        <v>3</v>
      </c>
      <c r="T2082" s="8">
        <v>0</v>
      </c>
      <c r="U2082" s="8">
        <v>4</v>
      </c>
      <c r="V2082" s="8">
        <v>8</v>
      </c>
      <c r="W2082" t="s">
        <v>473</v>
      </c>
      <c r="X2082" t="s">
        <v>473</v>
      </c>
      <c r="Y2082" t="s">
        <v>473</v>
      </c>
      <c r="Z2082" t="s">
        <v>473</v>
      </c>
      <c r="AA2082" t="s">
        <v>473</v>
      </c>
      <c r="AB2082" t="s">
        <v>473</v>
      </c>
      <c r="AC2082" s="10">
        <v>3</v>
      </c>
      <c r="AD2082" s="10">
        <v>11</v>
      </c>
      <c r="AE2082" t="s">
        <v>473</v>
      </c>
    </row>
    <row r="2083" spans="1:31" x14ac:dyDescent="0.25">
      <c r="A2083">
        <v>3117</v>
      </c>
      <c r="B2083">
        <v>1955</v>
      </c>
      <c r="C2083" t="s">
        <v>466</v>
      </c>
      <c r="D2083" t="s">
        <v>30</v>
      </c>
      <c r="E2083" t="str">
        <f>IF(OR(Table1[[#This Row],[marital_status]]="Married", Table1[[#This Row],[marital_status]]="Together"), "Partnered", "Single")</f>
        <v>Single</v>
      </c>
      <c r="F2083" s="7" t="s">
        <v>464</v>
      </c>
      <c r="G2083" s="8">
        <v>0</v>
      </c>
      <c r="H2083" s="8">
        <v>1</v>
      </c>
      <c r="I2083" s="8">
        <f>Table1[[#This Row],[kids]]+Table1[[#This Row],[teens]]</f>
        <v>1</v>
      </c>
      <c r="J2083" s="9">
        <v>41565</v>
      </c>
      <c r="K2083" s="8">
        <v>95</v>
      </c>
      <c r="L2083" s="6">
        <v>264</v>
      </c>
      <c r="M2083" s="5">
        <v>0</v>
      </c>
      <c r="N2083" s="5">
        <v>21</v>
      </c>
      <c r="O2083" s="5">
        <v>12</v>
      </c>
      <c r="P2083" s="5">
        <v>6</v>
      </c>
      <c r="Q2083" s="5">
        <v>147</v>
      </c>
      <c r="R2083" s="8">
        <v>3</v>
      </c>
      <c r="S2083" s="8">
        <v>6</v>
      </c>
      <c r="T2083" s="8">
        <v>1</v>
      </c>
      <c r="U2083" s="8">
        <v>5</v>
      </c>
      <c r="V2083" s="8">
        <v>7</v>
      </c>
      <c r="W2083" t="s">
        <v>473</v>
      </c>
      <c r="X2083" t="s">
        <v>473</v>
      </c>
      <c r="Y2083" t="s">
        <v>473</v>
      </c>
      <c r="Z2083" t="s">
        <v>473</v>
      </c>
      <c r="AA2083" t="s">
        <v>473</v>
      </c>
      <c r="AB2083" t="s">
        <v>473</v>
      </c>
      <c r="AC2083" s="10">
        <v>3</v>
      </c>
      <c r="AD2083" s="10">
        <v>11</v>
      </c>
      <c r="AE2083" t="s">
        <v>473</v>
      </c>
    </row>
    <row r="2084" spans="1:31" x14ac:dyDescent="0.25">
      <c r="A2084">
        <v>6497</v>
      </c>
      <c r="B2084">
        <v>1960</v>
      </c>
      <c r="C2084" t="s">
        <v>466</v>
      </c>
      <c r="D2084" t="s">
        <v>34</v>
      </c>
      <c r="E2084" t="str">
        <f>IF(OR(Table1[[#This Row],[marital_status]]="Married", Table1[[#This Row],[marital_status]]="Together"), "Partnered", "Single")</f>
        <v>Partnered</v>
      </c>
      <c r="F2084" s="7">
        <v>51651</v>
      </c>
      <c r="G2084" s="8">
        <v>0</v>
      </c>
      <c r="H2084" s="8">
        <v>1</v>
      </c>
      <c r="I2084" s="8">
        <f>Table1[[#This Row],[kids]]+Table1[[#This Row],[teens]]</f>
        <v>1</v>
      </c>
      <c r="J2084" s="9">
        <v>41220</v>
      </c>
      <c r="K2084" s="8">
        <v>32</v>
      </c>
      <c r="L2084" s="6">
        <v>293</v>
      </c>
      <c r="M2084" s="5">
        <v>6</v>
      </c>
      <c r="N2084" s="5">
        <v>23</v>
      </c>
      <c r="O2084" s="5">
        <v>13</v>
      </c>
      <c r="P2084" s="5">
        <v>6</v>
      </c>
      <c r="Q2084" s="5">
        <v>92</v>
      </c>
      <c r="R2084" s="8">
        <v>4</v>
      </c>
      <c r="S2084" s="8">
        <v>6</v>
      </c>
      <c r="T2084" s="8">
        <v>2</v>
      </c>
      <c r="U2084" s="8">
        <v>5</v>
      </c>
      <c r="V2084" s="8">
        <v>8</v>
      </c>
      <c r="W2084" t="s">
        <v>473</v>
      </c>
      <c r="X2084" t="s">
        <v>473</v>
      </c>
      <c r="Y2084" t="s">
        <v>473</v>
      </c>
      <c r="Z2084" t="s">
        <v>473</v>
      </c>
      <c r="AA2084" t="s">
        <v>473</v>
      </c>
      <c r="AB2084" t="s">
        <v>473</v>
      </c>
      <c r="AC2084" s="10">
        <v>3</v>
      </c>
      <c r="AD2084" s="10">
        <v>11</v>
      </c>
      <c r="AE2084" t="s">
        <v>473</v>
      </c>
    </row>
    <row r="2085" spans="1:31" x14ac:dyDescent="0.25">
      <c r="A2085">
        <v>5396</v>
      </c>
      <c r="B2085">
        <v>1988</v>
      </c>
      <c r="C2085" t="s">
        <v>466</v>
      </c>
      <c r="D2085" t="s">
        <v>34</v>
      </c>
      <c r="E2085" t="str">
        <f>IF(OR(Table1[[#This Row],[marital_status]]="Married", Table1[[#This Row],[marital_status]]="Together"), "Partnered", "Single")</f>
        <v>Partnered</v>
      </c>
      <c r="F2085" s="7">
        <v>68487</v>
      </c>
      <c r="G2085" s="8">
        <v>0</v>
      </c>
      <c r="H2085" s="8">
        <v>0</v>
      </c>
      <c r="I2085" s="8">
        <f>Table1[[#This Row],[kids]]+Table1[[#This Row],[teens]]</f>
        <v>0</v>
      </c>
      <c r="J2085" s="9">
        <v>41287</v>
      </c>
      <c r="K2085" s="8">
        <v>48</v>
      </c>
      <c r="L2085" s="6">
        <v>758</v>
      </c>
      <c r="M2085" s="5">
        <v>12</v>
      </c>
      <c r="N2085" s="5">
        <v>385</v>
      </c>
      <c r="O2085" s="5">
        <v>33</v>
      </c>
      <c r="P2085" s="5">
        <v>89</v>
      </c>
      <c r="Q2085" s="5">
        <v>89</v>
      </c>
      <c r="R2085" s="8">
        <v>1</v>
      </c>
      <c r="S2085" s="8">
        <v>9</v>
      </c>
      <c r="T2085" s="8">
        <v>7</v>
      </c>
      <c r="U2085" s="8">
        <v>13</v>
      </c>
      <c r="V2085" s="8">
        <v>4</v>
      </c>
      <c r="W2085" t="s">
        <v>473</v>
      </c>
      <c r="X2085" t="s">
        <v>473</v>
      </c>
      <c r="Y2085" t="s">
        <v>473</v>
      </c>
      <c r="Z2085" t="s">
        <v>473</v>
      </c>
      <c r="AA2085" t="s">
        <v>473</v>
      </c>
      <c r="AB2085" t="s">
        <v>473</v>
      </c>
      <c r="AC2085" s="10">
        <v>3</v>
      </c>
      <c r="AD2085" s="10">
        <v>11</v>
      </c>
      <c r="AE2085" t="s">
        <v>473</v>
      </c>
    </row>
    <row r="2086" spans="1:31" x14ac:dyDescent="0.25">
      <c r="A2086">
        <v>5250</v>
      </c>
      <c r="B2086">
        <v>1943</v>
      </c>
      <c r="C2086" t="s">
        <v>36</v>
      </c>
      <c r="D2086" t="s">
        <v>57</v>
      </c>
      <c r="E2086" t="str">
        <f>IF(OR(Table1[[#This Row],[marital_status]]="Married", Table1[[#This Row],[marital_status]]="Together"), "Partnered", "Single")</f>
        <v>Single</v>
      </c>
      <c r="F2086" s="7" t="s">
        <v>464</v>
      </c>
      <c r="G2086" s="8">
        <v>0</v>
      </c>
      <c r="H2086" s="8">
        <v>0</v>
      </c>
      <c r="I2086" s="8">
        <f>Table1[[#This Row],[kids]]+Table1[[#This Row],[teens]]</f>
        <v>0</v>
      </c>
      <c r="J2086" s="9">
        <v>41577</v>
      </c>
      <c r="K2086" s="8">
        <v>75</v>
      </c>
      <c r="L2086" s="6">
        <v>532</v>
      </c>
      <c r="M2086" s="5">
        <v>126</v>
      </c>
      <c r="N2086" s="5">
        <v>490</v>
      </c>
      <c r="O2086" s="5">
        <v>164</v>
      </c>
      <c r="P2086" s="5">
        <v>126</v>
      </c>
      <c r="Q2086" s="5">
        <v>126</v>
      </c>
      <c r="R2086" s="8">
        <v>1</v>
      </c>
      <c r="S2086" s="8">
        <v>5</v>
      </c>
      <c r="T2086" s="8">
        <v>5</v>
      </c>
      <c r="U2086" s="8">
        <v>11</v>
      </c>
      <c r="V2086" s="8">
        <v>1</v>
      </c>
      <c r="W2086" t="s">
        <v>473</v>
      </c>
      <c r="X2086" t="s">
        <v>473</v>
      </c>
      <c r="Y2086" t="s">
        <v>474</v>
      </c>
      <c r="Z2086" t="s">
        <v>473</v>
      </c>
      <c r="AA2086" t="s">
        <v>473</v>
      </c>
      <c r="AB2086" t="s">
        <v>473</v>
      </c>
      <c r="AC2086" s="10">
        <v>3</v>
      </c>
      <c r="AD2086" s="10">
        <v>11</v>
      </c>
      <c r="AE2086" t="s">
        <v>474</v>
      </c>
    </row>
    <row r="2087" spans="1:31" x14ac:dyDescent="0.25">
      <c r="A2087">
        <v>1052</v>
      </c>
      <c r="B2087">
        <v>1969</v>
      </c>
      <c r="C2087" t="s">
        <v>466</v>
      </c>
      <c r="D2087" t="s">
        <v>34</v>
      </c>
      <c r="E2087" t="str">
        <f>IF(OR(Table1[[#This Row],[marital_status]]="Married", Table1[[#This Row],[marital_status]]="Together"), "Partnered", "Single")</f>
        <v>Partnered</v>
      </c>
      <c r="F2087" s="7">
        <v>56796</v>
      </c>
      <c r="G2087" s="8">
        <v>0</v>
      </c>
      <c r="H2087" s="8">
        <v>1</v>
      </c>
      <c r="I2087" s="8">
        <f>Table1[[#This Row],[kids]]+Table1[[#This Row],[teens]]</f>
        <v>1</v>
      </c>
      <c r="J2087" s="9">
        <v>41321</v>
      </c>
      <c r="K2087" s="8">
        <v>24</v>
      </c>
      <c r="L2087" s="6">
        <v>656</v>
      </c>
      <c r="M2087" s="5">
        <v>38</v>
      </c>
      <c r="N2087" s="5">
        <v>161</v>
      </c>
      <c r="O2087" s="5">
        <v>62</v>
      </c>
      <c r="P2087" s="5">
        <v>47</v>
      </c>
      <c r="Q2087" s="5">
        <v>37</v>
      </c>
      <c r="R2087" s="8">
        <v>3</v>
      </c>
      <c r="S2087" s="8">
        <v>8</v>
      </c>
      <c r="T2087" s="8">
        <v>9</v>
      </c>
      <c r="U2087" s="8">
        <v>7</v>
      </c>
      <c r="V2087" s="8">
        <v>7</v>
      </c>
      <c r="W2087" t="s">
        <v>473</v>
      </c>
      <c r="X2087" t="s">
        <v>473</v>
      </c>
      <c r="Y2087" t="s">
        <v>473</v>
      </c>
      <c r="Z2087" t="s">
        <v>473</v>
      </c>
      <c r="AA2087" t="s">
        <v>473</v>
      </c>
      <c r="AB2087" t="s">
        <v>473</v>
      </c>
      <c r="AC2087" s="10">
        <v>3</v>
      </c>
      <c r="AD2087" s="10">
        <v>11</v>
      </c>
      <c r="AE2087" t="s">
        <v>473</v>
      </c>
    </row>
    <row r="2088" spans="1:31" x14ac:dyDescent="0.25">
      <c r="A2088">
        <v>2802</v>
      </c>
      <c r="B2088">
        <v>1992</v>
      </c>
      <c r="C2088" t="s">
        <v>46</v>
      </c>
      <c r="D2088" t="s">
        <v>34</v>
      </c>
      <c r="E2088" t="str">
        <f>IF(OR(Table1[[#This Row],[marital_status]]="Married", Table1[[#This Row],[marital_status]]="Together"), "Partnered", "Single")</f>
        <v>Partnered</v>
      </c>
      <c r="F2088" s="7">
        <v>87000</v>
      </c>
      <c r="G2088" s="8">
        <v>0</v>
      </c>
      <c r="H2088" s="8">
        <v>0</v>
      </c>
      <c r="I2088" s="8">
        <f>Table1[[#This Row],[kids]]+Table1[[#This Row],[teens]]</f>
        <v>0</v>
      </c>
      <c r="J2088" s="9">
        <v>41258</v>
      </c>
      <c r="K2088" s="8">
        <v>61</v>
      </c>
      <c r="L2088" s="6">
        <v>196</v>
      </c>
      <c r="M2088" s="5">
        <v>25</v>
      </c>
      <c r="N2088" s="5">
        <v>607</v>
      </c>
      <c r="O2088" s="5">
        <v>67</v>
      </c>
      <c r="P2088" s="5">
        <v>17</v>
      </c>
      <c r="Q2088" s="5">
        <v>49</v>
      </c>
      <c r="R2088" s="8">
        <v>1</v>
      </c>
      <c r="S2088" s="8">
        <v>4</v>
      </c>
      <c r="T2088" s="8">
        <v>6</v>
      </c>
      <c r="U2088" s="8">
        <v>7</v>
      </c>
      <c r="V2088" s="8">
        <v>2</v>
      </c>
      <c r="W2088" t="s">
        <v>473</v>
      </c>
      <c r="X2088" t="s">
        <v>473</v>
      </c>
      <c r="Y2088" t="s">
        <v>473</v>
      </c>
      <c r="Z2088" t="s">
        <v>473</v>
      </c>
      <c r="AA2088" t="s">
        <v>473</v>
      </c>
      <c r="AB2088" t="s">
        <v>473</v>
      </c>
      <c r="AC2088" s="10">
        <v>3</v>
      </c>
      <c r="AD2088" s="10">
        <v>11</v>
      </c>
      <c r="AE2088" t="s">
        <v>473</v>
      </c>
    </row>
    <row r="2089" spans="1:31" x14ac:dyDescent="0.25">
      <c r="A2089">
        <v>6343</v>
      </c>
      <c r="B2089">
        <v>1959</v>
      </c>
      <c r="C2089" t="s">
        <v>466</v>
      </c>
      <c r="D2089" t="s">
        <v>34</v>
      </c>
      <c r="E2089" t="str">
        <f>IF(OR(Table1[[#This Row],[marital_status]]="Married", Table1[[#This Row],[marital_status]]="Together"), "Partnered", "Single")</f>
        <v>Partnered</v>
      </c>
      <c r="F2089" s="7">
        <v>79823</v>
      </c>
      <c r="G2089" s="8">
        <v>0</v>
      </c>
      <c r="H2089" s="8">
        <v>1</v>
      </c>
      <c r="I2089" s="8">
        <f>Table1[[#This Row],[kids]]+Table1[[#This Row],[teens]]</f>
        <v>1</v>
      </c>
      <c r="J2089" s="9">
        <v>41729</v>
      </c>
      <c r="K2089" s="8">
        <v>6</v>
      </c>
      <c r="L2089" s="6">
        <v>835</v>
      </c>
      <c r="M2089" s="5">
        <v>73</v>
      </c>
      <c r="N2089" s="5">
        <v>380</v>
      </c>
      <c r="O2089" s="5">
        <v>114</v>
      </c>
      <c r="P2089" s="5">
        <v>73</v>
      </c>
      <c r="Q2089" s="5">
        <v>43</v>
      </c>
      <c r="R2089" s="8">
        <v>1</v>
      </c>
      <c r="S2089" s="8">
        <v>6</v>
      </c>
      <c r="T2089" s="8">
        <v>9</v>
      </c>
      <c r="U2089" s="8">
        <v>7</v>
      </c>
      <c r="V2089" s="8">
        <v>2</v>
      </c>
      <c r="W2089" t="s">
        <v>473</v>
      </c>
      <c r="X2089" t="s">
        <v>474</v>
      </c>
      <c r="Y2089" t="s">
        <v>473</v>
      </c>
      <c r="Z2089" t="s">
        <v>473</v>
      </c>
      <c r="AA2089" t="s">
        <v>473</v>
      </c>
      <c r="AB2089" t="s">
        <v>473</v>
      </c>
      <c r="AC2089" s="10">
        <v>3</v>
      </c>
      <c r="AD2089" s="10">
        <v>11</v>
      </c>
      <c r="AE2089" t="s">
        <v>473</v>
      </c>
    </row>
    <row r="2090" spans="1:31" x14ac:dyDescent="0.25">
      <c r="A2090">
        <v>6507</v>
      </c>
      <c r="B2090">
        <v>1980</v>
      </c>
      <c r="C2090" t="s">
        <v>466</v>
      </c>
      <c r="D2090" t="s">
        <v>30</v>
      </c>
      <c r="E2090" t="str">
        <f>IF(OR(Table1[[#This Row],[marital_status]]="Married", Table1[[#This Row],[marital_status]]="Together"), "Partnered", "Single")</f>
        <v>Single</v>
      </c>
      <c r="F2090" s="7">
        <v>30828</v>
      </c>
      <c r="G2090" s="8">
        <v>1</v>
      </c>
      <c r="H2090" s="8">
        <v>0</v>
      </c>
      <c r="I2090" s="8">
        <f>Table1[[#This Row],[kids]]+Table1[[#This Row],[teens]]</f>
        <v>1</v>
      </c>
      <c r="J2090" s="9">
        <v>41551</v>
      </c>
      <c r="K2090" s="8">
        <v>16</v>
      </c>
      <c r="L2090" s="6">
        <v>16</v>
      </c>
      <c r="M2090" s="5">
        <v>11</v>
      </c>
      <c r="N2090" s="5">
        <v>15</v>
      </c>
      <c r="O2090" s="5">
        <v>2</v>
      </c>
      <c r="P2090" s="5">
        <v>0</v>
      </c>
      <c r="Q2090" s="5">
        <v>12</v>
      </c>
      <c r="R2090" s="8">
        <v>2</v>
      </c>
      <c r="S2090" s="8">
        <v>1</v>
      </c>
      <c r="T2090" s="8">
        <v>1</v>
      </c>
      <c r="U2090" s="8">
        <v>4</v>
      </c>
      <c r="V2090" s="8">
        <v>3</v>
      </c>
      <c r="W2090" t="s">
        <v>473</v>
      </c>
      <c r="X2090" t="s">
        <v>473</v>
      </c>
      <c r="Y2090" t="s">
        <v>473</v>
      </c>
      <c r="Z2090" t="s">
        <v>473</v>
      </c>
      <c r="AA2090" t="s">
        <v>473</v>
      </c>
      <c r="AB2090" t="s">
        <v>473</v>
      </c>
      <c r="AC2090" s="10">
        <v>3</v>
      </c>
      <c r="AD2090" s="10">
        <v>11</v>
      </c>
      <c r="AE2090" t="s">
        <v>473</v>
      </c>
    </row>
    <row r="2091" spans="1:31" x14ac:dyDescent="0.25">
      <c r="A2091">
        <v>7901</v>
      </c>
      <c r="B2091">
        <v>1971</v>
      </c>
      <c r="C2091" t="s">
        <v>36</v>
      </c>
      <c r="D2091" t="s">
        <v>34</v>
      </c>
      <c r="E2091" t="str">
        <f>IF(OR(Table1[[#This Row],[marital_status]]="Married", Table1[[#This Row],[marital_status]]="Together"), "Partnered", "Single")</f>
        <v>Partnered</v>
      </c>
      <c r="F2091" s="7">
        <v>34109</v>
      </c>
      <c r="G2091" s="8">
        <v>0</v>
      </c>
      <c r="H2091" s="8">
        <v>1</v>
      </c>
      <c r="I2091" s="8">
        <f>Table1[[#This Row],[kids]]+Table1[[#This Row],[teens]]</f>
        <v>1</v>
      </c>
      <c r="J2091" s="9">
        <v>41584</v>
      </c>
      <c r="K2091" s="8">
        <v>39</v>
      </c>
      <c r="L2091" s="6">
        <v>9</v>
      </c>
      <c r="M2091" s="5">
        <v>1</v>
      </c>
      <c r="N2091" s="5">
        <v>5</v>
      </c>
      <c r="O2091" s="5">
        <v>2</v>
      </c>
      <c r="P2091" s="5">
        <v>1</v>
      </c>
      <c r="Q2091" s="5">
        <v>4</v>
      </c>
      <c r="R2091" s="8">
        <v>1</v>
      </c>
      <c r="S2091" s="8">
        <v>0</v>
      </c>
      <c r="T2091" s="8">
        <v>0</v>
      </c>
      <c r="U2091" s="8">
        <v>3</v>
      </c>
      <c r="V2091" s="8">
        <v>4</v>
      </c>
      <c r="W2091" t="s">
        <v>473</v>
      </c>
      <c r="X2091" t="s">
        <v>473</v>
      </c>
      <c r="Y2091" t="s">
        <v>473</v>
      </c>
      <c r="Z2091" t="s">
        <v>473</v>
      </c>
      <c r="AA2091" t="s">
        <v>473</v>
      </c>
      <c r="AB2091" t="s">
        <v>473</v>
      </c>
      <c r="AC2091" s="10">
        <v>3</v>
      </c>
      <c r="AD2091" s="10">
        <v>11</v>
      </c>
      <c r="AE2091" t="s">
        <v>473</v>
      </c>
    </row>
    <row r="2092" spans="1:31" x14ac:dyDescent="0.25">
      <c r="A2092">
        <v>4865</v>
      </c>
      <c r="B2092">
        <v>1974</v>
      </c>
      <c r="C2092" t="s">
        <v>36</v>
      </c>
      <c r="D2092" t="s">
        <v>37</v>
      </c>
      <c r="E2092" t="str">
        <f>IF(OR(Table1[[#This Row],[marital_status]]="Married", Table1[[#This Row],[marital_status]]="Together"), "Partnered", "Single")</f>
        <v>Single</v>
      </c>
      <c r="F2092" s="7">
        <v>53367</v>
      </c>
      <c r="G2092" s="8">
        <v>1</v>
      </c>
      <c r="H2092" s="8">
        <v>1</v>
      </c>
      <c r="I2092" s="8">
        <f>Table1[[#This Row],[kids]]+Table1[[#This Row],[teens]]</f>
        <v>2</v>
      </c>
      <c r="J2092" s="9">
        <v>41517</v>
      </c>
      <c r="K2092" s="8">
        <v>2</v>
      </c>
      <c r="L2092" s="6">
        <v>229</v>
      </c>
      <c r="M2092" s="5">
        <v>7</v>
      </c>
      <c r="N2092" s="5">
        <v>140</v>
      </c>
      <c r="O2092" s="5">
        <v>10</v>
      </c>
      <c r="P2092" s="5">
        <v>3</v>
      </c>
      <c r="Q2092" s="5">
        <v>11</v>
      </c>
      <c r="R2092" s="8">
        <v>7</v>
      </c>
      <c r="S2092" s="8">
        <v>5</v>
      </c>
      <c r="T2092" s="8">
        <v>1</v>
      </c>
      <c r="U2092" s="8">
        <v>8</v>
      </c>
      <c r="V2092" s="8">
        <v>7</v>
      </c>
      <c r="W2092" t="s">
        <v>473</v>
      </c>
      <c r="X2092" t="s">
        <v>473</v>
      </c>
      <c r="Y2092" t="s">
        <v>473</v>
      </c>
      <c r="Z2092" t="s">
        <v>473</v>
      </c>
      <c r="AA2092" t="s">
        <v>473</v>
      </c>
      <c r="AB2092" t="s">
        <v>473</v>
      </c>
      <c r="AC2092" s="10">
        <v>3</v>
      </c>
      <c r="AD2092" s="10">
        <v>11</v>
      </c>
      <c r="AE2092" t="s">
        <v>474</v>
      </c>
    </row>
    <row r="2093" spans="1:31" x14ac:dyDescent="0.25">
      <c r="A2093">
        <v>2686</v>
      </c>
      <c r="B2093">
        <v>1969</v>
      </c>
      <c r="C2093" t="s">
        <v>41</v>
      </c>
      <c r="D2093" t="s">
        <v>31</v>
      </c>
      <c r="E2093" t="str">
        <f>IF(OR(Table1[[#This Row],[marital_status]]="Married", Table1[[#This Row],[marital_status]]="Together"), "Partnered", "Single")</f>
        <v>Partnered</v>
      </c>
      <c r="F2093" s="7">
        <v>22390</v>
      </c>
      <c r="G2093" s="8">
        <v>0</v>
      </c>
      <c r="H2093" s="8">
        <v>0</v>
      </c>
      <c r="I2093" s="8">
        <f>Table1[[#This Row],[kids]]+Table1[[#This Row],[teens]]</f>
        <v>0</v>
      </c>
      <c r="J2093" s="9">
        <v>41568</v>
      </c>
      <c r="K2093" s="8">
        <v>49</v>
      </c>
      <c r="L2093" s="6">
        <v>0</v>
      </c>
      <c r="M2093" s="5">
        <v>1</v>
      </c>
      <c r="N2093" s="5">
        <v>4</v>
      </c>
      <c r="O2093" s="5">
        <v>15</v>
      </c>
      <c r="P2093" s="5">
        <v>1</v>
      </c>
      <c r="Q2093" s="5">
        <v>5</v>
      </c>
      <c r="R2093" s="8">
        <v>1</v>
      </c>
      <c r="S2093" s="8">
        <v>1</v>
      </c>
      <c r="T2093" s="8">
        <v>0</v>
      </c>
      <c r="U2093" s="8">
        <v>2</v>
      </c>
      <c r="V2093" s="8">
        <v>7</v>
      </c>
      <c r="W2093" t="s">
        <v>473</v>
      </c>
      <c r="X2093" t="s">
        <v>473</v>
      </c>
      <c r="Y2093" t="s">
        <v>473</v>
      </c>
      <c r="Z2093" t="s">
        <v>473</v>
      </c>
      <c r="AA2093" t="s">
        <v>473</v>
      </c>
      <c r="AB2093" t="s">
        <v>473</v>
      </c>
      <c r="AC2093" s="10">
        <v>3</v>
      </c>
      <c r="AD2093" s="10">
        <v>11</v>
      </c>
      <c r="AE2093" t="s">
        <v>473</v>
      </c>
    </row>
    <row r="2094" spans="1:31" x14ac:dyDescent="0.25">
      <c r="A2094">
        <v>3107</v>
      </c>
      <c r="B2094">
        <v>1976</v>
      </c>
      <c r="C2094" t="s">
        <v>466</v>
      </c>
      <c r="D2094" t="s">
        <v>31</v>
      </c>
      <c r="E2094" t="str">
        <f>IF(OR(Table1[[#This Row],[marital_status]]="Married", Table1[[#This Row],[marital_status]]="Together"), "Partnered", "Single")</f>
        <v>Partnered</v>
      </c>
      <c r="F2094" s="7">
        <v>71322</v>
      </c>
      <c r="G2094" s="8">
        <v>0</v>
      </c>
      <c r="H2094" s="8">
        <v>1</v>
      </c>
      <c r="I2094" s="8">
        <f>Table1[[#This Row],[kids]]+Table1[[#This Row],[teens]]</f>
        <v>1</v>
      </c>
      <c r="J2094" s="9">
        <v>41761</v>
      </c>
      <c r="K2094" s="8">
        <v>31</v>
      </c>
      <c r="L2094" s="6">
        <v>121</v>
      </c>
      <c r="M2094" s="5">
        <v>24</v>
      </c>
      <c r="N2094" s="5">
        <v>124</v>
      </c>
      <c r="O2094" s="5">
        <v>24</v>
      </c>
      <c r="P2094" s="5">
        <v>15</v>
      </c>
      <c r="Q2094" s="5">
        <v>42</v>
      </c>
      <c r="R2094" s="8">
        <v>1</v>
      </c>
      <c r="S2094" s="8">
        <v>4</v>
      </c>
      <c r="T2094" s="8">
        <v>1</v>
      </c>
      <c r="U2094" s="8">
        <v>7</v>
      </c>
      <c r="V2094" s="8">
        <v>2</v>
      </c>
      <c r="W2094" t="s">
        <v>473</v>
      </c>
      <c r="X2094" t="s">
        <v>473</v>
      </c>
      <c r="Y2094" t="s">
        <v>473</v>
      </c>
      <c r="Z2094" t="s">
        <v>473</v>
      </c>
      <c r="AA2094" t="s">
        <v>473</v>
      </c>
      <c r="AB2094" t="s">
        <v>473</v>
      </c>
      <c r="AC2094" s="10">
        <v>3</v>
      </c>
      <c r="AD2094" s="10">
        <v>11</v>
      </c>
      <c r="AE2094" t="s">
        <v>473</v>
      </c>
    </row>
    <row r="2095" spans="1:31" x14ac:dyDescent="0.25">
      <c r="A2095">
        <v>7734</v>
      </c>
      <c r="B2095">
        <v>1993</v>
      </c>
      <c r="C2095" t="s">
        <v>466</v>
      </c>
      <c r="D2095" t="s">
        <v>437</v>
      </c>
      <c r="E2095" t="str">
        <f>IF(OR(Table1[[#This Row],[marital_status]]="Married", Table1[[#This Row],[marital_status]]="Together"), "Partnered", "Single")</f>
        <v>Single</v>
      </c>
      <c r="F2095" s="7">
        <v>79244</v>
      </c>
      <c r="G2095" s="8">
        <v>0</v>
      </c>
      <c r="H2095" s="8">
        <v>0</v>
      </c>
      <c r="I2095" s="8">
        <f>Table1[[#This Row],[kids]]+Table1[[#This Row],[teens]]</f>
        <v>0</v>
      </c>
      <c r="J2095" s="9">
        <v>41262</v>
      </c>
      <c r="K2095" s="8">
        <v>58</v>
      </c>
      <c r="L2095" s="6">
        <v>471</v>
      </c>
      <c r="M2095" s="5">
        <v>102</v>
      </c>
      <c r="N2095" s="5">
        <v>125</v>
      </c>
      <c r="O2095" s="5">
        <v>212</v>
      </c>
      <c r="P2095" s="5">
        <v>61</v>
      </c>
      <c r="Q2095" s="5">
        <v>245</v>
      </c>
      <c r="R2095" s="8">
        <v>1</v>
      </c>
      <c r="S2095" s="8">
        <v>4</v>
      </c>
      <c r="T2095" s="8">
        <v>10</v>
      </c>
      <c r="U2095" s="8">
        <v>7</v>
      </c>
      <c r="V2095" s="8">
        <v>1</v>
      </c>
      <c r="W2095" t="s">
        <v>473</v>
      </c>
      <c r="X2095" t="s">
        <v>473</v>
      </c>
      <c r="Y2095" t="s">
        <v>474</v>
      </c>
      <c r="Z2095" t="s">
        <v>474</v>
      </c>
      <c r="AA2095" t="s">
        <v>473</v>
      </c>
      <c r="AB2095" t="s">
        <v>473</v>
      </c>
      <c r="AC2095" s="10">
        <v>3</v>
      </c>
      <c r="AD2095" s="10">
        <v>11</v>
      </c>
      <c r="AE2095" t="s">
        <v>474</v>
      </c>
    </row>
    <row r="2096" spans="1:31" x14ac:dyDescent="0.25">
      <c r="A2096">
        <v>1146</v>
      </c>
      <c r="B2096">
        <v>1949</v>
      </c>
      <c r="C2096" t="s">
        <v>36</v>
      </c>
      <c r="D2096" t="s">
        <v>31</v>
      </c>
      <c r="E2096" t="str">
        <f>IF(OR(Table1[[#This Row],[marital_status]]="Married", Table1[[#This Row],[marital_status]]="Together"), "Partnered", "Single")</f>
        <v>Partnered</v>
      </c>
      <c r="F2096" s="7">
        <v>49912</v>
      </c>
      <c r="G2096" s="8">
        <v>0</v>
      </c>
      <c r="H2096" s="8">
        <v>1</v>
      </c>
      <c r="I2096" s="8">
        <f>Table1[[#This Row],[kids]]+Table1[[#This Row],[teens]]</f>
        <v>1</v>
      </c>
      <c r="J2096" s="9">
        <v>41159</v>
      </c>
      <c r="K2096" s="8">
        <v>5</v>
      </c>
      <c r="L2096" s="6">
        <v>520</v>
      </c>
      <c r="M2096" s="5">
        <v>8</v>
      </c>
      <c r="N2096" s="5">
        <v>223</v>
      </c>
      <c r="O2096" s="5">
        <v>32</v>
      </c>
      <c r="P2096" s="5">
        <v>49</v>
      </c>
      <c r="Q2096" s="5">
        <v>42</v>
      </c>
      <c r="R2096" s="8">
        <v>4</v>
      </c>
      <c r="S2096" s="8">
        <v>10</v>
      </c>
      <c r="T2096" s="8">
        <v>5</v>
      </c>
      <c r="U2096" s="8">
        <v>7</v>
      </c>
      <c r="V2096" s="8">
        <v>8</v>
      </c>
      <c r="W2096" t="s">
        <v>474</v>
      </c>
      <c r="X2096" t="s">
        <v>473</v>
      </c>
      <c r="Y2096" t="s">
        <v>473</v>
      </c>
      <c r="Z2096" t="s">
        <v>473</v>
      </c>
      <c r="AA2096" t="s">
        <v>473</v>
      </c>
      <c r="AB2096" t="s">
        <v>473</v>
      </c>
      <c r="AC2096" s="10">
        <v>3</v>
      </c>
      <c r="AD2096" s="10">
        <v>11</v>
      </c>
      <c r="AE2096" t="s">
        <v>474</v>
      </c>
    </row>
    <row r="2097" spans="1:31" x14ac:dyDescent="0.25">
      <c r="A2097">
        <v>11031</v>
      </c>
      <c r="B2097">
        <v>1950</v>
      </c>
      <c r="C2097" t="s">
        <v>33</v>
      </c>
      <c r="D2097" t="s">
        <v>34</v>
      </c>
      <c r="E2097" t="str">
        <f>IF(OR(Table1[[#This Row],[marital_status]]="Married", Table1[[#This Row],[marital_status]]="Together"), "Partnered", "Single")</f>
        <v>Partnered</v>
      </c>
      <c r="F2097" s="7">
        <v>48699</v>
      </c>
      <c r="G2097" s="8">
        <v>1</v>
      </c>
      <c r="H2097" s="8">
        <v>1</v>
      </c>
      <c r="I2097" s="8">
        <f>Table1[[#This Row],[kids]]+Table1[[#This Row],[teens]]</f>
        <v>2</v>
      </c>
      <c r="J2097" s="9">
        <v>41415</v>
      </c>
      <c r="K2097" s="8">
        <v>90</v>
      </c>
      <c r="L2097" s="6">
        <v>26</v>
      </c>
      <c r="M2097" s="5">
        <v>1</v>
      </c>
      <c r="N2097" s="5">
        <v>10</v>
      </c>
      <c r="O2097" s="5">
        <v>2</v>
      </c>
      <c r="P2097" s="5">
        <v>0</v>
      </c>
      <c r="Q2097" s="5">
        <v>1</v>
      </c>
      <c r="R2097" s="8">
        <v>1</v>
      </c>
      <c r="S2097" s="8">
        <v>1</v>
      </c>
      <c r="T2097" s="8">
        <v>0</v>
      </c>
      <c r="U2097" s="8">
        <v>3</v>
      </c>
      <c r="V2097" s="8">
        <v>5</v>
      </c>
      <c r="W2097" t="s">
        <v>473</v>
      </c>
      <c r="X2097" t="s">
        <v>473</v>
      </c>
      <c r="Y2097" t="s">
        <v>473</v>
      </c>
      <c r="Z2097" t="s">
        <v>473</v>
      </c>
      <c r="AA2097" t="s">
        <v>473</v>
      </c>
      <c r="AB2097" t="s">
        <v>473</v>
      </c>
      <c r="AC2097" s="10">
        <v>3</v>
      </c>
      <c r="AD2097" s="10">
        <v>11</v>
      </c>
      <c r="AE2097" t="s">
        <v>473</v>
      </c>
    </row>
    <row r="2098" spans="1:31" x14ac:dyDescent="0.25">
      <c r="A2098">
        <v>7428</v>
      </c>
      <c r="B2098">
        <v>1975</v>
      </c>
      <c r="C2098" t="s">
        <v>466</v>
      </c>
      <c r="D2098" t="s">
        <v>31</v>
      </c>
      <c r="E2098" t="str">
        <f>IF(OR(Table1[[#This Row],[marital_status]]="Married", Table1[[#This Row],[marital_status]]="Together"), "Partnered", "Single")</f>
        <v>Partnered</v>
      </c>
      <c r="F2098" s="7">
        <v>80144</v>
      </c>
      <c r="G2098" s="8">
        <v>0</v>
      </c>
      <c r="H2098" s="8">
        <v>0</v>
      </c>
      <c r="I2098" s="8">
        <f>Table1[[#This Row],[kids]]+Table1[[#This Row],[teens]]</f>
        <v>0</v>
      </c>
      <c r="J2098" s="9">
        <v>41547</v>
      </c>
      <c r="K2098" s="8">
        <v>47</v>
      </c>
      <c r="L2098" s="6">
        <v>240</v>
      </c>
      <c r="M2098" s="5">
        <v>132</v>
      </c>
      <c r="N2098" s="5">
        <v>445</v>
      </c>
      <c r="O2098" s="5">
        <v>250</v>
      </c>
      <c r="P2098" s="5">
        <v>192</v>
      </c>
      <c r="Q2098" s="5">
        <v>108</v>
      </c>
      <c r="R2098" s="8">
        <v>1</v>
      </c>
      <c r="S2098" s="8">
        <v>3</v>
      </c>
      <c r="T2098" s="8">
        <v>7</v>
      </c>
      <c r="U2098" s="8">
        <v>8</v>
      </c>
      <c r="V2098" s="8">
        <v>1</v>
      </c>
      <c r="W2098" t="s">
        <v>473</v>
      </c>
      <c r="X2098" t="s">
        <v>473</v>
      </c>
      <c r="Y2098" t="s">
        <v>473</v>
      </c>
      <c r="Z2098" t="s">
        <v>473</v>
      </c>
      <c r="AA2098" t="s">
        <v>473</v>
      </c>
      <c r="AB2098" t="s">
        <v>473</v>
      </c>
      <c r="AC2098" s="10">
        <v>3</v>
      </c>
      <c r="AD2098" s="10">
        <v>11</v>
      </c>
      <c r="AE2098" t="s">
        <v>473</v>
      </c>
    </row>
    <row r="2099" spans="1:31" x14ac:dyDescent="0.25">
      <c r="A2099">
        <v>975</v>
      </c>
      <c r="B2099">
        <v>1956</v>
      </c>
      <c r="C2099" t="s">
        <v>466</v>
      </c>
      <c r="D2099" t="s">
        <v>30</v>
      </c>
      <c r="E2099" t="str">
        <f>IF(OR(Table1[[#This Row],[marital_status]]="Married", Table1[[#This Row],[marital_status]]="Together"), "Partnered", "Single")</f>
        <v>Single</v>
      </c>
      <c r="F2099" s="7">
        <v>54252</v>
      </c>
      <c r="G2099" s="8">
        <v>1</v>
      </c>
      <c r="H2099" s="8">
        <v>1</v>
      </c>
      <c r="I2099" s="8">
        <f>Table1[[#This Row],[kids]]+Table1[[#This Row],[teens]]</f>
        <v>2</v>
      </c>
      <c r="J2099" s="9">
        <v>41422</v>
      </c>
      <c r="K2099" s="8">
        <v>25</v>
      </c>
      <c r="L2099" s="6">
        <v>178</v>
      </c>
      <c r="M2099" s="5">
        <v>4</v>
      </c>
      <c r="N2099" s="5">
        <v>26</v>
      </c>
      <c r="O2099" s="5">
        <v>8</v>
      </c>
      <c r="P2099" s="5">
        <v>4</v>
      </c>
      <c r="Q2099" s="5">
        <v>44</v>
      </c>
      <c r="R2099" s="8">
        <v>5</v>
      </c>
      <c r="S2099" s="8">
        <v>4</v>
      </c>
      <c r="T2099" s="8">
        <v>1</v>
      </c>
      <c r="U2099" s="8">
        <v>5</v>
      </c>
      <c r="V2099" s="8">
        <v>6</v>
      </c>
      <c r="W2099" t="s">
        <v>473</v>
      </c>
      <c r="X2099" t="s">
        <v>473</v>
      </c>
      <c r="Y2099" t="s">
        <v>473</v>
      </c>
      <c r="Z2099" t="s">
        <v>473</v>
      </c>
      <c r="AA2099" t="s">
        <v>473</v>
      </c>
      <c r="AB2099" t="s">
        <v>473</v>
      </c>
      <c r="AC2099" s="10">
        <v>3</v>
      </c>
      <c r="AD2099" s="10">
        <v>11</v>
      </c>
      <c r="AE2099" t="s">
        <v>473</v>
      </c>
    </row>
    <row r="2100" spans="1:31" x14ac:dyDescent="0.25">
      <c r="A2100">
        <v>1103</v>
      </c>
      <c r="B2100">
        <v>1976</v>
      </c>
      <c r="C2100" t="s">
        <v>36</v>
      </c>
      <c r="D2100" t="s">
        <v>34</v>
      </c>
      <c r="E2100" t="str">
        <f>IF(OR(Table1[[#This Row],[marital_status]]="Married", Table1[[#This Row],[marital_status]]="Together"), "Partnered", "Single")</f>
        <v>Partnered</v>
      </c>
      <c r="F2100" s="7">
        <v>81929</v>
      </c>
      <c r="G2100" s="8">
        <v>1</v>
      </c>
      <c r="H2100" s="8">
        <v>0</v>
      </c>
      <c r="I2100" s="8">
        <f>Table1[[#This Row],[kids]]+Table1[[#This Row],[teens]]</f>
        <v>1</v>
      </c>
      <c r="J2100" s="9">
        <v>41181</v>
      </c>
      <c r="K2100" s="8">
        <v>60</v>
      </c>
      <c r="L2100" s="6">
        <v>1486</v>
      </c>
      <c r="M2100" s="5">
        <v>55</v>
      </c>
      <c r="N2100" s="5">
        <v>278</v>
      </c>
      <c r="O2100" s="5">
        <v>49</v>
      </c>
      <c r="P2100" s="5">
        <v>0</v>
      </c>
      <c r="Q2100" s="5">
        <v>185</v>
      </c>
      <c r="R2100" s="8">
        <v>2</v>
      </c>
      <c r="S2100" s="8">
        <v>4</v>
      </c>
      <c r="T2100" s="8">
        <v>4</v>
      </c>
      <c r="U2100" s="8">
        <v>10</v>
      </c>
      <c r="V2100" s="8">
        <v>6</v>
      </c>
      <c r="W2100" t="s">
        <v>474</v>
      </c>
      <c r="X2100" t="s">
        <v>473</v>
      </c>
      <c r="Y2100" t="s">
        <v>474</v>
      </c>
      <c r="Z2100" t="s">
        <v>473</v>
      </c>
      <c r="AA2100" t="s">
        <v>473</v>
      </c>
      <c r="AB2100" t="s">
        <v>473</v>
      </c>
      <c r="AC2100" s="10">
        <v>3</v>
      </c>
      <c r="AD2100" s="10">
        <v>11</v>
      </c>
      <c r="AE2100" t="s">
        <v>474</v>
      </c>
    </row>
    <row r="2101" spans="1:31" x14ac:dyDescent="0.25">
      <c r="A2101">
        <v>3422</v>
      </c>
      <c r="B2101">
        <v>1975</v>
      </c>
      <c r="C2101" t="s">
        <v>466</v>
      </c>
      <c r="D2101" t="s">
        <v>34</v>
      </c>
      <c r="E2101" t="str">
        <f>IF(OR(Table1[[#This Row],[marital_status]]="Married", Table1[[#This Row],[marital_status]]="Together"), "Partnered", "Single")</f>
        <v>Partnered</v>
      </c>
      <c r="F2101" s="7">
        <v>76068</v>
      </c>
      <c r="G2101" s="8">
        <v>0</v>
      </c>
      <c r="H2101" s="8">
        <v>1</v>
      </c>
      <c r="I2101" s="8">
        <f>Table1[[#This Row],[kids]]+Table1[[#This Row],[teens]]</f>
        <v>1</v>
      </c>
      <c r="J2101" s="9">
        <v>41242</v>
      </c>
      <c r="K2101" s="8">
        <v>67</v>
      </c>
      <c r="L2101" s="6">
        <v>1115</v>
      </c>
      <c r="M2101" s="5">
        <v>12</v>
      </c>
      <c r="N2101" s="5">
        <v>128</v>
      </c>
      <c r="O2101" s="5">
        <v>33</v>
      </c>
      <c r="P2101" s="5">
        <v>12</v>
      </c>
      <c r="Q2101" s="5">
        <v>76</v>
      </c>
      <c r="R2101" s="8">
        <v>1</v>
      </c>
      <c r="S2101" s="8">
        <v>2</v>
      </c>
      <c r="T2101" s="8">
        <v>3</v>
      </c>
      <c r="U2101" s="8">
        <v>4</v>
      </c>
      <c r="V2101" s="8">
        <v>6</v>
      </c>
      <c r="W2101" t="s">
        <v>473</v>
      </c>
      <c r="X2101" t="s">
        <v>474</v>
      </c>
      <c r="Y2101" t="s">
        <v>473</v>
      </c>
      <c r="Z2101" t="s">
        <v>473</v>
      </c>
      <c r="AA2101" t="s">
        <v>474</v>
      </c>
      <c r="AB2101" t="s">
        <v>473</v>
      </c>
      <c r="AC2101" s="10">
        <v>3</v>
      </c>
      <c r="AD2101" s="10">
        <v>11</v>
      </c>
      <c r="AE2101" t="s">
        <v>473</v>
      </c>
    </row>
    <row r="2102" spans="1:31" x14ac:dyDescent="0.25">
      <c r="A2102">
        <v>1055</v>
      </c>
      <c r="B2102">
        <v>1976</v>
      </c>
      <c r="C2102" t="s">
        <v>36</v>
      </c>
      <c r="D2102" t="s">
        <v>34</v>
      </c>
      <c r="E2102" t="str">
        <f>IF(OR(Table1[[#This Row],[marital_status]]="Married", Table1[[#This Row],[marital_status]]="Together"), "Partnered", "Single")</f>
        <v>Partnered</v>
      </c>
      <c r="F2102" s="7">
        <v>53204</v>
      </c>
      <c r="G2102" s="8">
        <v>1</v>
      </c>
      <c r="H2102" s="8">
        <v>1</v>
      </c>
      <c r="I2102" s="8">
        <f>Table1[[#This Row],[kids]]+Table1[[#This Row],[teens]]</f>
        <v>2</v>
      </c>
      <c r="J2102" s="9">
        <v>41718</v>
      </c>
      <c r="K2102" s="8">
        <v>40</v>
      </c>
      <c r="L2102" s="6">
        <v>29</v>
      </c>
      <c r="M2102" s="5">
        <v>0</v>
      </c>
      <c r="N2102" s="5">
        <v>8</v>
      </c>
      <c r="O2102" s="5">
        <v>2</v>
      </c>
      <c r="P2102" s="5">
        <v>0</v>
      </c>
      <c r="Q2102" s="5">
        <v>6</v>
      </c>
      <c r="R2102" s="8">
        <v>1</v>
      </c>
      <c r="S2102" s="8">
        <v>1</v>
      </c>
      <c r="T2102" s="8">
        <v>0</v>
      </c>
      <c r="U2102" s="8">
        <v>3</v>
      </c>
      <c r="V2102" s="8">
        <v>4</v>
      </c>
      <c r="W2102" t="s">
        <v>473</v>
      </c>
      <c r="X2102" t="s">
        <v>473</v>
      </c>
      <c r="Y2102" t="s">
        <v>473</v>
      </c>
      <c r="Z2102" t="s">
        <v>473</v>
      </c>
      <c r="AA2102" t="s">
        <v>473</v>
      </c>
      <c r="AB2102" t="s">
        <v>473</v>
      </c>
      <c r="AC2102" s="10">
        <v>3</v>
      </c>
      <c r="AD2102" s="10">
        <v>11</v>
      </c>
      <c r="AE2102" t="s">
        <v>473</v>
      </c>
    </row>
    <row r="2103" spans="1:31" x14ac:dyDescent="0.25">
      <c r="A2103">
        <v>6544</v>
      </c>
      <c r="B2103">
        <v>1949</v>
      </c>
      <c r="C2103" t="s">
        <v>33</v>
      </c>
      <c r="D2103" t="s">
        <v>31</v>
      </c>
      <c r="E2103" t="str">
        <f>IF(OR(Table1[[#This Row],[marital_status]]="Married", Table1[[#This Row],[marital_status]]="Together"), "Partnered", "Single")</f>
        <v>Partnered</v>
      </c>
      <c r="F2103" s="7">
        <v>67911</v>
      </c>
      <c r="G2103" s="8">
        <v>0</v>
      </c>
      <c r="H2103" s="8">
        <v>1</v>
      </c>
      <c r="I2103" s="8">
        <f>Table1[[#This Row],[kids]]+Table1[[#This Row],[teens]]</f>
        <v>1</v>
      </c>
      <c r="J2103" s="9">
        <v>41781</v>
      </c>
      <c r="K2103" s="8">
        <v>63</v>
      </c>
      <c r="L2103" s="6">
        <v>529</v>
      </c>
      <c r="M2103" s="5">
        <v>0</v>
      </c>
      <c r="N2103" s="5">
        <v>356</v>
      </c>
      <c r="O2103" s="5">
        <v>63</v>
      </c>
      <c r="P2103" s="5">
        <v>28</v>
      </c>
      <c r="Q2103" s="5">
        <v>0</v>
      </c>
      <c r="R2103" s="8">
        <v>3</v>
      </c>
      <c r="S2103" s="8">
        <v>6</v>
      </c>
      <c r="T2103" s="8">
        <v>7</v>
      </c>
      <c r="U2103" s="8">
        <v>11</v>
      </c>
      <c r="V2103" s="8">
        <v>3</v>
      </c>
      <c r="W2103" t="s">
        <v>473</v>
      </c>
      <c r="X2103" t="s">
        <v>473</v>
      </c>
      <c r="Y2103" t="s">
        <v>473</v>
      </c>
      <c r="Z2103" t="s">
        <v>473</v>
      </c>
      <c r="AA2103" t="s">
        <v>473</v>
      </c>
      <c r="AB2103" t="s">
        <v>473</v>
      </c>
      <c r="AC2103" s="10">
        <v>3</v>
      </c>
      <c r="AD2103" s="10">
        <v>11</v>
      </c>
      <c r="AE2103" t="s">
        <v>473</v>
      </c>
    </row>
    <row r="2104" spans="1:31" x14ac:dyDescent="0.25">
      <c r="A2104">
        <v>1241</v>
      </c>
      <c r="B2104">
        <v>1984</v>
      </c>
      <c r="C2104" t="s">
        <v>46</v>
      </c>
      <c r="D2104" t="s">
        <v>34</v>
      </c>
      <c r="E2104" t="str">
        <f>IF(OR(Table1[[#This Row],[marital_status]]="Married", Table1[[#This Row],[marital_status]]="Together"), "Partnered", "Single")</f>
        <v>Partnered</v>
      </c>
      <c r="F2104" s="7">
        <v>14796</v>
      </c>
      <c r="G2104" s="8">
        <v>1</v>
      </c>
      <c r="H2104" s="8">
        <v>0</v>
      </c>
      <c r="I2104" s="8">
        <f>Table1[[#This Row],[kids]]+Table1[[#This Row],[teens]]</f>
        <v>1</v>
      </c>
      <c r="J2104" s="9">
        <v>41169</v>
      </c>
      <c r="K2104" s="8">
        <v>1</v>
      </c>
      <c r="L2104" s="6">
        <v>13</v>
      </c>
      <c r="M2104" s="5">
        <v>3</v>
      </c>
      <c r="N2104" s="5">
        <v>8</v>
      </c>
      <c r="O2104" s="5">
        <v>7</v>
      </c>
      <c r="P2104" s="5">
        <v>4</v>
      </c>
      <c r="Q2104" s="5">
        <v>16</v>
      </c>
      <c r="R2104" s="8">
        <v>2</v>
      </c>
      <c r="S2104" s="8">
        <v>1</v>
      </c>
      <c r="T2104" s="8">
        <v>0</v>
      </c>
      <c r="U2104" s="8">
        <v>3</v>
      </c>
      <c r="V2104" s="8">
        <v>9</v>
      </c>
      <c r="W2104" t="s">
        <v>473</v>
      </c>
      <c r="X2104" t="s">
        <v>473</v>
      </c>
      <c r="Y2104" t="s">
        <v>473</v>
      </c>
      <c r="Z2104" t="s">
        <v>473</v>
      </c>
      <c r="AA2104" t="s">
        <v>473</v>
      </c>
      <c r="AB2104" t="s">
        <v>473</v>
      </c>
      <c r="AC2104" s="10">
        <v>3</v>
      </c>
      <c r="AD2104" s="10">
        <v>11</v>
      </c>
      <c r="AE2104" t="s">
        <v>474</v>
      </c>
    </row>
    <row r="2105" spans="1:31" x14ac:dyDescent="0.25">
      <c r="A2105">
        <v>2909</v>
      </c>
      <c r="B2105">
        <v>1974</v>
      </c>
      <c r="C2105" t="s">
        <v>33</v>
      </c>
      <c r="D2105" t="s">
        <v>34</v>
      </c>
      <c r="E2105" t="str">
        <f>IF(OR(Table1[[#This Row],[marital_status]]="Married", Table1[[#This Row],[marital_status]]="Together"), "Partnered", "Single")</f>
        <v>Partnered</v>
      </c>
      <c r="F2105" s="7">
        <v>78128</v>
      </c>
      <c r="G2105" s="8">
        <v>0</v>
      </c>
      <c r="H2105" s="8">
        <v>1</v>
      </c>
      <c r="I2105" s="8">
        <f>Table1[[#This Row],[kids]]+Table1[[#This Row],[teens]]</f>
        <v>1</v>
      </c>
      <c r="J2105" s="9">
        <v>41689</v>
      </c>
      <c r="K2105" s="8">
        <v>89</v>
      </c>
      <c r="L2105" s="6">
        <v>934</v>
      </c>
      <c r="M2105" s="5">
        <v>24</v>
      </c>
      <c r="N2105" s="5">
        <v>230</v>
      </c>
      <c r="O2105" s="5">
        <v>16</v>
      </c>
      <c r="P2105" s="5">
        <v>24</v>
      </c>
      <c r="Q2105" s="5">
        <v>36</v>
      </c>
      <c r="R2105" s="8">
        <v>2</v>
      </c>
      <c r="S2105" s="8">
        <v>8</v>
      </c>
      <c r="T2105" s="8">
        <v>4</v>
      </c>
      <c r="U2105" s="8">
        <v>6</v>
      </c>
      <c r="V2105" s="8">
        <v>3</v>
      </c>
      <c r="W2105" t="s">
        <v>473</v>
      </c>
      <c r="X2105" t="s">
        <v>474</v>
      </c>
      <c r="Y2105" t="s">
        <v>474</v>
      </c>
      <c r="Z2105" t="s">
        <v>473</v>
      </c>
      <c r="AA2105" t="s">
        <v>473</v>
      </c>
      <c r="AB2105" t="s">
        <v>473</v>
      </c>
      <c r="AC2105" s="10">
        <v>3</v>
      </c>
      <c r="AD2105" s="10">
        <v>11</v>
      </c>
      <c r="AE2105" t="s">
        <v>473</v>
      </c>
    </row>
    <row r="2106" spans="1:31" x14ac:dyDescent="0.25">
      <c r="A2106">
        <v>5802</v>
      </c>
      <c r="B2106">
        <v>1972</v>
      </c>
      <c r="C2106" t="s">
        <v>41</v>
      </c>
      <c r="D2106" t="s">
        <v>34</v>
      </c>
      <c r="E2106" t="str">
        <f>IF(OR(Table1[[#This Row],[marital_status]]="Married", Table1[[#This Row],[marital_status]]="Together"), "Partnered", "Single")</f>
        <v>Partnered</v>
      </c>
      <c r="F2106" s="7">
        <v>14188</v>
      </c>
      <c r="G2106" s="8">
        <v>0</v>
      </c>
      <c r="H2106" s="8">
        <v>0</v>
      </c>
      <c r="I2106" s="8">
        <f>Table1[[#This Row],[kids]]+Table1[[#This Row],[teens]]</f>
        <v>0</v>
      </c>
      <c r="J2106" s="9">
        <v>41333</v>
      </c>
      <c r="K2106" s="8">
        <v>40</v>
      </c>
      <c r="L2106" s="6">
        <v>2</v>
      </c>
      <c r="M2106" s="5">
        <v>7</v>
      </c>
      <c r="N2106" s="5">
        <v>11</v>
      </c>
      <c r="O2106" s="5">
        <v>16</v>
      </c>
      <c r="P2106" s="5">
        <v>12</v>
      </c>
      <c r="Q2106" s="5">
        <v>27</v>
      </c>
      <c r="R2106" s="8">
        <v>1</v>
      </c>
      <c r="S2106" s="8">
        <v>2</v>
      </c>
      <c r="T2106" s="8">
        <v>0</v>
      </c>
      <c r="U2106" s="8">
        <v>4</v>
      </c>
      <c r="V2106" s="8">
        <v>6</v>
      </c>
      <c r="W2106" t="s">
        <v>473</v>
      </c>
      <c r="X2106" t="s">
        <v>473</v>
      </c>
      <c r="Y2106" t="s">
        <v>473</v>
      </c>
      <c r="Z2106" t="s">
        <v>473</v>
      </c>
      <c r="AA2106" t="s">
        <v>473</v>
      </c>
      <c r="AB2106" t="s">
        <v>473</v>
      </c>
      <c r="AC2106" s="10">
        <v>3</v>
      </c>
      <c r="AD2106" s="10">
        <v>11</v>
      </c>
      <c r="AE2106" t="s">
        <v>473</v>
      </c>
    </row>
    <row r="2107" spans="1:31" x14ac:dyDescent="0.25">
      <c r="A2107">
        <v>1407</v>
      </c>
      <c r="B2107">
        <v>1986</v>
      </c>
      <c r="C2107" t="s">
        <v>41</v>
      </c>
      <c r="D2107" t="s">
        <v>34</v>
      </c>
      <c r="E2107" t="str">
        <f>IF(OR(Table1[[#This Row],[marital_status]]="Married", Table1[[#This Row],[marital_status]]="Together"), "Partnered", "Single")</f>
        <v>Partnered</v>
      </c>
      <c r="F2107" s="7">
        <v>20425</v>
      </c>
      <c r="G2107" s="8">
        <v>1</v>
      </c>
      <c r="H2107" s="8">
        <v>0</v>
      </c>
      <c r="I2107" s="8">
        <f>Table1[[#This Row],[kids]]+Table1[[#This Row],[teens]]</f>
        <v>1</v>
      </c>
      <c r="J2107" s="9">
        <v>41211</v>
      </c>
      <c r="K2107" s="8">
        <v>5</v>
      </c>
      <c r="L2107" s="6">
        <v>4</v>
      </c>
      <c r="M2107" s="5">
        <v>12</v>
      </c>
      <c r="N2107" s="5">
        <v>5</v>
      </c>
      <c r="O2107" s="5">
        <v>3</v>
      </c>
      <c r="P2107" s="5">
        <v>16</v>
      </c>
      <c r="Q2107" s="5">
        <v>17</v>
      </c>
      <c r="R2107" s="8">
        <v>2</v>
      </c>
      <c r="S2107" s="8">
        <v>2</v>
      </c>
      <c r="T2107" s="8">
        <v>0</v>
      </c>
      <c r="U2107" s="8">
        <v>3</v>
      </c>
      <c r="V2107" s="8">
        <v>7</v>
      </c>
      <c r="W2107" t="s">
        <v>473</v>
      </c>
      <c r="X2107" t="s">
        <v>473</v>
      </c>
      <c r="Y2107" t="s">
        <v>473</v>
      </c>
      <c r="Z2107" t="s">
        <v>473</v>
      </c>
      <c r="AA2107" t="s">
        <v>473</v>
      </c>
      <c r="AB2107" t="s">
        <v>473</v>
      </c>
      <c r="AC2107" s="10">
        <v>3</v>
      </c>
      <c r="AD2107" s="10">
        <v>11</v>
      </c>
      <c r="AE2107" t="s">
        <v>473</v>
      </c>
    </row>
    <row r="2108" spans="1:31" x14ac:dyDescent="0.25">
      <c r="A2108">
        <v>6183</v>
      </c>
      <c r="B2108">
        <v>1962</v>
      </c>
      <c r="C2108" t="s">
        <v>36</v>
      </c>
      <c r="D2108" t="s">
        <v>34</v>
      </c>
      <c r="E2108" t="str">
        <f>IF(OR(Table1[[#This Row],[marital_status]]="Married", Table1[[#This Row],[marital_status]]="Together"), "Partnered", "Single")</f>
        <v>Partnered</v>
      </c>
      <c r="F2108" s="7">
        <v>58646</v>
      </c>
      <c r="G2108" s="8">
        <v>0</v>
      </c>
      <c r="H2108" s="8">
        <v>1</v>
      </c>
      <c r="I2108" s="8">
        <f>Table1[[#This Row],[kids]]+Table1[[#This Row],[teens]]</f>
        <v>1</v>
      </c>
      <c r="J2108" s="9">
        <v>41435</v>
      </c>
      <c r="K2108" s="8">
        <v>3</v>
      </c>
      <c r="L2108" s="6">
        <v>62</v>
      </c>
      <c r="M2108" s="5">
        <v>1</v>
      </c>
      <c r="N2108" s="5">
        <v>44</v>
      </c>
      <c r="O2108" s="5">
        <v>6</v>
      </c>
      <c r="P2108" s="5">
        <v>5</v>
      </c>
      <c r="Q2108" s="5">
        <v>22</v>
      </c>
      <c r="R2108" s="8">
        <v>1</v>
      </c>
      <c r="S2108" s="8">
        <v>2</v>
      </c>
      <c r="T2108" s="8">
        <v>1</v>
      </c>
      <c r="U2108" s="8">
        <v>4</v>
      </c>
      <c r="V2108" s="8">
        <v>4</v>
      </c>
      <c r="W2108" t="s">
        <v>473</v>
      </c>
      <c r="X2108" t="s">
        <v>473</v>
      </c>
      <c r="Y2108" t="s">
        <v>473</v>
      </c>
      <c r="Z2108" t="s">
        <v>473</v>
      </c>
      <c r="AA2108" t="s">
        <v>473</v>
      </c>
      <c r="AB2108" t="s">
        <v>473</v>
      </c>
      <c r="AC2108" s="10">
        <v>3</v>
      </c>
      <c r="AD2108" s="10">
        <v>11</v>
      </c>
      <c r="AE2108" t="s">
        <v>473</v>
      </c>
    </row>
    <row r="2109" spans="1:31" x14ac:dyDescent="0.25">
      <c r="A2109">
        <v>340</v>
      </c>
      <c r="B2109">
        <v>1970</v>
      </c>
      <c r="C2109" t="s">
        <v>466</v>
      </c>
      <c r="D2109" t="s">
        <v>37</v>
      </c>
      <c r="E2109" t="str">
        <f>IF(OR(Table1[[#This Row],[marital_status]]="Married", Table1[[#This Row],[marital_status]]="Together"), "Partnered", "Single")</f>
        <v>Single</v>
      </c>
      <c r="F2109" s="7">
        <v>72967</v>
      </c>
      <c r="G2109" s="8">
        <v>0</v>
      </c>
      <c r="H2109" s="8">
        <v>1</v>
      </c>
      <c r="I2109" s="8">
        <f>Table1[[#This Row],[kids]]+Table1[[#This Row],[teens]]</f>
        <v>1</v>
      </c>
      <c r="J2109" s="9">
        <v>41258</v>
      </c>
      <c r="K2109" s="8">
        <v>1</v>
      </c>
      <c r="L2109" s="6">
        <v>158</v>
      </c>
      <c r="M2109" s="5">
        <v>35</v>
      </c>
      <c r="N2109" s="5">
        <v>179</v>
      </c>
      <c r="O2109" s="5">
        <v>0</v>
      </c>
      <c r="P2109" s="5">
        <v>0</v>
      </c>
      <c r="Q2109" s="5">
        <v>125</v>
      </c>
      <c r="R2109" s="8">
        <v>2</v>
      </c>
      <c r="S2109" s="8">
        <v>7</v>
      </c>
      <c r="T2109" s="8">
        <v>2</v>
      </c>
      <c r="U2109" s="8">
        <v>8</v>
      </c>
      <c r="V2109" s="8">
        <v>5</v>
      </c>
      <c r="W2109" t="s">
        <v>474</v>
      </c>
      <c r="X2109" t="s">
        <v>473</v>
      </c>
      <c r="Y2109" t="s">
        <v>473</v>
      </c>
      <c r="Z2109" t="s">
        <v>473</v>
      </c>
      <c r="AA2109" t="s">
        <v>473</v>
      </c>
      <c r="AB2109" t="s">
        <v>473</v>
      </c>
      <c r="AC2109" s="10">
        <v>3</v>
      </c>
      <c r="AD2109" s="10">
        <v>11</v>
      </c>
      <c r="AE2109" t="s">
        <v>474</v>
      </c>
    </row>
    <row r="2110" spans="1:31" x14ac:dyDescent="0.25">
      <c r="A2110">
        <v>5991</v>
      </c>
      <c r="B2110">
        <v>1949</v>
      </c>
      <c r="C2110" t="s">
        <v>36</v>
      </c>
      <c r="D2110" t="s">
        <v>34</v>
      </c>
      <c r="E2110" t="str">
        <f>IF(OR(Table1[[#This Row],[marital_status]]="Married", Table1[[#This Row],[marital_status]]="Together"), "Partnered", "Single")</f>
        <v>Partnered</v>
      </c>
      <c r="F2110" s="7">
        <v>48150</v>
      </c>
      <c r="G2110" s="8">
        <v>0</v>
      </c>
      <c r="H2110" s="8">
        <v>1</v>
      </c>
      <c r="I2110" s="8">
        <f>Table1[[#This Row],[kids]]+Table1[[#This Row],[teens]]</f>
        <v>1</v>
      </c>
      <c r="J2110" s="9">
        <v>41433</v>
      </c>
      <c r="K2110" s="8">
        <v>24</v>
      </c>
      <c r="L2110" s="6">
        <v>173</v>
      </c>
      <c r="M2110" s="5">
        <v>2</v>
      </c>
      <c r="N2110" s="5">
        <v>39</v>
      </c>
      <c r="O2110" s="5">
        <v>3</v>
      </c>
      <c r="P2110" s="5">
        <v>2</v>
      </c>
      <c r="Q2110" s="5">
        <v>47</v>
      </c>
      <c r="R2110" s="8">
        <v>3</v>
      </c>
      <c r="S2110" s="8">
        <v>5</v>
      </c>
      <c r="T2110" s="8">
        <v>1</v>
      </c>
      <c r="U2110" s="8">
        <v>4</v>
      </c>
      <c r="V2110" s="8">
        <v>7</v>
      </c>
      <c r="W2110" t="s">
        <v>473</v>
      </c>
      <c r="X2110" t="s">
        <v>473</v>
      </c>
      <c r="Y2110" t="s">
        <v>473</v>
      </c>
      <c r="Z2110" t="s">
        <v>473</v>
      </c>
      <c r="AA2110" t="s">
        <v>473</v>
      </c>
      <c r="AB2110" t="s">
        <v>473</v>
      </c>
      <c r="AC2110" s="10">
        <v>3</v>
      </c>
      <c r="AD2110" s="10">
        <v>11</v>
      </c>
      <c r="AE2110" t="s">
        <v>473</v>
      </c>
    </row>
    <row r="2111" spans="1:31" x14ac:dyDescent="0.25">
      <c r="A2111">
        <v>3104</v>
      </c>
      <c r="B2111">
        <v>1961</v>
      </c>
      <c r="C2111" t="s">
        <v>466</v>
      </c>
      <c r="D2111" t="s">
        <v>30</v>
      </c>
      <c r="E2111" t="str">
        <f>IF(OR(Table1[[#This Row],[marital_status]]="Married", Table1[[#This Row],[marital_status]]="Together"), "Partnered", "Single")</f>
        <v>Single</v>
      </c>
      <c r="F2111" s="7">
        <v>82332</v>
      </c>
      <c r="G2111" s="8">
        <v>0</v>
      </c>
      <c r="H2111" s="8">
        <v>0</v>
      </c>
      <c r="I2111" s="8">
        <f>Table1[[#This Row],[kids]]+Table1[[#This Row],[teens]]</f>
        <v>0</v>
      </c>
      <c r="J2111" s="9">
        <v>41169</v>
      </c>
      <c r="K2111" s="8">
        <v>89</v>
      </c>
      <c r="L2111" s="6">
        <v>830</v>
      </c>
      <c r="M2111" s="5">
        <v>59</v>
      </c>
      <c r="N2111" s="5">
        <v>968</v>
      </c>
      <c r="O2111" s="5">
        <v>51</v>
      </c>
      <c r="P2111" s="5">
        <v>79</v>
      </c>
      <c r="Q2111" s="5">
        <v>19</v>
      </c>
      <c r="R2111" s="8">
        <v>1</v>
      </c>
      <c r="S2111" s="8">
        <v>5</v>
      </c>
      <c r="T2111" s="8">
        <v>3</v>
      </c>
      <c r="U2111" s="8">
        <v>12</v>
      </c>
      <c r="V2111" s="8">
        <v>2</v>
      </c>
      <c r="W2111" t="s">
        <v>473</v>
      </c>
      <c r="X2111" t="s">
        <v>473</v>
      </c>
      <c r="Y2111" t="s">
        <v>474</v>
      </c>
      <c r="Z2111" t="s">
        <v>473</v>
      </c>
      <c r="AA2111" t="s">
        <v>473</v>
      </c>
      <c r="AB2111" t="s">
        <v>473</v>
      </c>
      <c r="AC2111" s="10">
        <v>3</v>
      </c>
      <c r="AD2111" s="10">
        <v>11</v>
      </c>
      <c r="AE2111" t="s">
        <v>474</v>
      </c>
    </row>
    <row r="2112" spans="1:31" x14ac:dyDescent="0.25">
      <c r="A2112">
        <v>9729</v>
      </c>
      <c r="B2112">
        <v>1955</v>
      </c>
      <c r="C2112" t="s">
        <v>466</v>
      </c>
      <c r="D2112" t="s">
        <v>57</v>
      </c>
      <c r="E2112" t="str">
        <f>IF(OR(Table1[[#This Row],[marital_status]]="Married", Table1[[#This Row],[marital_status]]="Together"), "Partnered", "Single")</f>
        <v>Single</v>
      </c>
      <c r="F2112" s="7">
        <v>58275</v>
      </c>
      <c r="G2112" s="8">
        <v>1</v>
      </c>
      <c r="H2112" s="8">
        <v>1</v>
      </c>
      <c r="I2112" s="8">
        <f>Table1[[#This Row],[kids]]+Table1[[#This Row],[teens]]</f>
        <v>2</v>
      </c>
      <c r="J2112" s="9">
        <v>41427</v>
      </c>
      <c r="K2112" s="8">
        <v>48</v>
      </c>
      <c r="L2112" s="6">
        <v>189</v>
      </c>
      <c r="M2112" s="5">
        <v>10</v>
      </c>
      <c r="N2112" s="5">
        <v>253</v>
      </c>
      <c r="O2112" s="5">
        <v>56</v>
      </c>
      <c r="P2112" s="5">
        <v>43</v>
      </c>
      <c r="Q2112" s="5">
        <v>64</v>
      </c>
      <c r="R2112" s="8">
        <v>6</v>
      </c>
      <c r="S2112" s="8">
        <v>8</v>
      </c>
      <c r="T2112" s="8">
        <v>2</v>
      </c>
      <c r="U2112" s="8">
        <v>7</v>
      </c>
      <c r="V2112" s="8">
        <v>7</v>
      </c>
      <c r="W2112" t="s">
        <v>473</v>
      </c>
      <c r="X2112" t="s">
        <v>473</v>
      </c>
      <c r="Y2112" t="s">
        <v>473</v>
      </c>
      <c r="Z2112" t="s">
        <v>473</v>
      </c>
      <c r="AA2112" t="s">
        <v>473</v>
      </c>
      <c r="AB2112" t="s">
        <v>473</v>
      </c>
      <c r="AC2112" s="10">
        <v>3</v>
      </c>
      <c r="AD2112" s="10">
        <v>11</v>
      </c>
      <c r="AE2112" t="s">
        <v>473</v>
      </c>
    </row>
    <row r="2113" spans="1:31" x14ac:dyDescent="0.25">
      <c r="A2113">
        <v>1008</v>
      </c>
      <c r="B2113">
        <v>1981</v>
      </c>
      <c r="C2113" t="s">
        <v>33</v>
      </c>
      <c r="D2113" t="s">
        <v>31</v>
      </c>
      <c r="E2113" t="str">
        <f>IF(OR(Table1[[#This Row],[marital_status]]="Married", Table1[[#This Row],[marital_status]]="Together"), "Partnered", "Single")</f>
        <v>Partnered</v>
      </c>
      <c r="F2113" s="7">
        <v>44953</v>
      </c>
      <c r="G2113" s="8">
        <v>0</v>
      </c>
      <c r="H2113" s="8">
        <v>0</v>
      </c>
      <c r="I2113" s="8">
        <f>Table1[[#This Row],[kids]]+Table1[[#This Row],[teens]]</f>
        <v>0</v>
      </c>
      <c r="J2113" s="9">
        <v>41264</v>
      </c>
      <c r="K2113" s="8">
        <v>31</v>
      </c>
      <c r="L2113" s="6">
        <v>728</v>
      </c>
      <c r="M2113" s="5">
        <v>17</v>
      </c>
      <c r="N2113" s="5">
        <v>133</v>
      </c>
      <c r="O2113" s="5">
        <v>11</v>
      </c>
      <c r="P2113" s="5">
        <v>8</v>
      </c>
      <c r="Q2113" s="5">
        <v>124</v>
      </c>
      <c r="R2113" s="8">
        <v>1</v>
      </c>
      <c r="S2113" s="8">
        <v>7</v>
      </c>
      <c r="T2113" s="8">
        <v>3</v>
      </c>
      <c r="U2113" s="8">
        <v>13</v>
      </c>
      <c r="V2113" s="8">
        <v>6</v>
      </c>
      <c r="W2113" t="s">
        <v>474</v>
      </c>
      <c r="X2113" t="s">
        <v>473</v>
      </c>
      <c r="Y2113" t="s">
        <v>473</v>
      </c>
      <c r="Z2113" t="s">
        <v>473</v>
      </c>
      <c r="AA2113" t="s">
        <v>473</v>
      </c>
      <c r="AB2113" t="s">
        <v>473</v>
      </c>
      <c r="AC2113" s="10">
        <v>3</v>
      </c>
      <c r="AD2113" s="10">
        <v>11</v>
      </c>
      <c r="AE2113" t="s">
        <v>473</v>
      </c>
    </row>
    <row r="2114" spans="1:31" x14ac:dyDescent="0.25">
      <c r="A2114">
        <v>11091</v>
      </c>
      <c r="B2114">
        <v>1953</v>
      </c>
      <c r="C2114" t="s">
        <v>466</v>
      </c>
      <c r="D2114" t="s">
        <v>31</v>
      </c>
      <c r="E2114" t="str">
        <f>IF(OR(Table1[[#This Row],[marital_status]]="Married", Table1[[#This Row],[marital_status]]="Together"), "Partnered", "Single")</f>
        <v>Partnered</v>
      </c>
      <c r="F2114" s="7">
        <v>34587</v>
      </c>
      <c r="G2114" s="8">
        <v>1</v>
      </c>
      <c r="H2114" s="8">
        <v>1</v>
      </c>
      <c r="I2114" s="8">
        <f>Table1[[#This Row],[kids]]+Table1[[#This Row],[teens]]</f>
        <v>2</v>
      </c>
      <c r="J2114" s="9">
        <v>41775</v>
      </c>
      <c r="K2114" s="8">
        <v>68</v>
      </c>
      <c r="L2114" s="6">
        <v>7</v>
      </c>
      <c r="M2114" s="5">
        <v>2</v>
      </c>
      <c r="N2114" s="5">
        <v>9</v>
      </c>
      <c r="O2114" s="5">
        <v>2</v>
      </c>
      <c r="P2114" s="5">
        <v>0</v>
      </c>
      <c r="Q2114" s="5">
        <v>2</v>
      </c>
      <c r="R2114" s="8">
        <v>2</v>
      </c>
      <c r="S2114" s="8">
        <v>1</v>
      </c>
      <c r="T2114" s="8">
        <v>0</v>
      </c>
      <c r="U2114" s="8">
        <v>3</v>
      </c>
      <c r="V2114" s="8">
        <v>4</v>
      </c>
      <c r="W2114" t="s">
        <v>473</v>
      </c>
      <c r="X2114" t="s">
        <v>473</v>
      </c>
      <c r="Y2114" t="s">
        <v>473</v>
      </c>
      <c r="Z2114" t="s">
        <v>473</v>
      </c>
      <c r="AA2114" t="s">
        <v>473</v>
      </c>
      <c r="AB2114" t="s">
        <v>473</v>
      </c>
      <c r="AC2114" s="10">
        <v>3</v>
      </c>
      <c r="AD2114" s="10">
        <v>11</v>
      </c>
      <c r="AE2114" t="s">
        <v>473</v>
      </c>
    </row>
    <row r="2115" spans="1:31" x14ac:dyDescent="0.25">
      <c r="A2115">
        <v>3969</v>
      </c>
      <c r="B2115">
        <v>1974</v>
      </c>
      <c r="C2115" t="s">
        <v>36</v>
      </c>
      <c r="D2115" t="s">
        <v>31</v>
      </c>
      <c r="E2115" t="str">
        <f>IF(OR(Table1[[#This Row],[marital_status]]="Married", Table1[[#This Row],[marital_status]]="Together"), "Partnered", "Single")</f>
        <v>Partnered</v>
      </c>
      <c r="F2115" s="7">
        <v>43018</v>
      </c>
      <c r="G2115" s="8">
        <v>0</v>
      </c>
      <c r="H2115" s="8">
        <v>1</v>
      </c>
      <c r="I2115" s="8">
        <f>Table1[[#This Row],[kids]]+Table1[[#This Row],[teens]]</f>
        <v>1</v>
      </c>
      <c r="J2115" s="9">
        <v>41579</v>
      </c>
      <c r="K2115" s="8">
        <v>46</v>
      </c>
      <c r="L2115" s="6">
        <v>35</v>
      </c>
      <c r="M2115" s="5">
        <v>4</v>
      </c>
      <c r="N2115" s="5">
        <v>17</v>
      </c>
      <c r="O2115" s="5">
        <v>7</v>
      </c>
      <c r="P2115" s="5">
        <v>6</v>
      </c>
      <c r="Q2115" s="5">
        <v>64</v>
      </c>
      <c r="R2115" s="8">
        <v>1</v>
      </c>
      <c r="S2115" s="8">
        <v>2</v>
      </c>
      <c r="T2115" s="8">
        <v>2</v>
      </c>
      <c r="U2115" s="8">
        <v>2</v>
      </c>
      <c r="V2115" s="8">
        <v>5</v>
      </c>
      <c r="W2115" t="s">
        <v>473</v>
      </c>
      <c r="X2115" t="s">
        <v>473</v>
      </c>
      <c r="Y2115" t="s">
        <v>473</v>
      </c>
      <c r="Z2115" t="s">
        <v>473</v>
      </c>
      <c r="AA2115" t="s">
        <v>473</v>
      </c>
      <c r="AB2115" t="s">
        <v>473</v>
      </c>
      <c r="AC2115" s="10">
        <v>3</v>
      </c>
      <c r="AD2115" s="10">
        <v>11</v>
      </c>
      <c r="AE2115" t="s">
        <v>473</v>
      </c>
    </row>
    <row r="2116" spans="1:31" x14ac:dyDescent="0.25">
      <c r="A2116">
        <v>1916</v>
      </c>
      <c r="B2116">
        <v>1954</v>
      </c>
      <c r="C2116" t="s">
        <v>36</v>
      </c>
      <c r="D2116" t="s">
        <v>34</v>
      </c>
      <c r="E2116" t="str">
        <f>IF(OR(Table1[[#This Row],[marital_status]]="Married", Table1[[#This Row],[marital_status]]="Together"), "Partnered", "Single")</f>
        <v>Partnered</v>
      </c>
      <c r="F2116" s="7">
        <v>45736</v>
      </c>
      <c r="G2116" s="8">
        <v>0</v>
      </c>
      <c r="H2116" s="8">
        <v>1</v>
      </c>
      <c r="I2116" s="8">
        <f>Table1[[#This Row],[kids]]+Table1[[#This Row],[teens]]</f>
        <v>1</v>
      </c>
      <c r="J2116" s="9">
        <v>41479</v>
      </c>
      <c r="K2116" s="8">
        <v>92</v>
      </c>
      <c r="L2116" s="6">
        <v>188</v>
      </c>
      <c r="M2116" s="5">
        <v>3</v>
      </c>
      <c r="N2116" s="5">
        <v>180</v>
      </c>
      <c r="O2116" s="5">
        <v>20</v>
      </c>
      <c r="P2116" s="5">
        <v>3</v>
      </c>
      <c r="Q2116" s="5">
        <v>43</v>
      </c>
      <c r="R2116" s="8">
        <v>5</v>
      </c>
      <c r="S2116" s="8">
        <v>7</v>
      </c>
      <c r="T2116" s="8">
        <v>1</v>
      </c>
      <c r="U2116" s="8">
        <v>6</v>
      </c>
      <c r="V2116" s="8">
        <v>7</v>
      </c>
      <c r="W2116" t="s">
        <v>473</v>
      </c>
      <c r="X2116" t="s">
        <v>473</v>
      </c>
      <c r="Y2116" t="s">
        <v>473</v>
      </c>
      <c r="Z2116" t="s">
        <v>473</v>
      </c>
      <c r="AA2116" t="s">
        <v>473</v>
      </c>
      <c r="AB2116" t="s">
        <v>473</v>
      </c>
      <c r="AC2116" s="10">
        <v>3</v>
      </c>
      <c r="AD2116" s="10">
        <v>11</v>
      </c>
      <c r="AE2116" t="s">
        <v>473</v>
      </c>
    </row>
    <row r="2117" spans="1:31" x14ac:dyDescent="0.25">
      <c r="A2117">
        <v>9907</v>
      </c>
      <c r="B2117">
        <v>1969</v>
      </c>
      <c r="C2117" t="s">
        <v>36</v>
      </c>
      <c r="D2117" t="s">
        <v>31</v>
      </c>
      <c r="E2117" t="str">
        <f>IF(OR(Table1[[#This Row],[marital_status]]="Married", Table1[[#This Row],[marital_status]]="Together"), "Partnered", "Single")</f>
        <v>Partnered</v>
      </c>
      <c r="F2117" s="7">
        <v>66476</v>
      </c>
      <c r="G2117" s="8">
        <v>0</v>
      </c>
      <c r="H2117" s="8">
        <v>1</v>
      </c>
      <c r="I2117" s="8">
        <f>Table1[[#This Row],[kids]]+Table1[[#This Row],[teens]]</f>
        <v>1</v>
      </c>
      <c r="J2117" s="9">
        <v>41612</v>
      </c>
      <c r="K2117" s="8">
        <v>80</v>
      </c>
      <c r="L2117" s="6">
        <v>742</v>
      </c>
      <c r="M2117" s="5">
        <v>28</v>
      </c>
      <c r="N2117" s="5">
        <v>152</v>
      </c>
      <c r="O2117" s="5">
        <v>25</v>
      </c>
      <c r="P2117" s="5">
        <v>9</v>
      </c>
      <c r="Q2117" s="5">
        <v>57</v>
      </c>
      <c r="R2117" s="8">
        <v>2</v>
      </c>
      <c r="S2117" s="8">
        <v>6</v>
      </c>
      <c r="T2117" s="8">
        <v>8</v>
      </c>
      <c r="U2117" s="8">
        <v>10</v>
      </c>
      <c r="V2117" s="8">
        <v>4</v>
      </c>
      <c r="W2117" t="s">
        <v>473</v>
      </c>
      <c r="X2117" t="s">
        <v>473</v>
      </c>
      <c r="Y2117" t="s">
        <v>473</v>
      </c>
      <c r="Z2117" t="s">
        <v>473</v>
      </c>
      <c r="AA2117" t="s">
        <v>473</v>
      </c>
      <c r="AB2117" t="s">
        <v>473</v>
      </c>
      <c r="AC2117" s="10">
        <v>3</v>
      </c>
      <c r="AD2117" s="10">
        <v>11</v>
      </c>
      <c r="AE2117" t="s">
        <v>473</v>
      </c>
    </row>
    <row r="2118" spans="1:31" x14ac:dyDescent="0.25">
      <c r="A2118">
        <v>87</v>
      </c>
      <c r="B2118">
        <v>1981</v>
      </c>
      <c r="C2118" t="s">
        <v>46</v>
      </c>
      <c r="D2118" t="s">
        <v>34</v>
      </c>
      <c r="E2118" t="str">
        <f>IF(OR(Table1[[#This Row],[marital_status]]="Married", Table1[[#This Row],[marital_status]]="Together"), "Partnered", "Single")</f>
        <v>Partnered</v>
      </c>
      <c r="F2118" s="7">
        <v>27733</v>
      </c>
      <c r="G2118" s="8">
        <v>1</v>
      </c>
      <c r="H2118" s="8">
        <v>0</v>
      </c>
      <c r="I2118" s="8">
        <f>Table1[[#This Row],[kids]]+Table1[[#This Row],[teens]]</f>
        <v>1</v>
      </c>
      <c r="J2118" s="9">
        <v>41512</v>
      </c>
      <c r="K2118" s="8">
        <v>16</v>
      </c>
      <c r="L2118" s="6">
        <v>0</v>
      </c>
      <c r="M2118" s="5">
        <v>7</v>
      </c>
      <c r="N2118" s="5">
        <v>5</v>
      </c>
      <c r="O2118" s="5">
        <v>26</v>
      </c>
      <c r="P2118" s="5">
        <v>2</v>
      </c>
      <c r="Q2118" s="5">
        <v>17</v>
      </c>
      <c r="R2118" s="8">
        <v>2</v>
      </c>
      <c r="S2118" s="8">
        <v>2</v>
      </c>
      <c r="T2118" s="8">
        <v>0</v>
      </c>
      <c r="U2118" s="8">
        <v>3</v>
      </c>
      <c r="V2118" s="8">
        <v>7</v>
      </c>
      <c r="W2118" t="s">
        <v>473</v>
      </c>
      <c r="X2118" t="s">
        <v>473</v>
      </c>
      <c r="Y2118" t="s">
        <v>473</v>
      </c>
      <c r="Z2118" t="s">
        <v>473</v>
      </c>
      <c r="AA2118" t="s">
        <v>473</v>
      </c>
      <c r="AB2118" t="s">
        <v>473</v>
      </c>
      <c r="AC2118" s="10">
        <v>3</v>
      </c>
      <c r="AD2118" s="10">
        <v>11</v>
      </c>
      <c r="AE2118" t="s">
        <v>473</v>
      </c>
    </row>
    <row r="2119" spans="1:31" x14ac:dyDescent="0.25">
      <c r="A2119">
        <v>8659</v>
      </c>
      <c r="B2119">
        <v>1952</v>
      </c>
      <c r="C2119" t="s">
        <v>33</v>
      </c>
      <c r="D2119" t="s">
        <v>31</v>
      </c>
      <c r="E2119" t="str">
        <f>IF(OR(Table1[[#This Row],[marital_status]]="Married", Table1[[#This Row],[marital_status]]="Together"), "Partnered", "Single")</f>
        <v>Partnered</v>
      </c>
      <c r="F2119" s="7">
        <v>69805</v>
      </c>
      <c r="G2119" s="8">
        <v>0</v>
      </c>
      <c r="H2119" s="8">
        <v>1</v>
      </c>
      <c r="I2119" s="8">
        <f>Table1[[#This Row],[kids]]+Table1[[#This Row],[teens]]</f>
        <v>1</v>
      </c>
      <c r="J2119" s="9">
        <v>41660</v>
      </c>
      <c r="K2119" s="8">
        <v>50</v>
      </c>
      <c r="L2119" s="6">
        <v>750</v>
      </c>
      <c r="M2119" s="5">
        <v>71</v>
      </c>
      <c r="N2119" s="5">
        <v>174</v>
      </c>
      <c r="O2119" s="5">
        <v>13</v>
      </c>
      <c r="P2119" s="5">
        <v>10</v>
      </c>
      <c r="Q2119" s="5">
        <v>20</v>
      </c>
      <c r="R2119" s="8">
        <v>2</v>
      </c>
      <c r="S2119" s="8">
        <v>6</v>
      </c>
      <c r="T2119" s="8">
        <v>8</v>
      </c>
      <c r="U2119" s="8">
        <v>11</v>
      </c>
      <c r="V2119" s="8">
        <v>2</v>
      </c>
      <c r="W2119" t="s">
        <v>473</v>
      </c>
      <c r="X2119" t="s">
        <v>473</v>
      </c>
      <c r="Y2119" t="s">
        <v>473</v>
      </c>
      <c r="Z2119" t="s">
        <v>473</v>
      </c>
      <c r="AA2119" t="s">
        <v>473</v>
      </c>
      <c r="AB2119" t="s">
        <v>473</v>
      </c>
      <c r="AC2119" s="10">
        <v>3</v>
      </c>
      <c r="AD2119" s="10">
        <v>11</v>
      </c>
      <c r="AE2119" t="s">
        <v>473</v>
      </c>
    </row>
    <row r="2120" spans="1:31" x14ac:dyDescent="0.25">
      <c r="A2120">
        <v>6262</v>
      </c>
      <c r="B2120">
        <v>1962</v>
      </c>
      <c r="C2120" t="s">
        <v>36</v>
      </c>
      <c r="D2120" t="s">
        <v>30</v>
      </c>
      <c r="E2120" t="str">
        <f>IF(OR(Table1[[#This Row],[marital_status]]="Married", Table1[[#This Row],[marital_status]]="Together"), "Partnered", "Single")</f>
        <v>Single</v>
      </c>
      <c r="F2120" s="7">
        <v>72217</v>
      </c>
      <c r="G2120" s="8">
        <v>0</v>
      </c>
      <c r="H2120" s="8">
        <v>0</v>
      </c>
      <c r="I2120" s="8">
        <f>Table1[[#This Row],[kids]]+Table1[[#This Row],[teens]]</f>
        <v>0</v>
      </c>
      <c r="J2120" s="9">
        <v>41374</v>
      </c>
      <c r="K2120" s="8">
        <v>93</v>
      </c>
      <c r="L2120" s="6">
        <v>816</v>
      </c>
      <c r="M2120" s="5">
        <v>42</v>
      </c>
      <c r="N2120" s="5">
        <v>450</v>
      </c>
      <c r="O2120" s="5">
        <v>55</v>
      </c>
      <c r="P2120" s="5">
        <v>56</v>
      </c>
      <c r="Q2120" s="5">
        <v>154</v>
      </c>
      <c r="R2120" s="8">
        <v>1</v>
      </c>
      <c r="S2120" s="8">
        <v>3</v>
      </c>
      <c r="T2120" s="8">
        <v>10</v>
      </c>
      <c r="U2120" s="8">
        <v>8</v>
      </c>
      <c r="V2120" s="8">
        <v>2</v>
      </c>
      <c r="W2120" t="s">
        <v>473</v>
      </c>
      <c r="X2120" t="s">
        <v>473</v>
      </c>
      <c r="Y2120" t="s">
        <v>473</v>
      </c>
      <c r="Z2120" t="s">
        <v>473</v>
      </c>
      <c r="AA2120" t="s">
        <v>473</v>
      </c>
      <c r="AB2120" t="s">
        <v>473</v>
      </c>
      <c r="AC2120" s="10">
        <v>3</v>
      </c>
      <c r="AD2120" s="10">
        <v>11</v>
      </c>
      <c r="AE2120" t="s">
        <v>473</v>
      </c>
    </row>
    <row r="2121" spans="1:31" x14ac:dyDescent="0.25">
      <c r="A2121">
        <v>6147</v>
      </c>
      <c r="B2121">
        <v>1971</v>
      </c>
      <c r="C2121" t="s">
        <v>466</v>
      </c>
      <c r="D2121" t="s">
        <v>37</v>
      </c>
      <c r="E2121" t="str">
        <f>IF(OR(Table1[[#This Row],[marital_status]]="Married", Table1[[#This Row],[marital_status]]="Together"), "Partnered", "Single")</f>
        <v>Single</v>
      </c>
      <c r="F2121" s="7">
        <v>25818</v>
      </c>
      <c r="G2121" s="8">
        <v>1</v>
      </c>
      <c r="H2121" s="8">
        <v>0</v>
      </c>
      <c r="I2121" s="8">
        <f>Table1[[#This Row],[kids]]+Table1[[#This Row],[teens]]</f>
        <v>1</v>
      </c>
      <c r="J2121" s="9">
        <v>41200</v>
      </c>
      <c r="K2121" s="8">
        <v>51</v>
      </c>
      <c r="L2121" s="6">
        <v>5</v>
      </c>
      <c r="M2121" s="5">
        <v>2</v>
      </c>
      <c r="N2121" s="5">
        <v>8</v>
      </c>
      <c r="O2121" s="5">
        <v>2</v>
      </c>
      <c r="P2121" s="5">
        <v>2</v>
      </c>
      <c r="Q2121" s="5">
        <v>9</v>
      </c>
      <c r="R2121" s="8">
        <v>1</v>
      </c>
      <c r="S2121" s="8">
        <v>0</v>
      </c>
      <c r="T2121" s="8">
        <v>1</v>
      </c>
      <c r="U2121" s="8">
        <v>2</v>
      </c>
      <c r="V2121" s="8">
        <v>7</v>
      </c>
      <c r="W2121" t="s">
        <v>473</v>
      </c>
      <c r="X2121" t="s">
        <v>473</v>
      </c>
      <c r="Y2121" t="s">
        <v>473</v>
      </c>
      <c r="Z2121" t="s">
        <v>473</v>
      </c>
      <c r="AA2121" t="s">
        <v>473</v>
      </c>
      <c r="AB2121" t="s">
        <v>473</v>
      </c>
      <c r="AC2121" s="10">
        <v>3</v>
      </c>
      <c r="AD2121" s="10">
        <v>11</v>
      </c>
      <c r="AE2121" t="s">
        <v>473</v>
      </c>
    </row>
    <row r="2122" spans="1:31" x14ac:dyDescent="0.25">
      <c r="A2122">
        <v>8832</v>
      </c>
      <c r="B2122">
        <v>1976</v>
      </c>
      <c r="C2122" t="s">
        <v>36</v>
      </c>
      <c r="D2122" t="s">
        <v>31</v>
      </c>
      <c r="E2122" t="str">
        <f>IF(OR(Table1[[#This Row],[marital_status]]="Married", Table1[[#This Row],[marital_status]]="Together"), "Partnered", "Single")</f>
        <v>Partnered</v>
      </c>
      <c r="F2122" s="7">
        <v>37509</v>
      </c>
      <c r="G2122" s="8">
        <v>1</v>
      </c>
      <c r="H2122" s="8">
        <v>0</v>
      </c>
      <c r="I2122" s="8">
        <f>Table1[[#This Row],[kids]]+Table1[[#This Row],[teens]]</f>
        <v>1</v>
      </c>
      <c r="J2122" s="9">
        <v>41164</v>
      </c>
      <c r="K2122" s="8">
        <v>24</v>
      </c>
      <c r="L2122" s="6">
        <v>37</v>
      </c>
      <c r="M2122" s="5">
        <v>5</v>
      </c>
      <c r="N2122" s="5">
        <v>56</v>
      </c>
      <c r="O2122" s="5">
        <v>12</v>
      </c>
      <c r="P2122" s="5">
        <v>8</v>
      </c>
      <c r="Q2122" s="5">
        <v>5</v>
      </c>
      <c r="R2122" s="8">
        <v>2</v>
      </c>
      <c r="S2122" s="8">
        <v>3</v>
      </c>
      <c r="T2122" s="8">
        <v>0</v>
      </c>
      <c r="U2122" s="8">
        <v>4</v>
      </c>
      <c r="V2122" s="8">
        <v>7</v>
      </c>
      <c r="W2122" t="s">
        <v>473</v>
      </c>
      <c r="X2122" t="s">
        <v>473</v>
      </c>
      <c r="Y2122" t="s">
        <v>473</v>
      </c>
      <c r="Z2122" t="s">
        <v>473</v>
      </c>
      <c r="AA2122" t="s">
        <v>473</v>
      </c>
      <c r="AB2122" t="s">
        <v>473</v>
      </c>
      <c r="AC2122" s="10">
        <v>3</v>
      </c>
      <c r="AD2122" s="10">
        <v>11</v>
      </c>
      <c r="AE2122" t="s">
        <v>473</v>
      </c>
    </row>
    <row r="2123" spans="1:31" x14ac:dyDescent="0.25">
      <c r="A2123">
        <v>10067</v>
      </c>
      <c r="B2123">
        <v>1976</v>
      </c>
      <c r="C2123" t="s">
        <v>46</v>
      </c>
      <c r="D2123" t="s">
        <v>31</v>
      </c>
      <c r="E2123" t="str">
        <f>IF(OR(Table1[[#This Row],[marital_status]]="Married", Table1[[#This Row],[marital_status]]="Together"), "Partnered", "Single")</f>
        <v>Partnered</v>
      </c>
      <c r="F2123" s="7">
        <v>25176</v>
      </c>
      <c r="G2123" s="8">
        <v>1</v>
      </c>
      <c r="H2123" s="8">
        <v>1</v>
      </c>
      <c r="I2123" s="8">
        <f>Table1[[#This Row],[kids]]+Table1[[#This Row],[teens]]</f>
        <v>2</v>
      </c>
      <c r="J2123" s="9">
        <v>41496</v>
      </c>
      <c r="K2123" s="8">
        <v>79</v>
      </c>
      <c r="L2123" s="6">
        <v>4</v>
      </c>
      <c r="M2123" s="5">
        <v>0</v>
      </c>
      <c r="N2123" s="5">
        <v>4</v>
      </c>
      <c r="O2123" s="5">
        <v>0</v>
      </c>
      <c r="P2123" s="5">
        <v>0</v>
      </c>
      <c r="Q2123" s="5">
        <v>5</v>
      </c>
      <c r="R2123" s="8">
        <v>1</v>
      </c>
      <c r="S2123" s="8">
        <v>1</v>
      </c>
      <c r="T2123" s="8">
        <v>0</v>
      </c>
      <c r="U2123" s="8">
        <v>2</v>
      </c>
      <c r="V2123" s="8">
        <v>7</v>
      </c>
      <c r="W2123" t="s">
        <v>473</v>
      </c>
      <c r="X2123" t="s">
        <v>473</v>
      </c>
      <c r="Y2123" t="s">
        <v>473</v>
      </c>
      <c r="Z2123" t="s">
        <v>473</v>
      </c>
      <c r="AA2123" t="s">
        <v>473</v>
      </c>
      <c r="AB2123" t="s">
        <v>473</v>
      </c>
      <c r="AC2123" s="10">
        <v>3</v>
      </c>
      <c r="AD2123" s="10">
        <v>11</v>
      </c>
      <c r="AE2123" t="s">
        <v>473</v>
      </c>
    </row>
    <row r="2124" spans="1:31" x14ac:dyDescent="0.25">
      <c r="A2124">
        <v>7532</v>
      </c>
      <c r="B2124">
        <v>1980</v>
      </c>
      <c r="C2124" t="s">
        <v>466</v>
      </c>
      <c r="D2124" t="s">
        <v>34</v>
      </c>
      <c r="E2124" t="str">
        <f>IF(OR(Table1[[#This Row],[marital_status]]="Married", Table1[[#This Row],[marital_status]]="Together"), "Partnered", "Single")</f>
        <v>Partnered</v>
      </c>
      <c r="F2124" s="7">
        <v>43586</v>
      </c>
      <c r="G2124" s="8">
        <v>0</v>
      </c>
      <c r="H2124" s="8">
        <v>1</v>
      </c>
      <c r="I2124" s="8">
        <f>Table1[[#This Row],[kids]]+Table1[[#This Row],[teens]]</f>
        <v>1</v>
      </c>
      <c r="J2124" s="9">
        <v>41151</v>
      </c>
      <c r="K2124" s="8">
        <v>26</v>
      </c>
      <c r="L2124" s="6">
        <v>99</v>
      </c>
      <c r="M2124" s="5">
        <v>2</v>
      </c>
      <c r="N2124" s="5">
        <v>11</v>
      </c>
      <c r="O2124" s="5">
        <v>4</v>
      </c>
      <c r="P2124" s="5">
        <v>0</v>
      </c>
      <c r="Q2124" s="5">
        <v>16</v>
      </c>
      <c r="R2124" s="8">
        <v>3</v>
      </c>
      <c r="S2124" s="8">
        <v>3</v>
      </c>
      <c r="T2124" s="8">
        <v>0</v>
      </c>
      <c r="U2124" s="8">
        <v>4</v>
      </c>
      <c r="V2124" s="8">
        <v>8</v>
      </c>
      <c r="W2124" t="s">
        <v>473</v>
      </c>
      <c r="X2124" t="s">
        <v>473</v>
      </c>
      <c r="Y2124" t="s">
        <v>473</v>
      </c>
      <c r="Z2124" t="s">
        <v>473</v>
      </c>
      <c r="AA2124" t="s">
        <v>473</v>
      </c>
      <c r="AB2124" t="s">
        <v>473</v>
      </c>
      <c r="AC2124" s="10">
        <v>3</v>
      </c>
      <c r="AD2124" s="10">
        <v>11</v>
      </c>
      <c r="AE2124" t="s">
        <v>473</v>
      </c>
    </row>
    <row r="2125" spans="1:31" x14ac:dyDescent="0.25">
      <c r="A2125">
        <v>4915</v>
      </c>
      <c r="B2125">
        <v>1956</v>
      </c>
      <c r="C2125" t="s">
        <v>46</v>
      </c>
      <c r="D2125" t="s">
        <v>34</v>
      </c>
      <c r="E2125" t="str">
        <f>IF(OR(Table1[[#This Row],[marital_status]]="Married", Table1[[#This Row],[marital_status]]="Together"), "Partnered", "Single")</f>
        <v>Partnered</v>
      </c>
      <c r="F2125" s="7">
        <v>53230</v>
      </c>
      <c r="G2125" s="8">
        <v>0</v>
      </c>
      <c r="H2125" s="8">
        <v>1</v>
      </c>
      <c r="I2125" s="8">
        <f>Table1[[#This Row],[kids]]+Table1[[#This Row],[teens]]</f>
        <v>1</v>
      </c>
      <c r="J2125" s="9">
        <v>41124</v>
      </c>
      <c r="K2125" s="8">
        <v>86</v>
      </c>
      <c r="L2125" s="6">
        <v>176</v>
      </c>
      <c r="M2125" s="5">
        <v>72</v>
      </c>
      <c r="N2125" s="5">
        <v>98</v>
      </c>
      <c r="O2125" s="5">
        <v>136</v>
      </c>
      <c r="P2125" s="5">
        <v>21</v>
      </c>
      <c r="Q2125" s="5">
        <v>229</v>
      </c>
      <c r="R2125" s="8">
        <v>4</v>
      </c>
      <c r="S2125" s="8">
        <v>5</v>
      </c>
      <c r="T2125" s="8">
        <v>2</v>
      </c>
      <c r="U2125" s="8">
        <v>12</v>
      </c>
      <c r="V2125" s="8">
        <v>5</v>
      </c>
      <c r="W2125" t="s">
        <v>473</v>
      </c>
      <c r="X2125" t="s">
        <v>473</v>
      </c>
      <c r="Y2125" t="s">
        <v>473</v>
      </c>
      <c r="Z2125" t="s">
        <v>473</v>
      </c>
      <c r="AA2125" t="s">
        <v>473</v>
      </c>
      <c r="AB2125" t="s">
        <v>473</v>
      </c>
      <c r="AC2125" s="10">
        <v>3</v>
      </c>
      <c r="AD2125" s="10">
        <v>11</v>
      </c>
      <c r="AE2125" t="s">
        <v>473</v>
      </c>
    </row>
    <row r="2126" spans="1:31" x14ac:dyDescent="0.25">
      <c r="A2126">
        <v>2115</v>
      </c>
      <c r="B2126">
        <v>1957</v>
      </c>
      <c r="C2126" t="s">
        <v>466</v>
      </c>
      <c r="D2126" t="s">
        <v>31</v>
      </c>
      <c r="E2126" t="str">
        <f>IF(OR(Table1[[#This Row],[marital_status]]="Married", Table1[[#This Row],[marital_status]]="Together"), "Partnered", "Single")</f>
        <v>Partnered</v>
      </c>
      <c r="F2126" s="7">
        <v>50116</v>
      </c>
      <c r="G2126" s="8">
        <v>1</v>
      </c>
      <c r="H2126" s="8">
        <v>1</v>
      </c>
      <c r="I2126" s="8">
        <f>Table1[[#This Row],[kids]]+Table1[[#This Row],[teens]]</f>
        <v>2</v>
      </c>
      <c r="J2126" s="9">
        <v>41810</v>
      </c>
      <c r="K2126" s="8">
        <v>68</v>
      </c>
      <c r="L2126" s="6">
        <v>54</v>
      </c>
      <c r="M2126" s="5">
        <v>0</v>
      </c>
      <c r="N2126" s="5">
        <v>10</v>
      </c>
      <c r="O2126" s="5">
        <v>0</v>
      </c>
      <c r="P2126" s="5">
        <v>0</v>
      </c>
      <c r="Q2126" s="5">
        <v>2</v>
      </c>
      <c r="R2126" s="8">
        <v>2</v>
      </c>
      <c r="S2126" s="8">
        <v>1</v>
      </c>
      <c r="T2126" s="8">
        <v>0</v>
      </c>
      <c r="U2126" s="8">
        <v>4</v>
      </c>
      <c r="V2126" s="8">
        <v>5</v>
      </c>
      <c r="W2126" t="s">
        <v>473</v>
      </c>
      <c r="X2126" t="s">
        <v>474</v>
      </c>
      <c r="Y2126" t="s">
        <v>473</v>
      </c>
      <c r="Z2126" t="s">
        <v>473</v>
      </c>
      <c r="AA2126" t="s">
        <v>473</v>
      </c>
      <c r="AB2126" t="s">
        <v>473</v>
      </c>
      <c r="AC2126" s="10">
        <v>3</v>
      </c>
      <c r="AD2126" s="10">
        <v>11</v>
      </c>
      <c r="AE2126" t="s">
        <v>473</v>
      </c>
    </row>
    <row r="2127" spans="1:31" x14ac:dyDescent="0.25">
      <c r="A2127">
        <v>2088</v>
      </c>
      <c r="B2127">
        <v>1972</v>
      </c>
      <c r="C2127" t="s">
        <v>466</v>
      </c>
      <c r="D2127" t="s">
        <v>31</v>
      </c>
      <c r="E2127" t="str">
        <f>IF(OR(Table1[[#This Row],[marital_status]]="Married", Table1[[#This Row],[marital_status]]="Together"), "Partnered", "Single")</f>
        <v>Partnered</v>
      </c>
      <c r="F2127" s="7">
        <v>84906</v>
      </c>
      <c r="G2127" s="8">
        <v>0</v>
      </c>
      <c r="H2127" s="8">
        <v>0</v>
      </c>
      <c r="I2127" s="8">
        <f>Table1[[#This Row],[kids]]+Table1[[#This Row],[teens]]</f>
        <v>0</v>
      </c>
      <c r="J2127" s="9">
        <v>41551</v>
      </c>
      <c r="K2127" s="8">
        <v>98</v>
      </c>
      <c r="L2127" s="6">
        <v>997</v>
      </c>
      <c r="M2127" s="5">
        <v>15</v>
      </c>
      <c r="N2127" s="5">
        <v>414</v>
      </c>
      <c r="O2127" s="5">
        <v>99</v>
      </c>
      <c r="P2127" s="5">
        <v>30</v>
      </c>
      <c r="Q2127" s="5">
        <v>76</v>
      </c>
      <c r="R2127" s="8">
        <v>1</v>
      </c>
      <c r="S2127" s="8">
        <v>5</v>
      </c>
      <c r="T2127" s="8">
        <v>6</v>
      </c>
      <c r="U2127" s="8">
        <v>12</v>
      </c>
      <c r="V2127" s="8">
        <v>2</v>
      </c>
      <c r="W2127" t="s">
        <v>473</v>
      </c>
      <c r="X2127" t="s">
        <v>474</v>
      </c>
      <c r="Y2127" t="s">
        <v>474</v>
      </c>
      <c r="Z2127" t="s">
        <v>473</v>
      </c>
      <c r="AA2127" t="s">
        <v>474</v>
      </c>
      <c r="AB2127" t="s">
        <v>473</v>
      </c>
      <c r="AC2127" s="10">
        <v>3</v>
      </c>
      <c r="AD2127" s="10">
        <v>11</v>
      </c>
      <c r="AE2127" t="s">
        <v>473</v>
      </c>
    </row>
    <row r="2128" spans="1:31" x14ac:dyDescent="0.25">
      <c r="A2128">
        <v>2493</v>
      </c>
      <c r="B2128">
        <v>1966</v>
      </c>
      <c r="C2128" t="s">
        <v>466</v>
      </c>
      <c r="D2128" t="s">
        <v>34</v>
      </c>
      <c r="E2128" t="str">
        <f>IF(OR(Table1[[#This Row],[marital_status]]="Married", Table1[[#This Row],[marital_status]]="Together"), "Partnered", "Single")</f>
        <v>Partnered</v>
      </c>
      <c r="F2128" s="7">
        <v>61286</v>
      </c>
      <c r="G2128" s="8">
        <v>0</v>
      </c>
      <c r="H2128" s="8">
        <v>1</v>
      </c>
      <c r="I2128" s="8">
        <f>Table1[[#This Row],[kids]]+Table1[[#This Row],[teens]]</f>
        <v>1</v>
      </c>
      <c r="J2128" s="9">
        <v>41488</v>
      </c>
      <c r="K2128" s="8">
        <v>34</v>
      </c>
      <c r="L2128" s="6">
        <v>356</v>
      </c>
      <c r="M2128" s="5">
        <v>0</v>
      </c>
      <c r="N2128" s="5">
        <v>107</v>
      </c>
      <c r="O2128" s="5">
        <v>19</v>
      </c>
      <c r="P2128" s="5">
        <v>9</v>
      </c>
      <c r="Q2128" s="5">
        <v>117</v>
      </c>
      <c r="R2128" s="8">
        <v>2</v>
      </c>
      <c r="S2128" s="8">
        <v>7</v>
      </c>
      <c r="T2128" s="8">
        <v>1</v>
      </c>
      <c r="U2128" s="8">
        <v>8</v>
      </c>
      <c r="V2128" s="8">
        <v>5</v>
      </c>
      <c r="W2128" t="s">
        <v>473</v>
      </c>
      <c r="X2128" t="s">
        <v>473</v>
      </c>
      <c r="Y2128" t="s">
        <v>473</v>
      </c>
      <c r="Z2128" t="s">
        <v>473</v>
      </c>
      <c r="AA2128" t="s">
        <v>473</v>
      </c>
      <c r="AB2128" t="s">
        <v>473</v>
      </c>
      <c r="AC2128" s="10">
        <v>3</v>
      </c>
      <c r="AD2128" s="10">
        <v>11</v>
      </c>
      <c r="AE2128" t="s">
        <v>473</v>
      </c>
    </row>
    <row r="2129" spans="1:31" x14ac:dyDescent="0.25">
      <c r="A2129">
        <v>6292</v>
      </c>
      <c r="B2129">
        <v>1986</v>
      </c>
      <c r="C2129" t="s">
        <v>33</v>
      </c>
      <c r="D2129" t="s">
        <v>34</v>
      </c>
      <c r="E2129" t="str">
        <f>IF(OR(Table1[[#This Row],[marital_status]]="Married", Table1[[#This Row],[marital_status]]="Together"), "Partnered", "Single")</f>
        <v>Partnered</v>
      </c>
      <c r="F2129" s="7">
        <v>82333</v>
      </c>
      <c r="G2129" s="8">
        <v>0</v>
      </c>
      <c r="H2129" s="8">
        <v>0</v>
      </c>
      <c r="I2129" s="8">
        <f>Table1[[#This Row],[kids]]+Table1[[#This Row],[teens]]</f>
        <v>0</v>
      </c>
      <c r="J2129" s="9">
        <v>41363</v>
      </c>
      <c r="K2129" s="8">
        <v>60</v>
      </c>
      <c r="L2129" s="6">
        <v>1311</v>
      </c>
      <c r="M2129" s="5">
        <v>0</v>
      </c>
      <c r="N2129" s="5">
        <v>359</v>
      </c>
      <c r="O2129" s="5">
        <v>46</v>
      </c>
      <c r="P2129" s="5">
        <v>89</v>
      </c>
      <c r="Q2129" s="5">
        <v>17</v>
      </c>
      <c r="R2129" s="8">
        <v>1</v>
      </c>
      <c r="S2129" s="8">
        <v>4</v>
      </c>
      <c r="T2129" s="8">
        <v>3</v>
      </c>
      <c r="U2129" s="8">
        <v>10</v>
      </c>
      <c r="V2129" s="8">
        <v>2</v>
      </c>
      <c r="W2129" t="s">
        <v>473</v>
      </c>
      <c r="X2129" t="s">
        <v>473</v>
      </c>
      <c r="Y2129" t="s">
        <v>474</v>
      </c>
      <c r="Z2129" t="s">
        <v>473</v>
      </c>
      <c r="AA2129" t="s">
        <v>473</v>
      </c>
      <c r="AB2129" t="s">
        <v>473</v>
      </c>
      <c r="AC2129" s="10">
        <v>3</v>
      </c>
      <c r="AD2129" s="10">
        <v>11</v>
      </c>
      <c r="AE2129" t="s">
        <v>474</v>
      </c>
    </row>
    <row r="2130" spans="1:31" x14ac:dyDescent="0.25">
      <c r="A2130">
        <v>1631</v>
      </c>
      <c r="B2130">
        <v>1965</v>
      </c>
      <c r="C2130" t="s">
        <v>33</v>
      </c>
      <c r="D2130" t="s">
        <v>31</v>
      </c>
      <c r="E2130" t="str">
        <f>IF(OR(Table1[[#This Row],[marital_status]]="Married", Table1[[#This Row],[marital_status]]="Together"), "Partnered", "Single")</f>
        <v>Partnered</v>
      </c>
      <c r="F2130" s="7">
        <v>65220</v>
      </c>
      <c r="G2130" s="8">
        <v>0</v>
      </c>
      <c r="H2130" s="8">
        <v>0</v>
      </c>
      <c r="I2130" s="8">
        <f>Table1[[#This Row],[kids]]+Table1[[#This Row],[teens]]</f>
        <v>0</v>
      </c>
      <c r="J2130" s="9">
        <v>41155</v>
      </c>
      <c r="K2130" s="8">
        <v>3</v>
      </c>
      <c r="L2130" s="6">
        <v>890</v>
      </c>
      <c r="M2130" s="5">
        <v>63</v>
      </c>
      <c r="N2130" s="5">
        <v>292</v>
      </c>
      <c r="O2130" s="5">
        <v>0</v>
      </c>
      <c r="P2130" s="5">
        <v>25</v>
      </c>
      <c r="Q2130" s="5">
        <v>12</v>
      </c>
      <c r="R2130" s="8">
        <v>4</v>
      </c>
      <c r="S2130" s="8">
        <v>8</v>
      </c>
      <c r="T2130" s="8">
        <v>4</v>
      </c>
      <c r="U2130" s="8">
        <v>7</v>
      </c>
      <c r="V2130" s="8">
        <v>6</v>
      </c>
      <c r="W2130" t="s">
        <v>473</v>
      </c>
      <c r="X2130" t="s">
        <v>473</v>
      </c>
      <c r="Y2130" t="s">
        <v>473</v>
      </c>
      <c r="Z2130" t="s">
        <v>473</v>
      </c>
      <c r="AA2130" t="s">
        <v>473</v>
      </c>
      <c r="AB2130" t="s">
        <v>473</v>
      </c>
      <c r="AC2130" s="10">
        <v>3</v>
      </c>
      <c r="AD2130" s="10">
        <v>11</v>
      </c>
      <c r="AE2130" t="s">
        <v>474</v>
      </c>
    </row>
    <row r="2131" spans="1:31" x14ac:dyDescent="0.25">
      <c r="A2131">
        <v>10104</v>
      </c>
      <c r="B2131">
        <v>1974</v>
      </c>
      <c r="C2131" t="s">
        <v>466</v>
      </c>
      <c r="D2131" t="s">
        <v>31</v>
      </c>
      <c r="E2131" t="str">
        <f>IF(OR(Table1[[#This Row],[marital_status]]="Married", Table1[[#This Row],[marital_status]]="Together"), "Partnered", "Single")</f>
        <v>Partnered</v>
      </c>
      <c r="F2131" s="7">
        <v>33590</v>
      </c>
      <c r="G2131" s="8">
        <v>2</v>
      </c>
      <c r="H2131" s="8">
        <v>1</v>
      </c>
      <c r="I2131" s="8">
        <f>Table1[[#This Row],[kids]]+Table1[[#This Row],[teens]]</f>
        <v>3</v>
      </c>
      <c r="J2131" s="9">
        <v>41581</v>
      </c>
      <c r="K2131" s="8">
        <v>65</v>
      </c>
      <c r="L2131" s="6">
        <v>4</v>
      </c>
      <c r="M2131" s="5">
        <v>0</v>
      </c>
      <c r="N2131" s="5">
        <v>2</v>
      </c>
      <c r="O2131" s="5">
        <v>0</v>
      </c>
      <c r="P2131" s="5">
        <v>0</v>
      </c>
      <c r="Q2131" s="5">
        <v>2</v>
      </c>
      <c r="R2131" s="8">
        <v>1</v>
      </c>
      <c r="S2131" s="8">
        <v>1</v>
      </c>
      <c r="T2131" s="8">
        <v>0</v>
      </c>
      <c r="U2131" s="8">
        <v>2</v>
      </c>
      <c r="V2131" s="8">
        <v>7</v>
      </c>
      <c r="W2131" t="s">
        <v>473</v>
      </c>
      <c r="X2131" t="s">
        <v>473</v>
      </c>
      <c r="Y2131" t="s">
        <v>473</v>
      </c>
      <c r="Z2131" t="s">
        <v>473</v>
      </c>
      <c r="AA2131" t="s">
        <v>473</v>
      </c>
      <c r="AB2131" t="s">
        <v>473</v>
      </c>
      <c r="AC2131" s="10">
        <v>3</v>
      </c>
      <c r="AD2131" s="10">
        <v>11</v>
      </c>
      <c r="AE2131" t="s">
        <v>473</v>
      </c>
    </row>
    <row r="2132" spans="1:31" x14ac:dyDescent="0.25">
      <c r="A2132">
        <v>3006</v>
      </c>
      <c r="B2132">
        <v>1976</v>
      </c>
      <c r="C2132" t="s">
        <v>466</v>
      </c>
      <c r="D2132" t="s">
        <v>37</v>
      </c>
      <c r="E2132" t="str">
        <f>IF(OR(Table1[[#This Row],[marital_status]]="Married", Table1[[#This Row],[marital_status]]="Together"), "Partnered", "Single")</f>
        <v>Single</v>
      </c>
      <c r="F2132" s="7">
        <v>30992</v>
      </c>
      <c r="G2132" s="8">
        <v>1</v>
      </c>
      <c r="H2132" s="8">
        <v>0</v>
      </c>
      <c r="I2132" s="8">
        <f>Table1[[#This Row],[kids]]+Table1[[#This Row],[teens]]</f>
        <v>1</v>
      </c>
      <c r="J2132" s="9">
        <v>41386</v>
      </c>
      <c r="K2132" s="8">
        <v>83</v>
      </c>
      <c r="L2132" s="6">
        <v>17</v>
      </c>
      <c r="M2132" s="5">
        <v>0</v>
      </c>
      <c r="N2132" s="5">
        <v>14</v>
      </c>
      <c r="O2132" s="5">
        <v>7</v>
      </c>
      <c r="P2132" s="5">
        <v>3</v>
      </c>
      <c r="Q2132" s="5">
        <v>2</v>
      </c>
      <c r="R2132" s="8">
        <v>1</v>
      </c>
      <c r="S2132" s="8">
        <v>1</v>
      </c>
      <c r="T2132" s="8">
        <v>0</v>
      </c>
      <c r="U2132" s="8">
        <v>3</v>
      </c>
      <c r="V2132" s="8">
        <v>7</v>
      </c>
      <c r="W2132" t="s">
        <v>473</v>
      </c>
      <c r="X2132" t="s">
        <v>473</v>
      </c>
      <c r="Y2132" t="s">
        <v>473</v>
      </c>
      <c r="Z2132" t="s">
        <v>473</v>
      </c>
      <c r="AA2132" t="s">
        <v>473</v>
      </c>
      <c r="AB2132" t="s">
        <v>473</v>
      </c>
      <c r="AC2132" s="10">
        <v>3</v>
      </c>
      <c r="AD2132" s="10">
        <v>11</v>
      </c>
      <c r="AE2132" t="s">
        <v>473</v>
      </c>
    </row>
    <row r="2133" spans="1:31" x14ac:dyDescent="0.25">
      <c r="A2133">
        <v>3919</v>
      </c>
      <c r="B2133">
        <v>1976</v>
      </c>
      <c r="C2133" t="s">
        <v>36</v>
      </c>
      <c r="D2133" t="s">
        <v>30</v>
      </c>
      <c r="E2133" t="str">
        <f>IF(OR(Table1[[#This Row],[marital_status]]="Married", Table1[[#This Row],[marital_status]]="Together"), "Partnered", "Single")</f>
        <v>Single</v>
      </c>
      <c r="F2133" s="7">
        <v>72309</v>
      </c>
      <c r="G2133" s="8">
        <v>0</v>
      </c>
      <c r="H2133" s="8">
        <v>0</v>
      </c>
      <c r="I2133" s="8">
        <f>Table1[[#This Row],[kids]]+Table1[[#This Row],[teens]]</f>
        <v>0</v>
      </c>
      <c r="J2133" s="9">
        <v>41344</v>
      </c>
      <c r="K2133" s="8">
        <v>64</v>
      </c>
      <c r="L2133" s="6">
        <v>960</v>
      </c>
      <c r="M2133" s="5">
        <v>0</v>
      </c>
      <c r="N2133" s="5">
        <v>883</v>
      </c>
      <c r="O2133" s="5">
        <v>50</v>
      </c>
      <c r="P2133" s="5">
        <v>38</v>
      </c>
      <c r="Q2133" s="5">
        <v>0</v>
      </c>
      <c r="R2133" s="8">
        <v>1</v>
      </c>
      <c r="S2133" s="8">
        <v>5</v>
      </c>
      <c r="T2133" s="8">
        <v>6</v>
      </c>
      <c r="U2133" s="8">
        <v>8</v>
      </c>
      <c r="V2133" s="8">
        <v>3</v>
      </c>
      <c r="W2133" t="s">
        <v>473</v>
      </c>
      <c r="X2133" t="s">
        <v>473</v>
      </c>
      <c r="Y2133" t="s">
        <v>473</v>
      </c>
      <c r="Z2133" t="s">
        <v>474</v>
      </c>
      <c r="AA2133" t="s">
        <v>473</v>
      </c>
      <c r="AB2133" t="s">
        <v>473</v>
      </c>
      <c r="AC2133" s="10">
        <v>3</v>
      </c>
      <c r="AD2133" s="10">
        <v>11</v>
      </c>
      <c r="AE2133" t="s">
        <v>474</v>
      </c>
    </row>
    <row r="2134" spans="1:31" x14ac:dyDescent="0.25">
      <c r="A2134">
        <v>11181</v>
      </c>
      <c r="B2134">
        <v>1949</v>
      </c>
      <c r="C2134" t="s">
        <v>33</v>
      </c>
      <c r="D2134" t="s">
        <v>34</v>
      </c>
      <c r="E2134" t="str">
        <f>IF(OR(Table1[[#This Row],[marital_status]]="Married", Table1[[#This Row],[marital_status]]="Together"), "Partnered", "Single")</f>
        <v>Partnered</v>
      </c>
      <c r="F2134" s="7">
        <v>156924</v>
      </c>
      <c r="G2134" s="8">
        <v>0</v>
      </c>
      <c r="H2134" s="8">
        <v>0</v>
      </c>
      <c r="I2134" s="8">
        <f>Table1[[#This Row],[kids]]+Table1[[#This Row],[teens]]</f>
        <v>0</v>
      </c>
      <c r="J2134" s="9">
        <v>41515</v>
      </c>
      <c r="K2134" s="8">
        <v>85</v>
      </c>
      <c r="L2134" s="6">
        <v>2</v>
      </c>
      <c r="M2134" s="5">
        <v>1</v>
      </c>
      <c r="N2134" s="5">
        <v>2</v>
      </c>
      <c r="O2134" s="5">
        <v>1</v>
      </c>
      <c r="P2134" s="5">
        <v>1</v>
      </c>
      <c r="Q2134" s="5">
        <v>1</v>
      </c>
      <c r="R2134" s="8">
        <v>0</v>
      </c>
      <c r="S2134" s="8">
        <v>0</v>
      </c>
      <c r="T2134" s="8">
        <v>0</v>
      </c>
      <c r="U2134" s="8">
        <v>0</v>
      </c>
      <c r="V2134" s="8">
        <v>0</v>
      </c>
      <c r="W2134" t="s">
        <v>473</v>
      </c>
      <c r="X2134" t="s">
        <v>473</v>
      </c>
      <c r="Y2134" t="s">
        <v>473</v>
      </c>
      <c r="Z2134" t="s">
        <v>473</v>
      </c>
      <c r="AA2134" t="s">
        <v>473</v>
      </c>
      <c r="AB2134" t="s">
        <v>473</v>
      </c>
      <c r="AC2134" s="10">
        <v>3</v>
      </c>
      <c r="AD2134" s="10">
        <v>11</v>
      </c>
      <c r="AE2134" t="s">
        <v>473</v>
      </c>
    </row>
    <row r="2135" spans="1:31" x14ac:dyDescent="0.25">
      <c r="A2135">
        <v>642</v>
      </c>
      <c r="B2135">
        <v>1980</v>
      </c>
      <c r="C2135" t="s">
        <v>41</v>
      </c>
      <c r="D2135" t="s">
        <v>34</v>
      </c>
      <c r="E2135" t="str">
        <f>IF(OR(Table1[[#This Row],[marital_status]]="Married", Table1[[#This Row],[marital_status]]="Together"), "Partnered", "Single")</f>
        <v>Partnered</v>
      </c>
      <c r="F2135" s="7">
        <v>16005</v>
      </c>
      <c r="G2135" s="8">
        <v>1</v>
      </c>
      <c r="H2135" s="8">
        <v>0</v>
      </c>
      <c r="I2135" s="8">
        <f>Table1[[#This Row],[kids]]+Table1[[#This Row],[teens]]</f>
        <v>1</v>
      </c>
      <c r="J2135" s="9">
        <v>41135</v>
      </c>
      <c r="K2135" s="8">
        <v>69</v>
      </c>
      <c r="L2135" s="6">
        <v>1</v>
      </c>
      <c r="M2135" s="5">
        <v>3</v>
      </c>
      <c r="N2135" s="5">
        <v>2</v>
      </c>
      <c r="O2135" s="5">
        <v>20</v>
      </c>
      <c r="P2135" s="5">
        <v>30</v>
      </c>
      <c r="Q2135" s="5">
        <v>47</v>
      </c>
      <c r="R2135" s="8">
        <v>3</v>
      </c>
      <c r="S2135" s="8">
        <v>2</v>
      </c>
      <c r="T2135" s="8">
        <v>1</v>
      </c>
      <c r="U2135" s="8">
        <v>2</v>
      </c>
      <c r="V2135" s="8">
        <v>8</v>
      </c>
      <c r="W2135" t="s">
        <v>473</v>
      </c>
      <c r="X2135" t="s">
        <v>473</v>
      </c>
      <c r="Y2135" t="s">
        <v>473</v>
      </c>
      <c r="Z2135" t="s">
        <v>473</v>
      </c>
      <c r="AA2135" t="s">
        <v>473</v>
      </c>
      <c r="AB2135" t="s">
        <v>473</v>
      </c>
      <c r="AC2135" s="10">
        <v>3</v>
      </c>
      <c r="AD2135" s="10">
        <v>11</v>
      </c>
      <c r="AE2135" t="s">
        <v>473</v>
      </c>
    </row>
    <row r="2136" spans="1:31" x14ac:dyDescent="0.25">
      <c r="A2136">
        <v>4369</v>
      </c>
      <c r="B2136">
        <v>1957</v>
      </c>
      <c r="C2136" t="s">
        <v>36</v>
      </c>
      <c r="D2136" t="s">
        <v>437</v>
      </c>
      <c r="E2136" t="str">
        <f>IF(OR(Table1[[#This Row],[marital_status]]="Married", Table1[[#This Row],[marital_status]]="Together"), "Partnered", "Single")</f>
        <v>Single</v>
      </c>
      <c r="F2136" s="7">
        <v>65487</v>
      </c>
      <c r="G2136" s="8">
        <v>0</v>
      </c>
      <c r="H2136" s="8">
        <v>0</v>
      </c>
      <c r="I2136" s="8">
        <f>Table1[[#This Row],[kids]]+Table1[[#This Row],[teens]]</f>
        <v>0</v>
      </c>
      <c r="J2136" s="9">
        <v>41649</v>
      </c>
      <c r="K2136" s="8">
        <v>48</v>
      </c>
      <c r="L2136" s="6">
        <v>240</v>
      </c>
      <c r="M2136" s="5">
        <v>67</v>
      </c>
      <c r="N2136" s="5">
        <v>500</v>
      </c>
      <c r="O2136" s="5">
        <v>199</v>
      </c>
      <c r="P2136" s="5">
        <v>0</v>
      </c>
      <c r="Q2136" s="5">
        <v>163</v>
      </c>
      <c r="R2136" s="8">
        <v>3</v>
      </c>
      <c r="S2136" s="8">
        <v>3</v>
      </c>
      <c r="T2136" s="8">
        <v>5</v>
      </c>
      <c r="U2136" s="8">
        <v>6</v>
      </c>
      <c r="V2136" s="8">
        <v>2</v>
      </c>
      <c r="W2136" t="s">
        <v>473</v>
      </c>
      <c r="X2136" t="s">
        <v>473</v>
      </c>
      <c r="Y2136" t="s">
        <v>473</v>
      </c>
      <c r="Z2136" t="s">
        <v>473</v>
      </c>
      <c r="AA2136" t="s">
        <v>473</v>
      </c>
      <c r="AB2136" t="s">
        <v>473</v>
      </c>
      <c r="AC2136" s="10">
        <v>3</v>
      </c>
      <c r="AD2136" s="10">
        <v>11</v>
      </c>
      <c r="AE2136" t="s">
        <v>473</v>
      </c>
    </row>
    <row r="2137" spans="1:31" x14ac:dyDescent="0.25">
      <c r="A2137">
        <v>10127</v>
      </c>
      <c r="B2137">
        <v>1965</v>
      </c>
      <c r="C2137" t="s">
        <v>466</v>
      </c>
      <c r="D2137" t="s">
        <v>34</v>
      </c>
      <c r="E2137" t="str">
        <f>IF(OR(Table1[[#This Row],[marital_status]]="Married", Table1[[#This Row],[marital_status]]="Together"), "Partnered", "Single")</f>
        <v>Partnered</v>
      </c>
      <c r="F2137" s="7">
        <v>58692</v>
      </c>
      <c r="G2137" s="8">
        <v>0</v>
      </c>
      <c r="H2137" s="8">
        <v>1</v>
      </c>
      <c r="I2137" s="8">
        <f>Table1[[#This Row],[kids]]+Table1[[#This Row],[teens]]</f>
        <v>1</v>
      </c>
      <c r="J2137" s="9">
        <v>41735</v>
      </c>
      <c r="K2137" s="8">
        <v>21</v>
      </c>
      <c r="L2137" s="6">
        <v>301</v>
      </c>
      <c r="M2137" s="5">
        <v>11</v>
      </c>
      <c r="N2137" s="5">
        <v>61</v>
      </c>
      <c r="O2137" s="5">
        <v>4</v>
      </c>
      <c r="P2137" s="5">
        <v>7</v>
      </c>
      <c r="Q2137" s="5">
        <v>11</v>
      </c>
      <c r="R2137" s="8">
        <v>1</v>
      </c>
      <c r="S2137" s="8">
        <v>8</v>
      </c>
      <c r="T2137" s="8">
        <v>2</v>
      </c>
      <c r="U2137" s="8">
        <v>4</v>
      </c>
      <c r="V2137" s="8">
        <v>7</v>
      </c>
      <c r="W2137" t="s">
        <v>473</v>
      </c>
      <c r="X2137" t="s">
        <v>473</v>
      </c>
      <c r="Y2137" t="s">
        <v>473</v>
      </c>
      <c r="Z2137" t="s">
        <v>473</v>
      </c>
      <c r="AA2137" t="s">
        <v>473</v>
      </c>
      <c r="AB2137" t="s">
        <v>473</v>
      </c>
      <c r="AC2137" s="10">
        <v>3</v>
      </c>
      <c r="AD2137" s="10">
        <v>11</v>
      </c>
      <c r="AE2137" t="s">
        <v>473</v>
      </c>
    </row>
    <row r="2138" spans="1:31" x14ac:dyDescent="0.25">
      <c r="A2138">
        <v>271</v>
      </c>
      <c r="B2138">
        <v>1969</v>
      </c>
      <c r="C2138" t="s">
        <v>466</v>
      </c>
      <c r="D2138" t="s">
        <v>57</v>
      </c>
      <c r="E2138" t="str">
        <f>IF(OR(Table1[[#This Row],[marital_status]]="Married", Table1[[#This Row],[marital_status]]="Together"), "Partnered", "Single")</f>
        <v>Single</v>
      </c>
      <c r="F2138" s="7">
        <v>40590</v>
      </c>
      <c r="G2138" s="8">
        <v>1</v>
      </c>
      <c r="H2138" s="8">
        <v>1</v>
      </c>
      <c r="I2138" s="8">
        <f>Table1[[#This Row],[kids]]+Table1[[#This Row],[teens]]</f>
        <v>2</v>
      </c>
      <c r="J2138" s="9">
        <v>41549</v>
      </c>
      <c r="K2138" s="8">
        <v>30</v>
      </c>
      <c r="L2138" s="6">
        <v>154</v>
      </c>
      <c r="M2138" s="5">
        <v>0</v>
      </c>
      <c r="N2138" s="5">
        <v>50</v>
      </c>
      <c r="O2138" s="5">
        <v>6</v>
      </c>
      <c r="P2138" s="5">
        <v>11</v>
      </c>
      <c r="Q2138" s="5">
        <v>37</v>
      </c>
      <c r="R2138" s="8">
        <v>5</v>
      </c>
      <c r="S2138" s="8">
        <v>3</v>
      </c>
      <c r="T2138" s="8">
        <v>4</v>
      </c>
      <c r="U2138" s="8">
        <v>3</v>
      </c>
      <c r="V2138" s="8">
        <v>6</v>
      </c>
      <c r="W2138" t="s">
        <v>474</v>
      </c>
      <c r="X2138" t="s">
        <v>473</v>
      </c>
      <c r="Y2138" t="s">
        <v>473</v>
      </c>
      <c r="Z2138" t="s">
        <v>473</v>
      </c>
      <c r="AA2138" t="s">
        <v>473</v>
      </c>
      <c r="AB2138" t="s">
        <v>473</v>
      </c>
      <c r="AC2138" s="10">
        <v>3</v>
      </c>
      <c r="AD2138" s="10">
        <v>11</v>
      </c>
      <c r="AE2138" t="s">
        <v>473</v>
      </c>
    </row>
    <row r="2139" spans="1:31" x14ac:dyDescent="0.25">
      <c r="A2139">
        <v>4973</v>
      </c>
      <c r="B2139">
        <v>1970</v>
      </c>
      <c r="C2139" t="s">
        <v>466</v>
      </c>
      <c r="D2139" t="s">
        <v>30</v>
      </c>
      <c r="E2139" t="str">
        <f>IF(OR(Table1[[#This Row],[marital_status]]="Married", Table1[[#This Row],[marital_status]]="Together"), "Partnered", "Single")</f>
        <v>Single</v>
      </c>
      <c r="F2139" s="7">
        <v>20587</v>
      </c>
      <c r="G2139" s="8">
        <v>1</v>
      </c>
      <c r="H2139" s="8">
        <v>0</v>
      </c>
      <c r="I2139" s="8">
        <f>Table1[[#This Row],[kids]]+Table1[[#This Row],[teens]]</f>
        <v>1</v>
      </c>
      <c r="J2139" s="9">
        <v>41770</v>
      </c>
      <c r="K2139" s="8">
        <v>39</v>
      </c>
      <c r="L2139" s="6">
        <v>2</v>
      </c>
      <c r="M2139" s="5">
        <v>3</v>
      </c>
      <c r="N2139" s="5">
        <v>6</v>
      </c>
      <c r="O2139" s="5">
        <v>4</v>
      </c>
      <c r="P2139" s="5">
        <v>1</v>
      </c>
      <c r="Q2139" s="5">
        <v>9</v>
      </c>
      <c r="R2139" s="8">
        <v>1</v>
      </c>
      <c r="S2139" s="8">
        <v>1</v>
      </c>
      <c r="T2139" s="8">
        <v>1</v>
      </c>
      <c r="U2139" s="8">
        <v>2</v>
      </c>
      <c r="V2139" s="8">
        <v>7</v>
      </c>
      <c r="W2139" t="s">
        <v>473</v>
      </c>
      <c r="X2139" t="s">
        <v>473</v>
      </c>
      <c r="Y2139" t="s">
        <v>473</v>
      </c>
      <c r="Z2139" t="s">
        <v>473</v>
      </c>
      <c r="AA2139" t="s">
        <v>473</v>
      </c>
      <c r="AB2139" t="s">
        <v>473</v>
      </c>
      <c r="AC2139" s="10">
        <v>3</v>
      </c>
      <c r="AD2139" s="10">
        <v>11</v>
      </c>
      <c r="AE2139" t="s">
        <v>473</v>
      </c>
    </row>
    <row r="2140" spans="1:31" x14ac:dyDescent="0.25">
      <c r="A2140">
        <v>2948</v>
      </c>
      <c r="B2140">
        <v>1954</v>
      </c>
      <c r="C2140" t="s">
        <v>36</v>
      </c>
      <c r="D2140" t="s">
        <v>37</v>
      </c>
      <c r="E2140" t="str">
        <f>IF(OR(Table1[[#This Row],[marital_status]]="Married", Table1[[#This Row],[marital_status]]="Together"), "Partnered", "Single")</f>
        <v>Single</v>
      </c>
      <c r="F2140" s="7">
        <v>62637</v>
      </c>
      <c r="G2140" s="8">
        <v>0</v>
      </c>
      <c r="H2140" s="8">
        <v>1</v>
      </c>
      <c r="I2140" s="8">
        <f>Table1[[#This Row],[kids]]+Table1[[#This Row],[teens]]</f>
        <v>1</v>
      </c>
      <c r="J2140" s="9">
        <v>41699</v>
      </c>
      <c r="K2140" s="8">
        <v>76</v>
      </c>
      <c r="L2140" s="6">
        <v>104</v>
      </c>
      <c r="M2140" s="5">
        <v>12</v>
      </c>
      <c r="N2140" s="5">
        <v>48</v>
      </c>
      <c r="O2140" s="5">
        <v>4</v>
      </c>
      <c r="P2140" s="5">
        <v>12</v>
      </c>
      <c r="Q2140" s="5">
        <v>5</v>
      </c>
      <c r="R2140" s="8">
        <v>1</v>
      </c>
      <c r="S2140" s="8">
        <v>2</v>
      </c>
      <c r="T2140" s="8">
        <v>2</v>
      </c>
      <c r="U2140" s="8">
        <v>5</v>
      </c>
      <c r="V2140" s="8">
        <v>2</v>
      </c>
      <c r="W2140" t="s">
        <v>473</v>
      </c>
      <c r="X2140" t="s">
        <v>473</v>
      </c>
      <c r="Y2140" t="s">
        <v>473</v>
      </c>
      <c r="Z2140" t="s">
        <v>473</v>
      </c>
      <c r="AA2140" t="s">
        <v>473</v>
      </c>
      <c r="AB2140" t="s">
        <v>473</v>
      </c>
      <c r="AC2140" s="10">
        <v>3</v>
      </c>
      <c r="AD2140" s="10">
        <v>11</v>
      </c>
      <c r="AE2140" t="s">
        <v>473</v>
      </c>
    </row>
    <row r="2141" spans="1:31" x14ac:dyDescent="0.25">
      <c r="A2141">
        <v>2715</v>
      </c>
      <c r="B2141">
        <v>1966</v>
      </c>
      <c r="C2141" t="s">
        <v>36</v>
      </c>
      <c r="D2141" t="s">
        <v>37</v>
      </c>
      <c r="E2141" t="str">
        <f>IF(OR(Table1[[#This Row],[marital_status]]="Married", Table1[[#This Row],[marital_status]]="Together"), "Partnered", "Single")</f>
        <v>Single</v>
      </c>
      <c r="F2141" s="7">
        <v>29435</v>
      </c>
      <c r="G2141" s="8">
        <v>1</v>
      </c>
      <c r="H2141" s="8">
        <v>1</v>
      </c>
      <c r="I2141" s="8">
        <f>Table1[[#This Row],[kids]]+Table1[[#This Row],[teens]]</f>
        <v>2</v>
      </c>
      <c r="J2141" s="9">
        <v>41127</v>
      </c>
      <c r="K2141" s="8">
        <v>11</v>
      </c>
      <c r="L2141" s="6">
        <v>70</v>
      </c>
      <c r="M2141" s="5">
        <v>3</v>
      </c>
      <c r="N2141" s="5">
        <v>37</v>
      </c>
      <c r="O2141" s="5">
        <v>4</v>
      </c>
      <c r="P2141" s="5">
        <v>2</v>
      </c>
      <c r="Q2141" s="5">
        <v>64</v>
      </c>
      <c r="R2141" s="8">
        <v>4</v>
      </c>
      <c r="S2141" s="8">
        <v>3</v>
      </c>
      <c r="T2141" s="8">
        <v>2</v>
      </c>
      <c r="U2141" s="8">
        <v>2</v>
      </c>
      <c r="V2141" s="8">
        <v>9</v>
      </c>
      <c r="W2141" t="s">
        <v>473</v>
      </c>
      <c r="X2141" t="s">
        <v>473</v>
      </c>
      <c r="Y2141" t="s">
        <v>473</v>
      </c>
      <c r="Z2141" t="s">
        <v>473</v>
      </c>
      <c r="AA2141" t="s">
        <v>473</v>
      </c>
      <c r="AB2141" t="s">
        <v>473</v>
      </c>
      <c r="AC2141" s="10">
        <v>3</v>
      </c>
      <c r="AD2141" s="10">
        <v>11</v>
      </c>
      <c r="AE2141" t="s">
        <v>474</v>
      </c>
    </row>
    <row r="2142" spans="1:31" x14ac:dyDescent="0.25">
      <c r="A2142">
        <v>10432</v>
      </c>
      <c r="B2142">
        <v>1974</v>
      </c>
      <c r="C2142" t="s">
        <v>466</v>
      </c>
      <c r="D2142" t="s">
        <v>37</v>
      </c>
      <c r="E2142" t="str">
        <f>IF(OR(Table1[[#This Row],[marital_status]]="Married", Table1[[#This Row],[marital_status]]="Together"), "Partnered", "Single")</f>
        <v>Single</v>
      </c>
      <c r="F2142" s="7">
        <v>19346</v>
      </c>
      <c r="G2142" s="8">
        <v>1</v>
      </c>
      <c r="H2142" s="8">
        <v>0</v>
      </c>
      <c r="I2142" s="8">
        <f>Table1[[#This Row],[kids]]+Table1[[#This Row],[teens]]</f>
        <v>1</v>
      </c>
      <c r="J2142" s="9">
        <v>41669</v>
      </c>
      <c r="K2142" s="8">
        <v>26</v>
      </c>
      <c r="L2142" s="6">
        <v>2</v>
      </c>
      <c r="M2142" s="5">
        <v>0</v>
      </c>
      <c r="N2142" s="5">
        <v>9</v>
      </c>
      <c r="O2142" s="5">
        <v>3</v>
      </c>
      <c r="P2142" s="5">
        <v>6</v>
      </c>
      <c r="Q2142" s="5">
        <v>2</v>
      </c>
      <c r="R2142" s="8">
        <v>1</v>
      </c>
      <c r="S2142" s="8">
        <v>1</v>
      </c>
      <c r="T2142" s="8">
        <v>0</v>
      </c>
      <c r="U2142" s="8">
        <v>3</v>
      </c>
      <c r="V2142" s="8">
        <v>8</v>
      </c>
      <c r="W2142" t="s">
        <v>473</v>
      </c>
      <c r="X2142" t="s">
        <v>473</v>
      </c>
      <c r="Y2142" t="s">
        <v>473</v>
      </c>
      <c r="Z2142" t="s">
        <v>473</v>
      </c>
      <c r="AA2142" t="s">
        <v>473</v>
      </c>
      <c r="AB2142" t="s">
        <v>473</v>
      </c>
      <c r="AC2142" s="10">
        <v>3</v>
      </c>
      <c r="AD2142" s="10">
        <v>11</v>
      </c>
      <c r="AE2142" t="s">
        <v>473</v>
      </c>
    </row>
    <row r="2143" spans="1:31" x14ac:dyDescent="0.25">
      <c r="A2143">
        <v>9216</v>
      </c>
      <c r="B2143">
        <v>1971</v>
      </c>
      <c r="C2143" t="s">
        <v>466</v>
      </c>
      <c r="D2143" t="s">
        <v>34</v>
      </c>
      <c r="E2143" t="str">
        <f>IF(OR(Table1[[#This Row],[marital_status]]="Married", Table1[[#This Row],[marital_status]]="Together"), "Partnered", "Single")</f>
        <v>Partnered</v>
      </c>
      <c r="F2143" s="7">
        <v>35788</v>
      </c>
      <c r="G2143" s="8">
        <v>1</v>
      </c>
      <c r="H2143" s="8">
        <v>1</v>
      </c>
      <c r="I2143" s="8">
        <f>Table1[[#This Row],[kids]]+Table1[[#This Row],[teens]]</f>
        <v>2</v>
      </c>
      <c r="J2143" s="9">
        <v>41662</v>
      </c>
      <c r="K2143" s="8">
        <v>34</v>
      </c>
      <c r="L2143" s="6">
        <v>23</v>
      </c>
      <c r="M2143" s="5">
        <v>2</v>
      </c>
      <c r="N2143" s="5">
        <v>11</v>
      </c>
      <c r="O2143" s="5">
        <v>3</v>
      </c>
      <c r="P2143" s="5">
        <v>1</v>
      </c>
      <c r="Q2143" s="5">
        <v>4</v>
      </c>
      <c r="R2143" s="8">
        <v>2</v>
      </c>
      <c r="S2143" s="8">
        <v>2</v>
      </c>
      <c r="T2143" s="8">
        <v>0</v>
      </c>
      <c r="U2143" s="8">
        <v>3</v>
      </c>
      <c r="V2143" s="8">
        <v>6</v>
      </c>
      <c r="W2143" t="s">
        <v>473</v>
      </c>
      <c r="X2143" t="s">
        <v>473</v>
      </c>
      <c r="Y2143" t="s">
        <v>473</v>
      </c>
      <c r="Z2143" t="s">
        <v>473</v>
      </c>
      <c r="AA2143" t="s">
        <v>473</v>
      </c>
      <c r="AB2143" t="s">
        <v>473</v>
      </c>
      <c r="AC2143" s="10">
        <v>3</v>
      </c>
      <c r="AD2143" s="10">
        <v>11</v>
      </c>
      <c r="AE2143" t="s">
        <v>473</v>
      </c>
    </row>
    <row r="2144" spans="1:31" x14ac:dyDescent="0.25">
      <c r="A2144">
        <v>7124</v>
      </c>
      <c r="B2144">
        <v>1968</v>
      </c>
      <c r="C2144" t="s">
        <v>466</v>
      </c>
      <c r="D2144" t="s">
        <v>37</v>
      </c>
      <c r="E2144" t="str">
        <f>IF(OR(Table1[[#This Row],[marital_status]]="Married", Table1[[#This Row],[marital_status]]="Together"), "Partnered", "Single")</f>
        <v>Single</v>
      </c>
      <c r="F2144" s="7">
        <v>36997</v>
      </c>
      <c r="G2144" s="8">
        <v>1</v>
      </c>
      <c r="H2144" s="8">
        <v>1</v>
      </c>
      <c r="I2144" s="8">
        <f>Table1[[#This Row],[kids]]+Table1[[#This Row],[teens]]</f>
        <v>2</v>
      </c>
      <c r="J2144" s="9">
        <v>41306</v>
      </c>
      <c r="K2144" s="8">
        <v>72</v>
      </c>
      <c r="L2144" s="6">
        <v>43</v>
      </c>
      <c r="M2144" s="5">
        <v>4</v>
      </c>
      <c r="N2144" s="5">
        <v>12</v>
      </c>
      <c r="O2144" s="5">
        <v>8</v>
      </c>
      <c r="P2144" s="5">
        <v>0</v>
      </c>
      <c r="Q2144" s="5">
        <v>27</v>
      </c>
      <c r="R2144" s="8">
        <v>5</v>
      </c>
      <c r="S2144" s="8">
        <v>2</v>
      </c>
      <c r="T2144" s="8">
        <v>1</v>
      </c>
      <c r="U2144" s="8">
        <v>4</v>
      </c>
      <c r="V2144" s="8">
        <v>5</v>
      </c>
      <c r="W2144" t="s">
        <v>473</v>
      </c>
      <c r="X2144" t="s">
        <v>473</v>
      </c>
      <c r="Y2144" t="s">
        <v>473</v>
      </c>
      <c r="Z2144" t="s">
        <v>473</v>
      </c>
      <c r="AA2144" t="s">
        <v>473</v>
      </c>
      <c r="AB2144" t="s">
        <v>473</v>
      </c>
      <c r="AC2144" s="10">
        <v>3</v>
      </c>
      <c r="AD2144" s="10">
        <v>11</v>
      </c>
      <c r="AE2144" t="s">
        <v>473</v>
      </c>
    </row>
    <row r="2145" spans="1:31" x14ac:dyDescent="0.25">
      <c r="A2145">
        <v>9727</v>
      </c>
      <c r="B2145">
        <v>1957</v>
      </c>
      <c r="C2145" t="s">
        <v>466</v>
      </c>
      <c r="D2145" t="s">
        <v>34</v>
      </c>
      <c r="E2145" t="str">
        <f>IF(OR(Table1[[#This Row],[marital_status]]="Married", Table1[[#This Row],[marital_status]]="Together"), "Partnered", "Single")</f>
        <v>Partnered</v>
      </c>
      <c r="F2145" s="7">
        <v>23539</v>
      </c>
      <c r="G2145" s="8">
        <v>0</v>
      </c>
      <c r="H2145" s="8">
        <v>0</v>
      </c>
      <c r="I2145" s="8">
        <f>Table1[[#This Row],[kids]]+Table1[[#This Row],[teens]]</f>
        <v>0</v>
      </c>
      <c r="J2145" s="9">
        <v>41698</v>
      </c>
      <c r="K2145" s="8">
        <v>13</v>
      </c>
      <c r="L2145" s="6">
        <v>4</v>
      </c>
      <c r="M2145" s="5">
        <v>24</v>
      </c>
      <c r="N2145" s="5">
        <v>11</v>
      </c>
      <c r="O2145" s="5">
        <v>16</v>
      </c>
      <c r="P2145" s="5">
        <v>1</v>
      </c>
      <c r="Q2145" s="5">
        <v>25</v>
      </c>
      <c r="R2145" s="8">
        <v>1</v>
      </c>
      <c r="S2145" s="8">
        <v>2</v>
      </c>
      <c r="T2145" s="8">
        <v>0</v>
      </c>
      <c r="U2145" s="8">
        <v>4</v>
      </c>
      <c r="V2145" s="8">
        <v>6</v>
      </c>
      <c r="W2145" t="s">
        <v>473</v>
      </c>
      <c r="X2145" t="s">
        <v>473</v>
      </c>
      <c r="Y2145" t="s">
        <v>473</v>
      </c>
      <c r="Z2145" t="s">
        <v>473</v>
      </c>
      <c r="AA2145" t="s">
        <v>473</v>
      </c>
      <c r="AB2145" t="s">
        <v>473</v>
      </c>
      <c r="AC2145" s="10">
        <v>3</v>
      </c>
      <c r="AD2145" s="10">
        <v>11</v>
      </c>
      <c r="AE2145" t="s">
        <v>473</v>
      </c>
    </row>
    <row r="2146" spans="1:31" x14ac:dyDescent="0.25">
      <c r="A2146">
        <v>5136</v>
      </c>
      <c r="B2146">
        <v>1973</v>
      </c>
      <c r="C2146" t="s">
        <v>466</v>
      </c>
      <c r="D2146" t="s">
        <v>30</v>
      </c>
      <c r="E2146" t="str">
        <f>IF(OR(Table1[[#This Row],[marital_status]]="Married", Table1[[#This Row],[marital_status]]="Together"), "Partnered", "Single")</f>
        <v>Single</v>
      </c>
      <c r="F2146" s="7">
        <v>65333</v>
      </c>
      <c r="G2146" s="8">
        <v>0</v>
      </c>
      <c r="H2146" s="8">
        <v>1</v>
      </c>
      <c r="I2146" s="8">
        <f>Table1[[#This Row],[kids]]+Table1[[#This Row],[teens]]</f>
        <v>1</v>
      </c>
      <c r="J2146" s="9">
        <v>41656</v>
      </c>
      <c r="K2146" s="8">
        <v>58</v>
      </c>
      <c r="L2146" s="6">
        <v>654</v>
      </c>
      <c r="M2146" s="5">
        <v>7</v>
      </c>
      <c r="N2146" s="5">
        <v>92</v>
      </c>
      <c r="O2146" s="5">
        <v>0</v>
      </c>
      <c r="P2146" s="5">
        <v>15</v>
      </c>
      <c r="Q2146" s="5">
        <v>30</v>
      </c>
      <c r="R2146" s="8">
        <v>7</v>
      </c>
      <c r="S2146" s="8">
        <v>9</v>
      </c>
      <c r="T2146" s="8">
        <v>4</v>
      </c>
      <c r="U2146" s="8">
        <v>8</v>
      </c>
      <c r="V2146" s="8">
        <v>6</v>
      </c>
      <c r="W2146" t="s">
        <v>473</v>
      </c>
      <c r="X2146" t="s">
        <v>474</v>
      </c>
      <c r="Y2146" t="s">
        <v>474</v>
      </c>
      <c r="Z2146" t="s">
        <v>473</v>
      </c>
      <c r="AA2146" t="s">
        <v>473</v>
      </c>
      <c r="AB2146" t="s">
        <v>473</v>
      </c>
      <c r="AC2146" s="10">
        <v>3</v>
      </c>
      <c r="AD2146" s="10">
        <v>11</v>
      </c>
      <c r="AE2146" t="s">
        <v>473</v>
      </c>
    </row>
    <row r="2147" spans="1:31" x14ac:dyDescent="0.25">
      <c r="A2147">
        <v>9790</v>
      </c>
      <c r="B2147">
        <v>1957</v>
      </c>
      <c r="C2147" t="s">
        <v>466</v>
      </c>
      <c r="D2147" t="s">
        <v>30</v>
      </c>
      <c r="E2147" t="str">
        <f>IF(OR(Table1[[#This Row],[marital_status]]="Married", Table1[[#This Row],[marital_status]]="Together"), "Partnered", "Single")</f>
        <v>Single</v>
      </c>
      <c r="F2147" s="7">
        <v>78499</v>
      </c>
      <c r="G2147" s="8">
        <v>0</v>
      </c>
      <c r="H2147" s="8">
        <v>0</v>
      </c>
      <c r="I2147" s="8">
        <f>Table1[[#This Row],[kids]]+Table1[[#This Row],[teens]]</f>
        <v>0</v>
      </c>
      <c r="J2147" s="9">
        <v>41601</v>
      </c>
      <c r="K2147" s="8">
        <v>12</v>
      </c>
      <c r="L2147" s="6">
        <v>912</v>
      </c>
      <c r="M2147" s="5">
        <v>72</v>
      </c>
      <c r="N2147" s="5">
        <v>170</v>
      </c>
      <c r="O2147" s="5">
        <v>47</v>
      </c>
      <c r="P2147" s="5">
        <v>36</v>
      </c>
      <c r="Q2147" s="5">
        <v>97</v>
      </c>
      <c r="R2147" s="8">
        <v>1</v>
      </c>
      <c r="S2147" s="8">
        <v>11</v>
      </c>
      <c r="T2147" s="8">
        <v>3</v>
      </c>
      <c r="U2147" s="8">
        <v>4</v>
      </c>
      <c r="V2147" s="8">
        <v>4</v>
      </c>
      <c r="W2147" t="s">
        <v>473</v>
      </c>
      <c r="X2147" t="s">
        <v>473</v>
      </c>
      <c r="Y2147" t="s">
        <v>474</v>
      </c>
      <c r="Z2147" t="s">
        <v>473</v>
      </c>
      <c r="AA2147" t="s">
        <v>473</v>
      </c>
      <c r="AB2147" t="s">
        <v>473</v>
      </c>
      <c r="AC2147" s="10">
        <v>3</v>
      </c>
      <c r="AD2147" s="10">
        <v>11</v>
      </c>
      <c r="AE2147" t="s">
        <v>474</v>
      </c>
    </row>
    <row r="2148" spans="1:31" x14ac:dyDescent="0.25">
      <c r="A2148">
        <v>1818</v>
      </c>
      <c r="B2148">
        <v>1971</v>
      </c>
      <c r="C2148" t="s">
        <v>33</v>
      </c>
      <c r="D2148" t="s">
        <v>31</v>
      </c>
      <c r="E2148" t="str">
        <f>IF(OR(Table1[[#This Row],[marital_status]]="Married", Table1[[#This Row],[marital_status]]="Together"), "Partnered", "Single")</f>
        <v>Partnered</v>
      </c>
      <c r="F2148" s="7">
        <v>29732</v>
      </c>
      <c r="G2148" s="8">
        <v>1</v>
      </c>
      <c r="H2148" s="8">
        <v>0</v>
      </c>
      <c r="I2148" s="8">
        <f>Table1[[#This Row],[kids]]+Table1[[#This Row],[teens]]</f>
        <v>1</v>
      </c>
      <c r="J2148" s="9">
        <v>41723</v>
      </c>
      <c r="K2148" s="8">
        <v>23</v>
      </c>
      <c r="L2148" s="6">
        <v>25</v>
      </c>
      <c r="M2148" s="5">
        <v>0</v>
      </c>
      <c r="N2148" s="5">
        <v>8</v>
      </c>
      <c r="O2148" s="5">
        <v>0</v>
      </c>
      <c r="P2148" s="5">
        <v>1</v>
      </c>
      <c r="Q2148" s="5">
        <v>4</v>
      </c>
      <c r="R2148" s="8">
        <v>1</v>
      </c>
      <c r="S2148" s="8">
        <v>2</v>
      </c>
      <c r="T2148" s="8">
        <v>0</v>
      </c>
      <c r="U2148" s="8">
        <v>2</v>
      </c>
      <c r="V2148" s="8">
        <v>9</v>
      </c>
      <c r="W2148" t="s">
        <v>473</v>
      </c>
      <c r="X2148" t="s">
        <v>473</v>
      </c>
      <c r="Y2148" t="s">
        <v>473</v>
      </c>
      <c r="Z2148" t="s">
        <v>473</v>
      </c>
      <c r="AA2148" t="s">
        <v>473</v>
      </c>
      <c r="AB2148" t="s">
        <v>473</v>
      </c>
      <c r="AC2148" s="10">
        <v>3</v>
      </c>
      <c r="AD2148" s="10">
        <v>11</v>
      </c>
      <c r="AE2148" t="s">
        <v>473</v>
      </c>
    </row>
    <row r="2149" spans="1:31" x14ac:dyDescent="0.25">
      <c r="A2149">
        <v>1100</v>
      </c>
      <c r="B2149">
        <v>1960</v>
      </c>
      <c r="C2149" t="s">
        <v>36</v>
      </c>
      <c r="D2149" t="s">
        <v>31</v>
      </c>
      <c r="E2149" t="str">
        <f>IF(OR(Table1[[#This Row],[marital_status]]="Married", Table1[[#This Row],[marital_status]]="Together"), "Partnered", "Single")</f>
        <v>Partnered</v>
      </c>
      <c r="F2149" s="7">
        <v>41275</v>
      </c>
      <c r="G2149" s="8">
        <v>1</v>
      </c>
      <c r="H2149" s="8">
        <v>2</v>
      </c>
      <c r="I2149" s="8">
        <f>Table1[[#This Row],[kids]]+Table1[[#This Row],[teens]]</f>
        <v>3</v>
      </c>
      <c r="J2149" s="9">
        <v>41722</v>
      </c>
      <c r="K2149" s="8">
        <v>33</v>
      </c>
      <c r="L2149" s="6">
        <v>24</v>
      </c>
      <c r="M2149" s="5">
        <v>4</v>
      </c>
      <c r="N2149" s="5">
        <v>22</v>
      </c>
      <c r="O2149" s="5">
        <v>0</v>
      </c>
      <c r="P2149" s="5">
        <v>2</v>
      </c>
      <c r="Q2149" s="5">
        <v>9</v>
      </c>
      <c r="R2149" s="8">
        <v>4</v>
      </c>
      <c r="S2149" s="8">
        <v>3</v>
      </c>
      <c r="T2149" s="8">
        <v>1</v>
      </c>
      <c r="U2149" s="8">
        <v>3</v>
      </c>
      <c r="V2149" s="8">
        <v>5</v>
      </c>
      <c r="W2149" t="s">
        <v>473</v>
      </c>
      <c r="X2149" t="s">
        <v>473</v>
      </c>
      <c r="Y2149" t="s">
        <v>473</v>
      </c>
      <c r="Z2149" t="s">
        <v>473</v>
      </c>
      <c r="AA2149" t="s">
        <v>473</v>
      </c>
      <c r="AB2149" t="s">
        <v>473</v>
      </c>
      <c r="AC2149" s="10">
        <v>3</v>
      </c>
      <c r="AD2149" s="10">
        <v>11</v>
      </c>
      <c r="AE2149" t="s">
        <v>473</v>
      </c>
    </row>
    <row r="2150" spans="1:31" x14ac:dyDescent="0.25">
      <c r="A2150">
        <v>7873</v>
      </c>
      <c r="B2150">
        <v>1973</v>
      </c>
      <c r="C2150" t="s">
        <v>33</v>
      </c>
      <c r="D2150" t="s">
        <v>31</v>
      </c>
      <c r="E2150" t="str">
        <f>IF(OR(Table1[[#This Row],[marital_status]]="Married", Table1[[#This Row],[marital_status]]="Together"), "Partnered", "Single")</f>
        <v>Partnered</v>
      </c>
      <c r="F2150" s="7">
        <v>63516</v>
      </c>
      <c r="G2150" s="8">
        <v>1</v>
      </c>
      <c r="H2150" s="8">
        <v>1</v>
      </c>
      <c r="I2150" s="8">
        <f>Table1[[#This Row],[kids]]+Table1[[#This Row],[teens]]</f>
        <v>2</v>
      </c>
      <c r="J2150" s="9">
        <v>41461</v>
      </c>
      <c r="K2150" s="8">
        <v>30</v>
      </c>
      <c r="L2150" s="6">
        <v>141</v>
      </c>
      <c r="M2150" s="5">
        <v>11</v>
      </c>
      <c r="N2150" s="5">
        <v>114</v>
      </c>
      <c r="O2150" s="5">
        <v>15</v>
      </c>
      <c r="P2150" s="5">
        <v>14</v>
      </c>
      <c r="Q2150" s="5">
        <v>5</v>
      </c>
      <c r="R2150" s="8">
        <v>4</v>
      </c>
      <c r="S2150" s="8">
        <v>4</v>
      </c>
      <c r="T2150" s="8">
        <v>1</v>
      </c>
      <c r="U2150" s="8">
        <v>7</v>
      </c>
      <c r="V2150" s="8">
        <v>5</v>
      </c>
      <c r="W2150" t="s">
        <v>473</v>
      </c>
      <c r="X2150" t="s">
        <v>473</v>
      </c>
      <c r="Y2150" t="s">
        <v>473</v>
      </c>
      <c r="Z2150" t="s">
        <v>473</v>
      </c>
      <c r="AA2150" t="s">
        <v>473</v>
      </c>
      <c r="AB2150" t="s">
        <v>473</v>
      </c>
      <c r="AC2150" s="10">
        <v>3</v>
      </c>
      <c r="AD2150" s="10">
        <v>11</v>
      </c>
      <c r="AE2150" t="s">
        <v>473</v>
      </c>
    </row>
    <row r="2151" spans="1:31" x14ac:dyDescent="0.25">
      <c r="A2151">
        <v>10609</v>
      </c>
      <c r="B2151">
        <v>1962</v>
      </c>
      <c r="C2151" t="s">
        <v>33</v>
      </c>
      <c r="D2151" t="s">
        <v>34</v>
      </c>
      <c r="E2151" t="str">
        <f>IF(OR(Table1[[#This Row],[marital_status]]="Married", Table1[[#This Row],[marital_status]]="Together"), "Partnered", "Single")</f>
        <v>Partnered</v>
      </c>
      <c r="F2151" s="7">
        <v>42769</v>
      </c>
      <c r="G2151" s="8">
        <v>0</v>
      </c>
      <c r="H2151" s="8">
        <v>1</v>
      </c>
      <c r="I2151" s="8">
        <f>Table1[[#This Row],[kids]]+Table1[[#This Row],[teens]]</f>
        <v>1</v>
      </c>
      <c r="J2151" s="9">
        <v>41559</v>
      </c>
      <c r="K2151" s="8">
        <v>15</v>
      </c>
      <c r="L2151" s="6">
        <v>71</v>
      </c>
      <c r="M2151" s="5">
        <v>0</v>
      </c>
      <c r="N2151" s="5">
        <v>13</v>
      </c>
      <c r="O2151" s="5">
        <v>3</v>
      </c>
      <c r="P2151" s="5">
        <v>1</v>
      </c>
      <c r="Q2151" s="5">
        <v>0</v>
      </c>
      <c r="R2151" s="8">
        <v>2</v>
      </c>
      <c r="S2151" s="8">
        <v>1</v>
      </c>
      <c r="T2151" s="8">
        <v>1</v>
      </c>
      <c r="U2151" s="8">
        <v>4</v>
      </c>
      <c r="V2151" s="8">
        <v>4</v>
      </c>
      <c r="W2151" t="s">
        <v>473</v>
      </c>
      <c r="X2151" t="s">
        <v>473</v>
      </c>
      <c r="Y2151" t="s">
        <v>473</v>
      </c>
      <c r="Z2151" t="s">
        <v>473</v>
      </c>
      <c r="AA2151" t="s">
        <v>473</v>
      </c>
      <c r="AB2151" t="s">
        <v>473</v>
      </c>
      <c r="AC2151" s="10">
        <v>3</v>
      </c>
      <c r="AD2151" s="10">
        <v>11</v>
      </c>
      <c r="AE2151" t="s">
        <v>473</v>
      </c>
    </row>
    <row r="2152" spans="1:31" x14ac:dyDescent="0.25">
      <c r="A2152">
        <v>6950</v>
      </c>
      <c r="B2152">
        <v>1958</v>
      </c>
      <c r="C2152" t="s">
        <v>36</v>
      </c>
      <c r="D2152" t="s">
        <v>34</v>
      </c>
      <c r="E2152" t="str">
        <f>IF(OR(Table1[[#This Row],[marital_status]]="Married", Table1[[#This Row],[marital_status]]="Together"), "Partnered", "Single")</f>
        <v>Partnered</v>
      </c>
      <c r="F2152" s="7">
        <v>49572</v>
      </c>
      <c r="G2152" s="8">
        <v>1</v>
      </c>
      <c r="H2152" s="8">
        <v>1</v>
      </c>
      <c r="I2152" s="8">
        <f>Table1[[#This Row],[kids]]+Table1[[#This Row],[teens]]</f>
        <v>2</v>
      </c>
      <c r="J2152" s="9">
        <v>41623</v>
      </c>
      <c r="K2152" s="8">
        <v>25</v>
      </c>
      <c r="L2152" s="6">
        <v>35</v>
      </c>
      <c r="M2152" s="5">
        <v>1</v>
      </c>
      <c r="N2152" s="5">
        <v>16</v>
      </c>
      <c r="O2152" s="5">
        <v>0</v>
      </c>
      <c r="P2152" s="5">
        <v>1</v>
      </c>
      <c r="Q2152" s="5">
        <v>1</v>
      </c>
      <c r="R2152" s="8">
        <v>2</v>
      </c>
      <c r="S2152" s="8">
        <v>2</v>
      </c>
      <c r="T2152" s="8">
        <v>0</v>
      </c>
      <c r="U2152" s="8">
        <v>3</v>
      </c>
      <c r="V2152" s="8">
        <v>7</v>
      </c>
      <c r="W2152" t="s">
        <v>473</v>
      </c>
      <c r="X2152" t="s">
        <v>473</v>
      </c>
      <c r="Y2152" t="s">
        <v>473</v>
      </c>
      <c r="Z2152" t="s">
        <v>473</v>
      </c>
      <c r="AA2152" t="s">
        <v>473</v>
      </c>
      <c r="AB2152" t="s">
        <v>473</v>
      </c>
      <c r="AC2152" s="10">
        <v>3</v>
      </c>
      <c r="AD2152" s="10">
        <v>11</v>
      </c>
      <c r="AE2152" t="s">
        <v>473</v>
      </c>
    </row>
    <row r="2153" spans="1:31" x14ac:dyDescent="0.25">
      <c r="A2153">
        <v>7233</v>
      </c>
      <c r="B2153">
        <v>1972</v>
      </c>
      <c r="C2153" t="s">
        <v>466</v>
      </c>
      <c r="D2153" t="s">
        <v>34</v>
      </c>
      <c r="E2153" t="str">
        <f>IF(OR(Table1[[#This Row],[marital_status]]="Married", Table1[[#This Row],[marital_status]]="Together"), "Partnered", "Single")</f>
        <v>Partnered</v>
      </c>
      <c r="F2153" s="7">
        <v>69209</v>
      </c>
      <c r="G2153" s="8">
        <v>0</v>
      </c>
      <c r="H2153" s="8">
        <v>0</v>
      </c>
      <c r="I2153" s="8">
        <f>Table1[[#This Row],[kids]]+Table1[[#This Row],[teens]]</f>
        <v>0</v>
      </c>
      <c r="J2153" s="9">
        <v>41169</v>
      </c>
      <c r="K2153" s="8">
        <v>4</v>
      </c>
      <c r="L2153" s="6">
        <v>496</v>
      </c>
      <c r="M2153" s="5">
        <v>32</v>
      </c>
      <c r="N2153" s="5">
        <v>849</v>
      </c>
      <c r="O2153" s="5">
        <v>229</v>
      </c>
      <c r="P2153" s="5">
        <v>48</v>
      </c>
      <c r="Q2153" s="5">
        <v>128</v>
      </c>
      <c r="R2153" s="8">
        <v>2</v>
      </c>
      <c r="S2153" s="8">
        <v>5</v>
      </c>
      <c r="T2153" s="8">
        <v>3</v>
      </c>
      <c r="U2153" s="8">
        <v>6</v>
      </c>
      <c r="V2153" s="8">
        <v>4</v>
      </c>
      <c r="W2153" t="s">
        <v>473</v>
      </c>
      <c r="X2153" t="s">
        <v>473</v>
      </c>
      <c r="Y2153" t="s">
        <v>473</v>
      </c>
      <c r="Z2153" t="s">
        <v>474</v>
      </c>
      <c r="AA2153" t="s">
        <v>473</v>
      </c>
      <c r="AB2153" t="s">
        <v>473</v>
      </c>
      <c r="AC2153" s="10">
        <v>3</v>
      </c>
      <c r="AD2153" s="10">
        <v>11</v>
      </c>
      <c r="AE2153" t="s">
        <v>473</v>
      </c>
    </row>
    <row r="2154" spans="1:31" x14ac:dyDescent="0.25">
      <c r="A2154">
        <v>9481</v>
      </c>
      <c r="B2154">
        <v>1976</v>
      </c>
      <c r="C2154" t="s">
        <v>466</v>
      </c>
      <c r="D2154" t="s">
        <v>34</v>
      </c>
      <c r="E2154" t="str">
        <f>IF(OR(Table1[[#This Row],[marital_status]]="Married", Table1[[#This Row],[marital_status]]="Together"), "Partnered", "Single")</f>
        <v>Partnered</v>
      </c>
      <c r="F2154" s="7">
        <v>17148</v>
      </c>
      <c r="G2154" s="8">
        <v>1</v>
      </c>
      <c r="H2154" s="8">
        <v>0</v>
      </c>
      <c r="I2154" s="8">
        <f>Table1[[#This Row],[kids]]+Table1[[#This Row],[teens]]</f>
        <v>1</v>
      </c>
      <c r="J2154" s="9">
        <v>41667</v>
      </c>
      <c r="K2154" s="8">
        <v>80</v>
      </c>
      <c r="L2154" s="6">
        <v>9</v>
      </c>
      <c r="M2154" s="5">
        <v>9</v>
      </c>
      <c r="N2154" s="5">
        <v>11</v>
      </c>
      <c r="O2154" s="5">
        <v>13</v>
      </c>
      <c r="P2154" s="5">
        <v>10</v>
      </c>
      <c r="Q2154" s="5">
        <v>16</v>
      </c>
      <c r="R2154" s="8">
        <v>4</v>
      </c>
      <c r="S2154" s="8">
        <v>3</v>
      </c>
      <c r="T2154" s="8">
        <v>1</v>
      </c>
      <c r="U2154" s="8">
        <v>3</v>
      </c>
      <c r="V2154" s="8">
        <v>8</v>
      </c>
      <c r="W2154" t="s">
        <v>473</v>
      </c>
      <c r="X2154" t="s">
        <v>473</v>
      </c>
      <c r="Y2154" t="s">
        <v>473</v>
      </c>
      <c r="Z2154" t="s">
        <v>473</v>
      </c>
      <c r="AA2154" t="s">
        <v>473</v>
      </c>
      <c r="AB2154" t="s">
        <v>473</v>
      </c>
      <c r="AC2154" s="10">
        <v>3</v>
      </c>
      <c r="AD2154" s="10">
        <v>11</v>
      </c>
      <c r="AE2154" t="s">
        <v>473</v>
      </c>
    </row>
    <row r="2155" spans="1:31" x14ac:dyDescent="0.25">
      <c r="A2155">
        <v>7699</v>
      </c>
      <c r="B2155">
        <v>1969</v>
      </c>
      <c r="C2155" t="s">
        <v>466</v>
      </c>
      <c r="D2155" t="s">
        <v>57</v>
      </c>
      <c r="E2155" t="str">
        <f>IF(OR(Table1[[#This Row],[marital_status]]="Married", Table1[[#This Row],[marital_status]]="Together"), "Partnered", "Single")</f>
        <v>Single</v>
      </c>
      <c r="F2155" s="7">
        <v>40590</v>
      </c>
      <c r="G2155" s="8">
        <v>1</v>
      </c>
      <c r="H2155" s="8">
        <v>1</v>
      </c>
      <c r="I2155" s="8">
        <f>Table1[[#This Row],[kids]]+Table1[[#This Row],[teens]]</f>
        <v>2</v>
      </c>
      <c r="J2155" s="9">
        <v>41549</v>
      </c>
      <c r="K2155" s="8">
        <v>30</v>
      </c>
      <c r="L2155" s="6">
        <v>154</v>
      </c>
      <c r="M2155" s="5">
        <v>0</v>
      </c>
      <c r="N2155" s="5">
        <v>50</v>
      </c>
      <c r="O2155" s="5">
        <v>6</v>
      </c>
      <c r="P2155" s="5">
        <v>11</v>
      </c>
      <c r="Q2155" s="5">
        <v>37</v>
      </c>
      <c r="R2155" s="8">
        <v>5</v>
      </c>
      <c r="S2155" s="8">
        <v>3</v>
      </c>
      <c r="T2155" s="8">
        <v>4</v>
      </c>
      <c r="U2155" s="8">
        <v>3</v>
      </c>
      <c r="V2155" s="8">
        <v>6</v>
      </c>
      <c r="W2155" t="s">
        <v>474</v>
      </c>
      <c r="X2155" t="s">
        <v>473</v>
      </c>
      <c r="Y2155" t="s">
        <v>473</v>
      </c>
      <c r="Z2155" t="s">
        <v>473</v>
      </c>
      <c r="AA2155" t="s">
        <v>473</v>
      </c>
      <c r="AB2155" t="s">
        <v>473</v>
      </c>
      <c r="AC2155" s="10">
        <v>3</v>
      </c>
      <c r="AD2155" s="10">
        <v>11</v>
      </c>
      <c r="AE2155" t="s">
        <v>473</v>
      </c>
    </row>
    <row r="2156" spans="1:31" x14ac:dyDescent="0.25">
      <c r="A2156">
        <v>2711</v>
      </c>
      <c r="B2156">
        <v>1976</v>
      </c>
      <c r="C2156" t="s">
        <v>36</v>
      </c>
      <c r="D2156" t="s">
        <v>31</v>
      </c>
      <c r="E2156" t="str">
        <f>IF(OR(Table1[[#This Row],[marital_status]]="Married", Table1[[#This Row],[marital_status]]="Together"), "Partnered", "Single")</f>
        <v>Partnered</v>
      </c>
      <c r="F2156" s="7">
        <v>30560</v>
      </c>
      <c r="G2156" s="8">
        <v>1</v>
      </c>
      <c r="H2156" s="8">
        <v>0</v>
      </c>
      <c r="I2156" s="8">
        <f>Table1[[#This Row],[kids]]+Table1[[#This Row],[teens]]</f>
        <v>1</v>
      </c>
      <c r="J2156" s="9">
        <v>41452</v>
      </c>
      <c r="K2156" s="8">
        <v>6</v>
      </c>
      <c r="L2156" s="6">
        <v>9</v>
      </c>
      <c r="M2156" s="5">
        <v>1</v>
      </c>
      <c r="N2156" s="5">
        <v>5</v>
      </c>
      <c r="O2156" s="5">
        <v>4</v>
      </c>
      <c r="P2156" s="5">
        <v>5</v>
      </c>
      <c r="Q2156" s="5">
        <v>7</v>
      </c>
      <c r="R2156" s="8">
        <v>1</v>
      </c>
      <c r="S2156" s="8">
        <v>1</v>
      </c>
      <c r="T2156" s="8">
        <v>0</v>
      </c>
      <c r="U2156" s="8">
        <v>3</v>
      </c>
      <c r="V2156" s="8">
        <v>7</v>
      </c>
      <c r="W2156" t="s">
        <v>473</v>
      </c>
      <c r="X2156" t="s">
        <v>473</v>
      </c>
      <c r="Y2156" t="s">
        <v>473</v>
      </c>
      <c r="Z2156" t="s">
        <v>473</v>
      </c>
      <c r="AA2156" t="s">
        <v>473</v>
      </c>
      <c r="AB2156" t="s">
        <v>473</v>
      </c>
      <c r="AC2156" s="10">
        <v>3</v>
      </c>
      <c r="AD2156" s="10">
        <v>11</v>
      </c>
      <c r="AE2156" t="s">
        <v>473</v>
      </c>
    </row>
    <row r="2157" spans="1:31" x14ac:dyDescent="0.25">
      <c r="A2157">
        <v>8933</v>
      </c>
      <c r="B2157">
        <v>1983</v>
      </c>
      <c r="C2157" t="s">
        <v>46</v>
      </c>
      <c r="D2157" t="s">
        <v>34</v>
      </c>
      <c r="E2157" t="str">
        <f>IF(OR(Table1[[#This Row],[marital_status]]="Married", Table1[[#This Row],[marital_status]]="Together"), "Partnered", "Single")</f>
        <v>Partnered</v>
      </c>
      <c r="F2157" s="7">
        <v>32146</v>
      </c>
      <c r="G2157" s="8">
        <v>1</v>
      </c>
      <c r="H2157" s="8">
        <v>0</v>
      </c>
      <c r="I2157" s="8">
        <f>Table1[[#This Row],[kids]]+Table1[[#This Row],[teens]]</f>
        <v>1</v>
      </c>
      <c r="J2157" s="9">
        <v>41771</v>
      </c>
      <c r="K2157" s="8">
        <v>16</v>
      </c>
      <c r="L2157" s="6">
        <v>26</v>
      </c>
      <c r="M2157" s="5">
        <v>3</v>
      </c>
      <c r="N2157" s="5">
        <v>23</v>
      </c>
      <c r="O2157" s="5">
        <v>4</v>
      </c>
      <c r="P2157" s="5">
        <v>7</v>
      </c>
      <c r="Q2157" s="5">
        <v>3</v>
      </c>
      <c r="R2157" s="8">
        <v>2</v>
      </c>
      <c r="S2157" s="8">
        <v>2</v>
      </c>
      <c r="T2157" s="8">
        <v>0</v>
      </c>
      <c r="U2157" s="8">
        <v>4</v>
      </c>
      <c r="V2157" s="8">
        <v>6</v>
      </c>
      <c r="W2157" t="s">
        <v>473</v>
      </c>
      <c r="X2157" t="s">
        <v>473</v>
      </c>
      <c r="Y2157" t="s">
        <v>473</v>
      </c>
      <c r="Z2157" t="s">
        <v>473</v>
      </c>
      <c r="AA2157" t="s">
        <v>473</v>
      </c>
      <c r="AB2157" t="s">
        <v>473</v>
      </c>
      <c r="AC2157" s="10">
        <v>3</v>
      </c>
      <c r="AD2157" s="10">
        <v>11</v>
      </c>
      <c r="AE2157" t="s">
        <v>473</v>
      </c>
    </row>
    <row r="2158" spans="1:31" x14ac:dyDescent="0.25">
      <c r="A2158">
        <v>8726</v>
      </c>
      <c r="B2158">
        <v>1964</v>
      </c>
      <c r="C2158" t="s">
        <v>46</v>
      </c>
      <c r="D2158" t="s">
        <v>37</v>
      </c>
      <c r="E2158" t="str">
        <f>IF(OR(Table1[[#This Row],[marital_status]]="Married", Table1[[#This Row],[marital_status]]="Together"), "Partnered", "Single")</f>
        <v>Single</v>
      </c>
      <c r="F2158" s="7">
        <v>41713</v>
      </c>
      <c r="G2158" s="8">
        <v>1</v>
      </c>
      <c r="H2158" s="8">
        <v>1</v>
      </c>
      <c r="I2158" s="8">
        <f>Table1[[#This Row],[kids]]+Table1[[#This Row],[teens]]</f>
        <v>2</v>
      </c>
      <c r="J2158" s="9">
        <v>41758</v>
      </c>
      <c r="K2158" s="8">
        <v>57</v>
      </c>
      <c r="L2158" s="6">
        <v>77</v>
      </c>
      <c r="M2158" s="5">
        <v>8</v>
      </c>
      <c r="N2158" s="5">
        <v>44</v>
      </c>
      <c r="O2158" s="5">
        <v>10</v>
      </c>
      <c r="P2158" s="5">
        <v>10</v>
      </c>
      <c r="Q2158" s="5">
        <v>25</v>
      </c>
      <c r="R2158" s="8">
        <v>5</v>
      </c>
      <c r="S2158" s="8">
        <v>3</v>
      </c>
      <c r="T2158" s="8">
        <v>1</v>
      </c>
      <c r="U2158" s="8">
        <v>4</v>
      </c>
      <c r="V2158" s="8">
        <v>6</v>
      </c>
      <c r="W2158" t="s">
        <v>473</v>
      </c>
      <c r="X2158" t="s">
        <v>473</v>
      </c>
      <c r="Y2158" t="s">
        <v>473</v>
      </c>
      <c r="Z2158" t="s">
        <v>473</v>
      </c>
      <c r="AA2158" t="s">
        <v>473</v>
      </c>
      <c r="AB2158" t="s">
        <v>473</v>
      </c>
      <c r="AC2158" s="10">
        <v>3</v>
      </c>
      <c r="AD2158" s="10">
        <v>11</v>
      </c>
      <c r="AE2158" t="s">
        <v>473</v>
      </c>
    </row>
    <row r="2159" spans="1:31" x14ac:dyDescent="0.25">
      <c r="A2159">
        <v>1515</v>
      </c>
      <c r="B2159">
        <v>1975</v>
      </c>
      <c r="C2159" t="s">
        <v>36</v>
      </c>
      <c r="D2159" t="s">
        <v>31</v>
      </c>
      <c r="E2159" t="str">
        <f>IF(OR(Table1[[#This Row],[marital_status]]="Married", Table1[[#This Row],[marital_status]]="Together"), "Partnered", "Single")</f>
        <v>Partnered</v>
      </c>
      <c r="F2159" s="7">
        <v>34176</v>
      </c>
      <c r="G2159" s="8">
        <v>0</v>
      </c>
      <c r="H2159" s="8">
        <v>1</v>
      </c>
      <c r="I2159" s="8">
        <f>Table1[[#This Row],[kids]]+Table1[[#This Row],[teens]]</f>
        <v>1</v>
      </c>
      <c r="J2159" s="9">
        <v>41661</v>
      </c>
      <c r="K2159" s="8">
        <v>9</v>
      </c>
      <c r="L2159" s="6">
        <v>11</v>
      </c>
      <c r="M2159" s="5">
        <v>2</v>
      </c>
      <c r="N2159" s="5">
        <v>7</v>
      </c>
      <c r="O2159" s="5">
        <v>4</v>
      </c>
      <c r="P2159" s="5">
        <v>2</v>
      </c>
      <c r="Q2159" s="5">
        <v>2</v>
      </c>
      <c r="R2159" s="8">
        <v>1</v>
      </c>
      <c r="S2159" s="8">
        <v>1</v>
      </c>
      <c r="T2159" s="8">
        <v>0</v>
      </c>
      <c r="U2159" s="8">
        <v>3</v>
      </c>
      <c r="V2159" s="8">
        <v>3</v>
      </c>
      <c r="W2159" t="s">
        <v>473</v>
      </c>
      <c r="X2159" t="s">
        <v>473</v>
      </c>
      <c r="Y2159" t="s">
        <v>473</v>
      </c>
      <c r="Z2159" t="s">
        <v>473</v>
      </c>
      <c r="AA2159" t="s">
        <v>473</v>
      </c>
      <c r="AB2159" t="s">
        <v>473</v>
      </c>
      <c r="AC2159" s="10">
        <v>3</v>
      </c>
      <c r="AD2159" s="10">
        <v>11</v>
      </c>
      <c r="AE2159" t="s">
        <v>473</v>
      </c>
    </row>
    <row r="2160" spans="1:31" x14ac:dyDescent="0.25">
      <c r="A2160">
        <v>5186</v>
      </c>
      <c r="B2160">
        <v>1955</v>
      </c>
      <c r="C2160" t="s">
        <v>33</v>
      </c>
      <c r="D2160" t="s">
        <v>34</v>
      </c>
      <c r="E2160" t="str">
        <f>IF(OR(Table1[[#This Row],[marital_status]]="Married", Table1[[#This Row],[marital_status]]="Together"), "Partnered", "Single")</f>
        <v>Partnered</v>
      </c>
      <c r="F2160" s="7">
        <v>58482</v>
      </c>
      <c r="G2160" s="8">
        <v>0</v>
      </c>
      <c r="H2160" s="8">
        <v>1</v>
      </c>
      <c r="I2160" s="8">
        <f>Table1[[#This Row],[kids]]+Table1[[#This Row],[teens]]</f>
        <v>1</v>
      </c>
      <c r="J2160" s="9">
        <v>41710</v>
      </c>
      <c r="K2160" s="8">
        <v>59</v>
      </c>
      <c r="L2160" s="6">
        <v>576</v>
      </c>
      <c r="M2160" s="5">
        <v>7</v>
      </c>
      <c r="N2160" s="5">
        <v>115</v>
      </c>
      <c r="O2160" s="5">
        <v>19</v>
      </c>
      <c r="P2160" s="5">
        <v>7</v>
      </c>
      <c r="Q2160" s="5">
        <v>7</v>
      </c>
      <c r="R2160" s="8">
        <v>2</v>
      </c>
      <c r="S2160" s="8">
        <v>7</v>
      </c>
      <c r="T2160" s="8">
        <v>4</v>
      </c>
      <c r="U2160" s="8">
        <v>9</v>
      </c>
      <c r="V2160" s="8">
        <v>6</v>
      </c>
      <c r="W2160" t="s">
        <v>473</v>
      </c>
      <c r="X2160" t="s">
        <v>474</v>
      </c>
      <c r="Y2160" t="s">
        <v>473</v>
      </c>
      <c r="Z2160" t="s">
        <v>473</v>
      </c>
      <c r="AA2160" t="s">
        <v>473</v>
      </c>
      <c r="AB2160" t="s">
        <v>473</v>
      </c>
      <c r="AC2160" s="10">
        <v>3</v>
      </c>
      <c r="AD2160" s="10">
        <v>11</v>
      </c>
      <c r="AE2160" t="s">
        <v>473</v>
      </c>
    </row>
    <row r="2161" spans="1:31" x14ac:dyDescent="0.25">
      <c r="A2161">
        <v>10157</v>
      </c>
      <c r="B2161">
        <v>1965</v>
      </c>
      <c r="C2161" t="s">
        <v>466</v>
      </c>
      <c r="D2161" t="s">
        <v>30</v>
      </c>
      <c r="E2161" t="str">
        <f>IF(OR(Table1[[#This Row],[marital_status]]="Married", Table1[[#This Row],[marital_status]]="Together"), "Partnered", "Single")</f>
        <v>Single</v>
      </c>
      <c r="F2161" s="7">
        <v>59686</v>
      </c>
      <c r="G2161" s="8">
        <v>0</v>
      </c>
      <c r="H2161" s="8">
        <v>1</v>
      </c>
      <c r="I2161" s="8">
        <f>Table1[[#This Row],[kids]]+Table1[[#This Row],[teens]]</f>
        <v>1</v>
      </c>
      <c r="J2161" s="9">
        <v>41664</v>
      </c>
      <c r="K2161" s="8">
        <v>78</v>
      </c>
      <c r="L2161" s="6">
        <v>89</v>
      </c>
      <c r="M2161" s="5">
        <v>15</v>
      </c>
      <c r="N2161" s="5">
        <v>89</v>
      </c>
      <c r="O2161" s="5">
        <v>34</v>
      </c>
      <c r="P2161" s="5">
        <v>42</v>
      </c>
      <c r="Q2161" s="5">
        <v>5</v>
      </c>
      <c r="R2161" s="8">
        <v>1</v>
      </c>
      <c r="S2161" s="8">
        <v>4</v>
      </c>
      <c r="T2161" s="8">
        <v>1</v>
      </c>
      <c r="U2161" s="8">
        <v>6</v>
      </c>
      <c r="V2161" s="8">
        <v>4</v>
      </c>
      <c r="W2161" t="s">
        <v>473</v>
      </c>
      <c r="X2161" t="s">
        <v>473</v>
      </c>
      <c r="Y2161" t="s">
        <v>473</v>
      </c>
      <c r="Z2161" t="s">
        <v>473</v>
      </c>
      <c r="AA2161" t="s">
        <v>473</v>
      </c>
      <c r="AB2161" t="s">
        <v>473</v>
      </c>
      <c r="AC2161" s="10">
        <v>3</v>
      </c>
      <c r="AD2161" s="10">
        <v>11</v>
      </c>
      <c r="AE2161" t="s">
        <v>473</v>
      </c>
    </row>
    <row r="2162" spans="1:31" x14ac:dyDescent="0.25">
      <c r="A2162">
        <v>5667</v>
      </c>
      <c r="B2162">
        <v>1964</v>
      </c>
      <c r="C2162" t="s">
        <v>33</v>
      </c>
      <c r="D2162" t="s">
        <v>34</v>
      </c>
      <c r="E2162" t="str">
        <f>IF(OR(Table1[[#This Row],[marital_status]]="Married", Table1[[#This Row],[marital_status]]="Together"), "Partnered", "Single")</f>
        <v>Partnered</v>
      </c>
      <c r="F2162" s="7">
        <v>60896</v>
      </c>
      <c r="G2162" s="8">
        <v>0</v>
      </c>
      <c r="H2162" s="8">
        <v>1</v>
      </c>
      <c r="I2162" s="8">
        <f>Table1[[#This Row],[kids]]+Table1[[#This Row],[teens]]</f>
        <v>1</v>
      </c>
      <c r="J2162" s="9">
        <v>41193</v>
      </c>
      <c r="K2162" s="8">
        <v>90</v>
      </c>
      <c r="L2162" s="6">
        <v>1013</v>
      </c>
      <c r="M2162" s="5">
        <v>30</v>
      </c>
      <c r="N2162" s="5">
        <v>399</v>
      </c>
      <c r="O2162" s="5">
        <v>60</v>
      </c>
      <c r="P2162" s="5">
        <v>46</v>
      </c>
      <c r="Q2162" s="5">
        <v>153</v>
      </c>
      <c r="R2162" s="8">
        <v>3</v>
      </c>
      <c r="S2162" s="8">
        <v>9</v>
      </c>
      <c r="T2162" s="8">
        <v>10</v>
      </c>
      <c r="U2162" s="8">
        <v>4</v>
      </c>
      <c r="V2162" s="8">
        <v>6</v>
      </c>
      <c r="W2162" t="s">
        <v>473</v>
      </c>
      <c r="X2162" t="s">
        <v>473</v>
      </c>
      <c r="Y2162" t="s">
        <v>473</v>
      </c>
      <c r="Z2162" t="s">
        <v>473</v>
      </c>
      <c r="AA2162" t="s">
        <v>473</v>
      </c>
      <c r="AB2162" t="s">
        <v>473</v>
      </c>
      <c r="AC2162" s="10">
        <v>3</v>
      </c>
      <c r="AD2162" s="10">
        <v>11</v>
      </c>
      <c r="AE2162" t="s">
        <v>474</v>
      </c>
    </row>
    <row r="2163" spans="1:31" x14ac:dyDescent="0.25">
      <c r="A2163">
        <v>902</v>
      </c>
      <c r="B2163">
        <v>1980</v>
      </c>
      <c r="C2163" t="s">
        <v>466</v>
      </c>
      <c r="D2163" t="s">
        <v>31</v>
      </c>
      <c r="E2163" t="str">
        <f>IF(OR(Table1[[#This Row],[marital_status]]="Married", Table1[[#This Row],[marital_status]]="Together"), "Partnered", "Single")</f>
        <v>Partnered</v>
      </c>
      <c r="F2163" s="7">
        <v>62994</v>
      </c>
      <c r="G2163" s="8">
        <v>1</v>
      </c>
      <c r="H2163" s="8">
        <v>0</v>
      </c>
      <c r="I2163" s="8">
        <f>Table1[[#This Row],[kids]]+Table1[[#This Row],[teens]]</f>
        <v>1</v>
      </c>
      <c r="J2163" s="9">
        <v>41702</v>
      </c>
      <c r="K2163" s="8">
        <v>74</v>
      </c>
      <c r="L2163" s="6">
        <v>224</v>
      </c>
      <c r="M2163" s="5">
        <v>12</v>
      </c>
      <c r="N2163" s="5">
        <v>48</v>
      </c>
      <c r="O2163" s="5">
        <v>4</v>
      </c>
      <c r="P2163" s="5">
        <v>12</v>
      </c>
      <c r="Q2163" s="5">
        <v>12</v>
      </c>
      <c r="R2163" s="8">
        <v>1</v>
      </c>
      <c r="S2163" s="8">
        <v>6</v>
      </c>
      <c r="T2163" s="8">
        <v>2</v>
      </c>
      <c r="U2163" s="8">
        <v>4</v>
      </c>
      <c r="V2163" s="8">
        <v>6</v>
      </c>
      <c r="W2163" t="s">
        <v>473</v>
      </c>
      <c r="X2163" t="s">
        <v>473</v>
      </c>
      <c r="Y2163" t="s">
        <v>473</v>
      </c>
      <c r="Z2163" t="s">
        <v>473</v>
      </c>
      <c r="AA2163" t="s">
        <v>473</v>
      </c>
      <c r="AB2163" t="s">
        <v>473</v>
      </c>
      <c r="AC2163" s="10">
        <v>3</v>
      </c>
      <c r="AD2163" s="10">
        <v>11</v>
      </c>
      <c r="AE2163" t="s">
        <v>473</v>
      </c>
    </row>
    <row r="2164" spans="1:31" x14ac:dyDescent="0.25">
      <c r="A2164">
        <v>977</v>
      </c>
      <c r="B2164">
        <v>1957</v>
      </c>
      <c r="C2164" t="s">
        <v>466</v>
      </c>
      <c r="D2164" t="s">
        <v>31</v>
      </c>
      <c r="E2164" t="str">
        <f>IF(OR(Table1[[#This Row],[marital_status]]="Married", Table1[[#This Row],[marital_status]]="Together"), "Partnered", "Single")</f>
        <v>Partnered</v>
      </c>
      <c r="F2164" s="7">
        <v>47320</v>
      </c>
      <c r="G2164" s="8">
        <v>0</v>
      </c>
      <c r="H2164" s="8">
        <v>1</v>
      </c>
      <c r="I2164" s="8">
        <f>Table1[[#This Row],[kids]]+Table1[[#This Row],[teens]]</f>
        <v>1</v>
      </c>
      <c r="J2164" s="9">
        <v>41487</v>
      </c>
      <c r="K2164" s="8">
        <v>10</v>
      </c>
      <c r="L2164" s="6">
        <v>200</v>
      </c>
      <c r="M2164" s="5">
        <v>19</v>
      </c>
      <c r="N2164" s="5">
        <v>111</v>
      </c>
      <c r="O2164" s="5">
        <v>50</v>
      </c>
      <c r="P2164" s="5">
        <v>15</v>
      </c>
      <c r="Q2164" s="5">
        <v>19</v>
      </c>
      <c r="R2164" s="8">
        <v>6</v>
      </c>
      <c r="S2164" s="8">
        <v>5</v>
      </c>
      <c r="T2164" s="8">
        <v>1</v>
      </c>
      <c r="U2164" s="8">
        <v>8</v>
      </c>
      <c r="V2164" s="8">
        <v>6</v>
      </c>
      <c r="W2164" t="s">
        <v>473</v>
      </c>
      <c r="X2164" t="s">
        <v>473</v>
      </c>
      <c r="Y2164" t="s">
        <v>473</v>
      </c>
      <c r="Z2164" t="s">
        <v>473</v>
      </c>
      <c r="AA2164" t="s">
        <v>473</v>
      </c>
      <c r="AB2164" t="s">
        <v>473</v>
      </c>
      <c r="AC2164" s="10">
        <v>3</v>
      </c>
      <c r="AD2164" s="10">
        <v>11</v>
      </c>
      <c r="AE2164" t="s">
        <v>473</v>
      </c>
    </row>
    <row r="2165" spans="1:31" x14ac:dyDescent="0.25">
      <c r="A2165">
        <v>7313</v>
      </c>
      <c r="B2165">
        <v>1949</v>
      </c>
      <c r="C2165" t="s">
        <v>46</v>
      </c>
      <c r="D2165" t="s">
        <v>57</v>
      </c>
      <c r="E2165" t="str">
        <f>IF(OR(Table1[[#This Row],[marital_status]]="Married", Table1[[#This Row],[marital_status]]="Together"), "Partnered", "Single")</f>
        <v>Single</v>
      </c>
      <c r="F2165" s="7">
        <v>74859</v>
      </c>
      <c r="G2165" s="8">
        <v>0</v>
      </c>
      <c r="H2165" s="8">
        <v>0</v>
      </c>
      <c r="I2165" s="8">
        <f>Table1[[#This Row],[kids]]+Table1[[#This Row],[teens]]</f>
        <v>0</v>
      </c>
      <c r="J2165" s="9">
        <v>41428</v>
      </c>
      <c r="K2165" s="8">
        <v>63</v>
      </c>
      <c r="L2165" s="6">
        <v>570</v>
      </c>
      <c r="M2165" s="5">
        <v>73</v>
      </c>
      <c r="N2165" s="5">
        <v>614</v>
      </c>
      <c r="O2165" s="5">
        <v>133</v>
      </c>
      <c r="P2165" s="5">
        <v>102</v>
      </c>
      <c r="Q2165" s="5">
        <v>73</v>
      </c>
      <c r="R2165" s="8">
        <v>1</v>
      </c>
      <c r="S2165" s="8">
        <v>6</v>
      </c>
      <c r="T2165" s="8">
        <v>5</v>
      </c>
      <c r="U2165" s="8">
        <v>11</v>
      </c>
      <c r="V2165" s="8">
        <v>3</v>
      </c>
      <c r="W2165" t="s">
        <v>473</v>
      </c>
      <c r="X2165" t="s">
        <v>473</v>
      </c>
      <c r="Y2165" t="s">
        <v>473</v>
      </c>
      <c r="Z2165" t="s">
        <v>474</v>
      </c>
      <c r="AA2165" t="s">
        <v>473</v>
      </c>
      <c r="AB2165" t="s">
        <v>473</v>
      </c>
      <c r="AC2165" s="10">
        <v>3</v>
      </c>
      <c r="AD2165" s="10">
        <v>11</v>
      </c>
      <c r="AE2165" t="s">
        <v>473</v>
      </c>
    </row>
    <row r="2166" spans="1:31" x14ac:dyDescent="0.25">
      <c r="A2166">
        <v>7600</v>
      </c>
      <c r="B2166">
        <v>1992</v>
      </c>
      <c r="C2166" t="s">
        <v>41</v>
      </c>
      <c r="D2166" t="s">
        <v>30</v>
      </c>
      <c r="E2166" t="str">
        <f>IF(OR(Table1[[#This Row],[marital_status]]="Married", Table1[[#This Row],[marital_status]]="Together"), "Partnered", "Single")</f>
        <v>Single</v>
      </c>
      <c r="F2166" s="7">
        <v>15253</v>
      </c>
      <c r="G2166" s="8">
        <v>1</v>
      </c>
      <c r="H2166" s="8">
        <v>0</v>
      </c>
      <c r="I2166" s="8">
        <f>Table1[[#This Row],[kids]]+Table1[[#This Row],[teens]]</f>
        <v>1</v>
      </c>
      <c r="J2166" s="9">
        <v>41575</v>
      </c>
      <c r="K2166" s="8">
        <v>13</v>
      </c>
      <c r="L2166" s="6">
        <v>1</v>
      </c>
      <c r="M2166" s="5">
        <v>3</v>
      </c>
      <c r="N2166" s="5">
        <v>3</v>
      </c>
      <c r="O2166" s="5">
        <v>8</v>
      </c>
      <c r="P2166" s="5">
        <v>1</v>
      </c>
      <c r="Q2166" s="5">
        <v>13</v>
      </c>
      <c r="R2166" s="8">
        <v>2</v>
      </c>
      <c r="S2166" s="8">
        <v>1</v>
      </c>
      <c r="T2166" s="8">
        <v>0</v>
      </c>
      <c r="U2166" s="8">
        <v>3</v>
      </c>
      <c r="V2166" s="8">
        <v>7</v>
      </c>
      <c r="W2166" t="s">
        <v>473</v>
      </c>
      <c r="X2166" t="s">
        <v>473</v>
      </c>
      <c r="Y2166" t="s">
        <v>473</v>
      </c>
      <c r="Z2166" t="s">
        <v>473</v>
      </c>
      <c r="AA2166" t="s">
        <v>473</v>
      </c>
      <c r="AB2166" t="s">
        <v>473</v>
      </c>
      <c r="AC2166" s="10">
        <v>3</v>
      </c>
      <c r="AD2166" s="10">
        <v>11</v>
      </c>
      <c r="AE2166" t="s">
        <v>473</v>
      </c>
    </row>
    <row r="2167" spans="1:31" x14ac:dyDescent="0.25">
      <c r="A2167">
        <v>9706</v>
      </c>
      <c r="B2167">
        <v>1974</v>
      </c>
      <c r="C2167" t="s">
        <v>33</v>
      </c>
      <c r="D2167" t="s">
        <v>30</v>
      </c>
      <c r="E2167" t="str">
        <f>IF(OR(Table1[[#This Row],[marital_status]]="Married", Table1[[#This Row],[marital_status]]="Together"), "Partnered", "Single")</f>
        <v>Single</v>
      </c>
      <c r="F2167" s="7">
        <v>31560</v>
      </c>
      <c r="G2167" s="8">
        <v>1</v>
      </c>
      <c r="H2167" s="8">
        <v>0</v>
      </c>
      <c r="I2167" s="8">
        <f>Table1[[#This Row],[kids]]+Table1[[#This Row],[teens]]</f>
        <v>1</v>
      </c>
      <c r="J2167" s="9">
        <v>41449</v>
      </c>
      <c r="K2167" s="8">
        <v>98</v>
      </c>
      <c r="L2167" s="6">
        <v>62</v>
      </c>
      <c r="M2167" s="5">
        <v>1</v>
      </c>
      <c r="N2167" s="5">
        <v>20</v>
      </c>
      <c r="O2167" s="5">
        <v>4</v>
      </c>
      <c r="P2167" s="5">
        <v>0</v>
      </c>
      <c r="Q2167" s="5">
        <v>7</v>
      </c>
      <c r="R2167" s="8">
        <v>2</v>
      </c>
      <c r="S2167" s="8">
        <v>2</v>
      </c>
      <c r="T2167" s="8">
        <v>1</v>
      </c>
      <c r="U2167" s="8">
        <v>3</v>
      </c>
      <c r="V2167" s="8">
        <v>8</v>
      </c>
      <c r="W2167" t="s">
        <v>473</v>
      </c>
      <c r="X2167" t="s">
        <v>473</v>
      </c>
      <c r="Y2167" t="s">
        <v>473</v>
      </c>
      <c r="Z2167" t="s">
        <v>473</v>
      </c>
      <c r="AA2167" t="s">
        <v>473</v>
      </c>
      <c r="AB2167" t="s">
        <v>473</v>
      </c>
      <c r="AC2167" s="10">
        <v>3</v>
      </c>
      <c r="AD2167" s="10">
        <v>11</v>
      </c>
      <c r="AE2167" t="s">
        <v>473</v>
      </c>
    </row>
    <row r="2168" spans="1:31" x14ac:dyDescent="0.25">
      <c r="A2168">
        <v>2429</v>
      </c>
      <c r="B2168">
        <v>1954</v>
      </c>
      <c r="C2168" t="s">
        <v>466</v>
      </c>
      <c r="D2168" t="s">
        <v>37</v>
      </c>
      <c r="E2168" t="str">
        <f>IF(OR(Table1[[#This Row],[marital_status]]="Married", Table1[[#This Row],[marital_status]]="Together"), "Partnered", "Single")</f>
        <v>Single</v>
      </c>
      <c r="F2168" s="7">
        <v>72071</v>
      </c>
      <c r="G2168" s="8">
        <v>0</v>
      </c>
      <c r="H2168" s="8">
        <v>1</v>
      </c>
      <c r="I2168" s="8">
        <f>Table1[[#This Row],[kids]]+Table1[[#This Row],[teens]]</f>
        <v>1</v>
      </c>
      <c r="J2168" s="9">
        <v>41319</v>
      </c>
      <c r="K2168" s="8">
        <v>4</v>
      </c>
      <c r="L2168" s="6">
        <v>531</v>
      </c>
      <c r="M2168" s="5">
        <v>69</v>
      </c>
      <c r="N2168" s="5">
        <v>300</v>
      </c>
      <c r="O2168" s="5">
        <v>150</v>
      </c>
      <c r="P2168" s="5">
        <v>138</v>
      </c>
      <c r="Q2168" s="5">
        <v>150</v>
      </c>
      <c r="R2168" s="8">
        <v>3</v>
      </c>
      <c r="S2168" s="8">
        <v>5</v>
      </c>
      <c r="T2168" s="8">
        <v>4</v>
      </c>
      <c r="U2168" s="8">
        <v>8</v>
      </c>
      <c r="V2168" s="8">
        <v>2</v>
      </c>
      <c r="W2168" t="s">
        <v>473</v>
      </c>
      <c r="X2168" t="s">
        <v>473</v>
      </c>
      <c r="Y2168" t="s">
        <v>473</v>
      </c>
      <c r="Z2168" t="s">
        <v>473</v>
      </c>
      <c r="AA2168" t="s">
        <v>473</v>
      </c>
      <c r="AB2168" t="s">
        <v>473</v>
      </c>
      <c r="AC2168" s="10">
        <v>3</v>
      </c>
      <c r="AD2168" s="10">
        <v>11</v>
      </c>
      <c r="AE2168" t="s">
        <v>473</v>
      </c>
    </row>
    <row r="2169" spans="1:31" x14ac:dyDescent="0.25">
      <c r="A2169">
        <v>3520</v>
      </c>
      <c r="B2169">
        <v>1990</v>
      </c>
      <c r="C2169" t="s">
        <v>36</v>
      </c>
      <c r="D2169" t="s">
        <v>30</v>
      </c>
      <c r="E2169" t="str">
        <f>IF(OR(Table1[[#This Row],[marital_status]]="Married", Table1[[#This Row],[marital_status]]="Together"), "Partnered", "Single")</f>
        <v>Single</v>
      </c>
      <c r="F2169" s="7">
        <v>91172</v>
      </c>
      <c r="G2169" s="8">
        <v>0</v>
      </c>
      <c r="H2169" s="8">
        <v>0</v>
      </c>
      <c r="I2169" s="8">
        <f>Table1[[#This Row],[kids]]+Table1[[#This Row],[teens]]</f>
        <v>0</v>
      </c>
      <c r="J2169" s="9">
        <v>41360</v>
      </c>
      <c r="K2169" s="8">
        <v>94</v>
      </c>
      <c r="L2169" s="6">
        <v>162</v>
      </c>
      <c r="M2169" s="5">
        <v>28</v>
      </c>
      <c r="N2169" s="5">
        <v>818</v>
      </c>
      <c r="O2169" s="5">
        <v>0</v>
      </c>
      <c r="P2169" s="5">
        <v>28</v>
      </c>
      <c r="Q2169" s="5">
        <v>56</v>
      </c>
      <c r="R2169" s="8">
        <v>0</v>
      </c>
      <c r="S2169" s="8">
        <v>4</v>
      </c>
      <c r="T2169" s="8">
        <v>3</v>
      </c>
      <c r="U2169" s="8">
        <v>7</v>
      </c>
      <c r="V2169" s="8">
        <v>3</v>
      </c>
      <c r="W2169" t="s">
        <v>474</v>
      </c>
      <c r="X2169" t="s">
        <v>473</v>
      </c>
      <c r="Y2169" t="s">
        <v>474</v>
      </c>
      <c r="Z2169" t="s">
        <v>474</v>
      </c>
      <c r="AA2169" t="s">
        <v>474</v>
      </c>
      <c r="AB2169" t="s">
        <v>473</v>
      </c>
      <c r="AC2169" s="10">
        <v>3</v>
      </c>
      <c r="AD2169" s="10">
        <v>11</v>
      </c>
      <c r="AE2169" t="s">
        <v>474</v>
      </c>
    </row>
    <row r="2170" spans="1:31" x14ac:dyDescent="0.25">
      <c r="A2170">
        <v>10394</v>
      </c>
      <c r="B2170">
        <v>1984</v>
      </c>
      <c r="C2170" t="s">
        <v>466</v>
      </c>
      <c r="D2170" t="s">
        <v>34</v>
      </c>
      <c r="E2170" t="str">
        <f>IF(OR(Table1[[#This Row],[marital_status]]="Married", Table1[[#This Row],[marital_status]]="Together"), "Partnered", "Single")</f>
        <v>Partnered</v>
      </c>
      <c r="F2170" s="7">
        <v>90000</v>
      </c>
      <c r="G2170" s="8">
        <v>0</v>
      </c>
      <c r="H2170" s="8">
        <v>0</v>
      </c>
      <c r="I2170" s="8">
        <f>Table1[[#This Row],[kids]]+Table1[[#This Row],[teens]]</f>
        <v>0</v>
      </c>
      <c r="J2170" s="9">
        <v>41631</v>
      </c>
      <c r="K2170" s="8">
        <v>91</v>
      </c>
      <c r="L2170" s="6">
        <v>675</v>
      </c>
      <c r="M2170" s="5">
        <v>144</v>
      </c>
      <c r="N2170" s="5">
        <v>133</v>
      </c>
      <c r="O2170" s="5">
        <v>94</v>
      </c>
      <c r="P2170" s="5">
        <v>192</v>
      </c>
      <c r="Q2170" s="5">
        <v>241</v>
      </c>
      <c r="R2170" s="8">
        <v>1</v>
      </c>
      <c r="S2170" s="8">
        <v>4</v>
      </c>
      <c r="T2170" s="8">
        <v>8</v>
      </c>
      <c r="U2170" s="8">
        <v>5</v>
      </c>
      <c r="V2170" s="8">
        <v>1</v>
      </c>
      <c r="W2170" t="s">
        <v>474</v>
      </c>
      <c r="X2170" t="s">
        <v>473</v>
      </c>
      <c r="Y2170" t="s">
        <v>474</v>
      </c>
      <c r="Z2170" t="s">
        <v>474</v>
      </c>
      <c r="AA2170" t="s">
        <v>473</v>
      </c>
      <c r="AB2170" t="s">
        <v>473</v>
      </c>
      <c r="AC2170" s="10">
        <v>3</v>
      </c>
      <c r="AD2170" s="10">
        <v>11</v>
      </c>
      <c r="AE2170" t="s">
        <v>473</v>
      </c>
    </row>
    <row r="2171" spans="1:31" x14ac:dyDescent="0.25">
      <c r="A2171">
        <v>4548</v>
      </c>
      <c r="B2171">
        <v>1981</v>
      </c>
      <c r="C2171" t="s">
        <v>466</v>
      </c>
      <c r="D2171" t="s">
        <v>30</v>
      </c>
      <c r="E2171" t="str">
        <f>IF(OR(Table1[[#This Row],[marital_status]]="Married", Table1[[#This Row],[marital_status]]="Together"), "Partnered", "Single")</f>
        <v>Single</v>
      </c>
      <c r="F2171" s="7">
        <v>41967</v>
      </c>
      <c r="G2171" s="8">
        <v>1</v>
      </c>
      <c r="H2171" s="8">
        <v>1</v>
      </c>
      <c r="I2171" s="8">
        <f>Table1[[#This Row],[kids]]+Table1[[#This Row],[teens]]</f>
        <v>2</v>
      </c>
      <c r="J2171" s="9">
        <v>41601</v>
      </c>
      <c r="K2171" s="8">
        <v>66</v>
      </c>
      <c r="L2171" s="6">
        <v>23</v>
      </c>
      <c r="M2171" s="5">
        <v>4</v>
      </c>
      <c r="N2171" s="5">
        <v>10</v>
      </c>
      <c r="O2171" s="5">
        <v>0</v>
      </c>
      <c r="P2171" s="5">
        <v>2</v>
      </c>
      <c r="Q2171" s="5">
        <v>15</v>
      </c>
      <c r="R2171" s="8">
        <v>1</v>
      </c>
      <c r="S2171" s="8">
        <v>1</v>
      </c>
      <c r="T2171" s="8">
        <v>0</v>
      </c>
      <c r="U2171" s="8">
        <v>3</v>
      </c>
      <c r="V2171" s="8">
        <v>4</v>
      </c>
      <c r="W2171" t="s">
        <v>473</v>
      </c>
      <c r="X2171" t="s">
        <v>473</v>
      </c>
      <c r="Y2171" t="s">
        <v>473</v>
      </c>
      <c r="Z2171" t="s">
        <v>473</v>
      </c>
      <c r="AA2171" t="s">
        <v>473</v>
      </c>
      <c r="AB2171" t="s">
        <v>473</v>
      </c>
      <c r="AC2171" s="10">
        <v>3</v>
      </c>
      <c r="AD2171" s="10">
        <v>11</v>
      </c>
      <c r="AE2171" t="s">
        <v>473</v>
      </c>
    </row>
    <row r="2172" spans="1:31" x14ac:dyDescent="0.25">
      <c r="A2172">
        <v>9362</v>
      </c>
      <c r="B2172">
        <v>1965</v>
      </c>
      <c r="C2172" t="s">
        <v>466</v>
      </c>
      <c r="D2172" t="s">
        <v>30</v>
      </c>
      <c r="E2172" t="str">
        <f>IF(OR(Table1[[#This Row],[marital_status]]="Married", Table1[[#This Row],[marital_status]]="Together"), "Partnered", "Single")</f>
        <v>Single</v>
      </c>
      <c r="F2172" s="7">
        <v>69263</v>
      </c>
      <c r="G2172" s="8">
        <v>0</v>
      </c>
      <c r="H2172" s="8">
        <v>1</v>
      </c>
      <c r="I2172" s="8">
        <f>Table1[[#This Row],[kids]]+Table1[[#This Row],[teens]]</f>
        <v>1</v>
      </c>
      <c r="J2172" s="9">
        <v>41703</v>
      </c>
      <c r="K2172" s="8">
        <v>14</v>
      </c>
      <c r="L2172" s="6">
        <v>492</v>
      </c>
      <c r="M2172" s="5">
        <v>5</v>
      </c>
      <c r="N2172" s="5">
        <v>32</v>
      </c>
      <c r="O2172" s="5">
        <v>13</v>
      </c>
      <c r="P2172" s="5">
        <v>5</v>
      </c>
      <c r="Q2172" s="5">
        <v>21</v>
      </c>
      <c r="R2172" s="8">
        <v>1</v>
      </c>
      <c r="S2172" s="8">
        <v>9</v>
      </c>
      <c r="T2172" s="8">
        <v>1</v>
      </c>
      <c r="U2172" s="8">
        <v>7</v>
      </c>
      <c r="V2172" s="8">
        <v>6</v>
      </c>
      <c r="W2172" t="s">
        <v>473</v>
      </c>
      <c r="X2172" t="s">
        <v>474</v>
      </c>
      <c r="Y2172" t="s">
        <v>473</v>
      </c>
      <c r="Z2172" t="s">
        <v>473</v>
      </c>
      <c r="AA2172" t="s">
        <v>473</v>
      </c>
      <c r="AB2172" t="s">
        <v>473</v>
      </c>
      <c r="AC2172" s="10">
        <v>3</v>
      </c>
      <c r="AD2172" s="10">
        <v>11</v>
      </c>
      <c r="AE2172" t="s">
        <v>473</v>
      </c>
    </row>
    <row r="2173" spans="1:31" x14ac:dyDescent="0.25">
      <c r="A2173">
        <v>3968</v>
      </c>
      <c r="B2173">
        <v>1970</v>
      </c>
      <c r="C2173" t="s">
        <v>46</v>
      </c>
      <c r="D2173" t="s">
        <v>37</v>
      </c>
      <c r="E2173" t="str">
        <f>IF(OR(Table1[[#This Row],[marital_status]]="Married", Table1[[#This Row],[marital_status]]="Together"), "Partnered", "Single")</f>
        <v>Single</v>
      </c>
      <c r="F2173" s="7">
        <v>65706</v>
      </c>
      <c r="G2173" s="8">
        <v>0</v>
      </c>
      <c r="H2173" s="8">
        <v>0</v>
      </c>
      <c r="I2173" s="8">
        <f>Table1[[#This Row],[kids]]+Table1[[#This Row],[teens]]</f>
        <v>0</v>
      </c>
      <c r="J2173" s="9">
        <v>41453</v>
      </c>
      <c r="K2173" s="8">
        <v>77</v>
      </c>
      <c r="L2173" s="6">
        <v>918</v>
      </c>
      <c r="M2173" s="5">
        <v>10</v>
      </c>
      <c r="N2173" s="5">
        <v>129</v>
      </c>
      <c r="O2173" s="5">
        <v>13</v>
      </c>
      <c r="P2173" s="5">
        <v>0</v>
      </c>
      <c r="Q2173" s="5">
        <v>129</v>
      </c>
      <c r="R2173" s="8">
        <v>1</v>
      </c>
      <c r="S2173" s="8">
        <v>11</v>
      </c>
      <c r="T2173" s="8">
        <v>3</v>
      </c>
      <c r="U2173" s="8">
        <v>12</v>
      </c>
      <c r="V2173" s="8">
        <v>7</v>
      </c>
      <c r="W2173" t="s">
        <v>473</v>
      </c>
      <c r="X2173" t="s">
        <v>474</v>
      </c>
      <c r="Y2173" t="s">
        <v>474</v>
      </c>
      <c r="Z2173" t="s">
        <v>473</v>
      </c>
      <c r="AA2173" t="s">
        <v>474</v>
      </c>
      <c r="AB2173" t="s">
        <v>473</v>
      </c>
      <c r="AC2173" s="10">
        <v>3</v>
      </c>
      <c r="AD2173" s="10">
        <v>11</v>
      </c>
      <c r="AE2173" t="s">
        <v>474</v>
      </c>
    </row>
    <row r="2174" spans="1:31" x14ac:dyDescent="0.25">
      <c r="A2174">
        <v>4084</v>
      </c>
      <c r="B2174">
        <v>1975</v>
      </c>
      <c r="C2174" t="s">
        <v>466</v>
      </c>
      <c r="D2174" t="s">
        <v>31</v>
      </c>
      <c r="E2174" t="str">
        <f>IF(OR(Table1[[#This Row],[marital_status]]="Married", Table1[[#This Row],[marital_status]]="Together"), "Partnered", "Single")</f>
        <v>Partnered</v>
      </c>
      <c r="F2174" s="7">
        <v>60934</v>
      </c>
      <c r="G2174" s="8">
        <v>0</v>
      </c>
      <c r="H2174" s="8">
        <v>1</v>
      </c>
      <c r="I2174" s="8">
        <f>Table1[[#This Row],[kids]]+Table1[[#This Row],[teens]]</f>
        <v>1</v>
      </c>
      <c r="J2174" s="9">
        <v>41656</v>
      </c>
      <c r="K2174" s="8">
        <v>41</v>
      </c>
      <c r="L2174" s="6">
        <v>224</v>
      </c>
      <c r="M2174" s="5">
        <v>155</v>
      </c>
      <c r="N2174" s="5">
        <v>155</v>
      </c>
      <c r="O2174" s="5">
        <v>192</v>
      </c>
      <c r="P2174" s="5">
        <v>93</v>
      </c>
      <c r="Q2174" s="5">
        <v>54</v>
      </c>
      <c r="R2174" s="8">
        <v>2</v>
      </c>
      <c r="S2174" s="8">
        <v>6</v>
      </c>
      <c r="T2174" s="8">
        <v>4</v>
      </c>
      <c r="U2174" s="8">
        <v>11</v>
      </c>
      <c r="V2174" s="8">
        <v>4</v>
      </c>
      <c r="W2174" t="s">
        <v>473</v>
      </c>
      <c r="X2174" t="s">
        <v>473</v>
      </c>
      <c r="Y2174" t="s">
        <v>473</v>
      </c>
      <c r="Z2174" t="s">
        <v>473</v>
      </c>
      <c r="AA2174" t="s">
        <v>473</v>
      </c>
      <c r="AB2174" t="s">
        <v>473</v>
      </c>
      <c r="AC2174" s="10">
        <v>3</v>
      </c>
      <c r="AD2174" s="10">
        <v>11</v>
      </c>
      <c r="AE2174" t="s">
        <v>473</v>
      </c>
    </row>
    <row r="2175" spans="1:31" x14ac:dyDescent="0.25">
      <c r="A2175">
        <v>6721</v>
      </c>
      <c r="B2175">
        <v>1951</v>
      </c>
      <c r="C2175" t="s">
        <v>466</v>
      </c>
      <c r="D2175" t="s">
        <v>34</v>
      </c>
      <c r="E2175" t="str">
        <f>IF(OR(Table1[[#This Row],[marital_status]]="Married", Table1[[#This Row],[marital_status]]="Together"), "Partnered", "Single")</f>
        <v>Partnered</v>
      </c>
      <c r="F2175" s="7">
        <v>71965</v>
      </c>
      <c r="G2175" s="8">
        <v>0</v>
      </c>
      <c r="H2175" s="8">
        <v>1</v>
      </c>
      <c r="I2175" s="8">
        <f>Table1[[#This Row],[kids]]+Table1[[#This Row],[teens]]</f>
        <v>1</v>
      </c>
      <c r="J2175" s="9">
        <v>41484</v>
      </c>
      <c r="K2175" s="8">
        <v>21</v>
      </c>
      <c r="L2175" s="6">
        <v>572</v>
      </c>
      <c r="M2175" s="5">
        <v>19</v>
      </c>
      <c r="N2175" s="5">
        <v>286</v>
      </c>
      <c r="O2175" s="5">
        <v>50</v>
      </c>
      <c r="P2175" s="5">
        <v>38</v>
      </c>
      <c r="Q2175" s="5">
        <v>248</v>
      </c>
      <c r="R2175" s="8">
        <v>3</v>
      </c>
      <c r="S2175" s="8">
        <v>6</v>
      </c>
      <c r="T2175" s="8">
        <v>3</v>
      </c>
      <c r="U2175" s="8">
        <v>5</v>
      </c>
      <c r="V2175" s="8">
        <v>3</v>
      </c>
      <c r="W2175" t="s">
        <v>473</v>
      </c>
      <c r="X2175" t="s">
        <v>473</v>
      </c>
      <c r="Y2175" t="s">
        <v>473</v>
      </c>
      <c r="Z2175" t="s">
        <v>473</v>
      </c>
      <c r="AA2175" t="s">
        <v>473</v>
      </c>
      <c r="AB2175" t="s">
        <v>473</v>
      </c>
      <c r="AC2175" s="10">
        <v>3</v>
      </c>
      <c r="AD2175" s="10">
        <v>11</v>
      </c>
      <c r="AE2175" t="s">
        <v>473</v>
      </c>
    </row>
    <row r="2176" spans="1:31" x14ac:dyDescent="0.25">
      <c r="A2176">
        <v>2829</v>
      </c>
      <c r="B2176">
        <v>1955</v>
      </c>
      <c r="C2176" t="s">
        <v>466</v>
      </c>
      <c r="D2176" t="s">
        <v>34</v>
      </c>
      <c r="E2176" t="str">
        <f>IF(OR(Table1[[#This Row],[marital_status]]="Married", Table1[[#This Row],[marital_status]]="Together"), "Partnered", "Single")</f>
        <v>Partnered</v>
      </c>
      <c r="F2176" s="7">
        <v>65210</v>
      </c>
      <c r="G2176" s="8">
        <v>0</v>
      </c>
      <c r="H2176" s="8">
        <v>1</v>
      </c>
      <c r="I2176" s="8">
        <f>Table1[[#This Row],[kids]]+Table1[[#This Row],[teens]]</f>
        <v>1</v>
      </c>
      <c r="J2176" s="9">
        <v>41708</v>
      </c>
      <c r="K2176" s="8">
        <v>25</v>
      </c>
      <c r="L2176" s="6">
        <v>626</v>
      </c>
      <c r="M2176" s="5">
        <v>0</v>
      </c>
      <c r="N2176" s="5">
        <v>70</v>
      </c>
      <c r="O2176" s="5">
        <v>0</v>
      </c>
      <c r="P2176" s="5">
        <v>7</v>
      </c>
      <c r="Q2176" s="5">
        <v>28</v>
      </c>
      <c r="R2176" s="8">
        <v>2</v>
      </c>
      <c r="S2176" s="8">
        <v>9</v>
      </c>
      <c r="T2176" s="8">
        <v>3</v>
      </c>
      <c r="U2176" s="8">
        <v>8</v>
      </c>
      <c r="V2176" s="8">
        <v>6</v>
      </c>
      <c r="W2176" t="s">
        <v>473</v>
      </c>
      <c r="X2176" t="s">
        <v>474</v>
      </c>
      <c r="Y2176" t="s">
        <v>473</v>
      </c>
      <c r="Z2176" t="s">
        <v>474</v>
      </c>
      <c r="AA2176" t="s">
        <v>473</v>
      </c>
      <c r="AB2176" t="s">
        <v>473</v>
      </c>
      <c r="AC2176" s="10">
        <v>3</v>
      </c>
      <c r="AD2176" s="10">
        <v>11</v>
      </c>
      <c r="AE2176" t="s">
        <v>473</v>
      </c>
    </row>
    <row r="2177" spans="1:31" x14ac:dyDescent="0.25">
      <c r="A2177">
        <v>1772</v>
      </c>
      <c r="B2177">
        <v>1975</v>
      </c>
      <c r="C2177" t="s">
        <v>33</v>
      </c>
      <c r="D2177" t="s">
        <v>34</v>
      </c>
      <c r="E2177" t="str">
        <f>IF(OR(Table1[[#This Row],[marital_status]]="Married", Table1[[#This Row],[marital_status]]="Together"), "Partnered", "Single")</f>
        <v>Partnered</v>
      </c>
      <c r="F2177" s="7">
        <v>79174</v>
      </c>
      <c r="G2177" s="8">
        <v>0</v>
      </c>
      <c r="H2177" s="8">
        <v>0</v>
      </c>
      <c r="I2177" s="8">
        <f>Table1[[#This Row],[kids]]+Table1[[#This Row],[teens]]</f>
        <v>0</v>
      </c>
      <c r="J2177" s="9">
        <v>41285</v>
      </c>
      <c r="K2177" s="8">
        <v>2</v>
      </c>
      <c r="L2177" s="6">
        <v>1074</v>
      </c>
      <c r="M2177" s="5">
        <v>37</v>
      </c>
      <c r="N2177" s="5">
        <v>518</v>
      </c>
      <c r="O2177" s="5">
        <v>193</v>
      </c>
      <c r="P2177" s="5">
        <v>92</v>
      </c>
      <c r="Q2177" s="5">
        <v>129</v>
      </c>
      <c r="R2177" s="8">
        <v>1</v>
      </c>
      <c r="S2177" s="8">
        <v>5</v>
      </c>
      <c r="T2177" s="8">
        <v>6</v>
      </c>
      <c r="U2177" s="8">
        <v>7</v>
      </c>
      <c r="V2177" s="8">
        <v>2</v>
      </c>
      <c r="W2177" t="s">
        <v>473</v>
      </c>
      <c r="X2177" t="s">
        <v>473</v>
      </c>
      <c r="Y2177" t="s">
        <v>474</v>
      </c>
      <c r="Z2177" t="s">
        <v>474</v>
      </c>
      <c r="AA2177" t="s">
        <v>473</v>
      </c>
      <c r="AB2177" t="s">
        <v>473</v>
      </c>
      <c r="AC2177" s="10">
        <v>3</v>
      </c>
      <c r="AD2177" s="10">
        <v>11</v>
      </c>
      <c r="AE2177" t="s">
        <v>474</v>
      </c>
    </row>
    <row r="2178" spans="1:31" x14ac:dyDescent="0.25">
      <c r="A2178">
        <v>1544</v>
      </c>
      <c r="B2178">
        <v>1967</v>
      </c>
      <c r="C2178" t="s">
        <v>36</v>
      </c>
      <c r="D2178" t="s">
        <v>37</v>
      </c>
      <c r="E2178" t="str">
        <f>IF(OR(Table1[[#This Row],[marital_status]]="Married", Table1[[#This Row],[marital_status]]="Together"), "Partnered", "Single")</f>
        <v>Single</v>
      </c>
      <c r="F2178" s="7">
        <v>81380</v>
      </c>
      <c r="G2178" s="8">
        <v>0</v>
      </c>
      <c r="H2178" s="8">
        <v>0</v>
      </c>
      <c r="I2178" s="8">
        <f>Table1[[#This Row],[kids]]+Table1[[#This Row],[teens]]</f>
        <v>0</v>
      </c>
      <c r="J2178" s="9">
        <v>41265</v>
      </c>
      <c r="K2178" s="8">
        <v>51</v>
      </c>
      <c r="L2178" s="6">
        <v>741</v>
      </c>
      <c r="M2178" s="5">
        <v>68</v>
      </c>
      <c r="N2178" s="5">
        <v>689</v>
      </c>
      <c r="O2178" s="5">
        <v>224</v>
      </c>
      <c r="P2178" s="5">
        <v>68</v>
      </c>
      <c r="Q2178" s="5">
        <v>103</v>
      </c>
      <c r="R2178" s="8">
        <v>1</v>
      </c>
      <c r="S2178" s="8">
        <v>4</v>
      </c>
      <c r="T2178" s="8">
        <v>2</v>
      </c>
      <c r="U2178" s="8">
        <v>10</v>
      </c>
      <c r="V2178" s="8">
        <v>2</v>
      </c>
      <c r="W2178" t="s">
        <v>473</v>
      </c>
      <c r="X2178" t="s">
        <v>473</v>
      </c>
      <c r="Y2178" t="s">
        <v>473</v>
      </c>
      <c r="Z2178" t="s">
        <v>473</v>
      </c>
      <c r="AA2178" t="s">
        <v>473</v>
      </c>
      <c r="AB2178" t="s">
        <v>473</v>
      </c>
      <c r="AC2178" s="10">
        <v>3</v>
      </c>
      <c r="AD2178" s="10">
        <v>11</v>
      </c>
      <c r="AE2178" t="s">
        <v>473</v>
      </c>
    </row>
    <row r="2179" spans="1:31" x14ac:dyDescent="0.25">
      <c r="A2179">
        <v>492</v>
      </c>
      <c r="B2179">
        <v>1973</v>
      </c>
      <c r="C2179" t="s">
        <v>33</v>
      </c>
      <c r="D2179" t="s">
        <v>440</v>
      </c>
      <c r="E2179" t="str">
        <f>IF(OR(Table1[[#This Row],[marital_status]]="Married", Table1[[#This Row],[marital_status]]="Together"), "Partnered", "Single")</f>
        <v>Single</v>
      </c>
      <c r="F2179" s="7">
        <v>48432</v>
      </c>
      <c r="G2179" s="8">
        <v>0</v>
      </c>
      <c r="H2179" s="8">
        <v>1</v>
      </c>
      <c r="I2179" s="8">
        <f>Table1[[#This Row],[kids]]+Table1[[#This Row],[teens]]</f>
        <v>1</v>
      </c>
      <c r="J2179" s="9">
        <v>41200</v>
      </c>
      <c r="K2179" s="8">
        <v>3</v>
      </c>
      <c r="L2179" s="6">
        <v>322</v>
      </c>
      <c r="M2179" s="5">
        <v>3</v>
      </c>
      <c r="N2179" s="5">
        <v>50</v>
      </c>
      <c r="O2179" s="5">
        <v>4</v>
      </c>
      <c r="P2179" s="5">
        <v>3</v>
      </c>
      <c r="Q2179" s="5">
        <v>42</v>
      </c>
      <c r="R2179" s="8">
        <v>5</v>
      </c>
      <c r="S2179" s="8">
        <v>7</v>
      </c>
      <c r="T2179" s="8">
        <v>1</v>
      </c>
      <c r="U2179" s="8">
        <v>6</v>
      </c>
      <c r="V2179" s="8">
        <v>8</v>
      </c>
      <c r="W2179" t="s">
        <v>473</v>
      </c>
      <c r="X2179" t="s">
        <v>473</v>
      </c>
      <c r="Y2179" t="s">
        <v>473</v>
      </c>
      <c r="Z2179" t="s">
        <v>473</v>
      </c>
      <c r="AA2179" t="s">
        <v>473</v>
      </c>
      <c r="AB2179" t="s">
        <v>473</v>
      </c>
      <c r="AC2179" s="10">
        <v>3</v>
      </c>
      <c r="AD2179" s="10">
        <v>11</v>
      </c>
      <c r="AE2179" t="s">
        <v>473</v>
      </c>
    </row>
    <row r="2180" spans="1:31" x14ac:dyDescent="0.25">
      <c r="A2180">
        <v>4377</v>
      </c>
      <c r="B2180">
        <v>1971</v>
      </c>
      <c r="C2180" t="s">
        <v>466</v>
      </c>
      <c r="D2180" t="s">
        <v>34</v>
      </c>
      <c r="E2180" t="str">
        <f>IF(OR(Table1[[#This Row],[marital_status]]="Married", Table1[[#This Row],[marital_status]]="Together"), "Partnered", "Single")</f>
        <v>Partnered</v>
      </c>
      <c r="F2180" s="7">
        <v>52914</v>
      </c>
      <c r="G2180" s="8">
        <v>0</v>
      </c>
      <c r="H2180" s="8">
        <v>1</v>
      </c>
      <c r="I2180" s="8">
        <f>Table1[[#This Row],[kids]]+Table1[[#This Row],[teens]]</f>
        <v>1</v>
      </c>
      <c r="J2180" s="9">
        <v>41281</v>
      </c>
      <c r="K2180" s="8">
        <v>32</v>
      </c>
      <c r="L2180" s="6">
        <v>254</v>
      </c>
      <c r="M2180" s="5">
        <v>10</v>
      </c>
      <c r="N2180" s="5">
        <v>44</v>
      </c>
      <c r="O2180" s="5">
        <v>30</v>
      </c>
      <c r="P2180" s="5">
        <v>10</v>
      </c>
      <c r="Q2180" s="5">
        <v>227</v>
      </c>
      <c r="R2180" s="8">
        <v>2</v>
      </c>
      <c r="S2180" s="8">
        <v>7</v>
      </c>
      <c r="T2180" s="8">
        <v>3</v>
      </c>
      <c r="U2180" s="8">
        <v>3</v>
      </c>
      <c r="V2180" s="8">
        <v>7</v>
      </c>
      <c r="W2180" t="s">
        <v>474</v>
      </c>
      <c r="X2180" t="s">
        <v>473</v>
      </c>
      <c r="Y2180" t="s">
        <v>473</v>
      </c>
      <c r="Z2180" t="s">
        <v>473</v>
      </c>
      <c r="AA2180" t="s">
        <v>473</v>
      </c>
      <c r="AB2180" t="s">
        <v>473</v>
      </c>
      <c r="AC2180" s="10">
        <v>3</v>
      </c>
      <c r="AD2180" s="10">
        <v>11</v>
      </c>
      <c r="AE2180" t="s">
        <v>473</v>
      </c>
    </row>
    <row r="2181" spans="1:31" x14ac:dyDescent="0.25">
      <c r="A2181">
        <v>4541</v>
      </c>
      <c r="B2181">
        <v>1955</v>
      </c>
      <c r="C2181" t="s">
        <v>466</v>
      </c>
      <c r="D2181" t="s">
        <v>31</v>
      </c>
      <c r="E2181" t="str">
        <f>IF(OR(Table1[[#This Row],[marital_status]]="Married", Table1[[#This Row],[marital_status]]="Together"), "Partnered", "Single")</f>
        <v>Partnered</v>
      </c>
      <c r="F2181" s="7">
        <v>38946</v>
      </c>
      <c r="G2181" s="8">
        <v>0</v>
      </c>
      <c r="H2181" s="8">
        <v>1</v>
      </c>
      <c r="I2181" s="8">
        <f>Table1[[#This Row],[kids]]+Table1[[#This Row],[teens]]</f>
        <v>1</v>
      </c>
      <c r="J2181" s="9">
        <v>41571</v>
      </c>
      <c r="K2181" s="8">
        <v>84</v>
      </c>
      <c r="L2181" s="6">
        <v>116</v>
      </c>
      <c r="M2181" s="5">
        <v>6</v>
      </c>
      <c r="N2181" s="5">
        <v>82</v>
      </c>
      <c r="O2181" s="5">
        <v>6</v>
      </c>
      <c r="P2181" s="5">
        <v>6</v>
      </c>
      <c r="Q2181" s="5">
        <v>41</v>
      </c>
      <c r="R2181" s="8">
        <v>2</v>
      </c>
      <c r="S2181" s="8">
        <v>3</v>
      </c>
      <c r="T2181" s="8">
        <v>1</v>
      </c>
      <c r="U2181" s="8">
        <v>6</v>
      </c>
      <c r="V2181" s="8">
        <v>5</v>
      </c>
      <c r="W2181" t="s">
        <v>473</v>
      </c>
      <c r="X2181" t="s">
        <v>473</v>
      </c>
      <c r="Y2181" t="s">
        <v>473</v>
      </c>
      <c r="Z2181" t="s">
        <v>473</v>
      </c>
      <c r="AA2181" t="s">
        <v>473</v>
      </c>
      <c r="AB2181" t="s">
        <v>473</v>
      </c>
      <c r="AC2181" s="10">
        <v>3</v>
      </c>
      <c r="AD2181" s="10">
        <v>11</v>
      </c>
      <c r="AE2181" t="s">
        <v>473</v>
      </c>
    </row>
    <row r="2182" spans="1:31" x14ac:dyDescent="0.25">
      <c r="A2182">
        <v>1321</v>
      </c>
      <c r="B2182">
        <v>1974</v>
      </c>
      <c r="C2182" t="s">
        <v>466</v>
      </c>
      <c r="D2182" t="s">
        <v>34</v>
      </c>
      <c r="E2182" t="str">
        <f>IF(OR(Table1[[#This Row],[marital_status]]="Married", Table1[[#This Row],[marital_status]]="Together"), "Partnered", "Single")</f>
        <v>Partnered</v>
      </c>
      <c r="F2182" s="7">
        <v>26067</v>
      </c>
      <c r="G2182" s="8">
        <v>1</v>
      </c>
      <c r="H2182" s="8">
        <v>0</v>
      </c>
      <c r="I2182" s="8">
        <f>Table1[[#This Row],[kids]]+Table1[[#This Row],[teens]]</f>
        <v>1</v>
      </c>
      <c r="J2182" s="9">
        <v>41582</v>
      </c>
      <c r="K2182" s="8">
        <v>49</v>
      </c>
      <c r="L2182" s="6">
        <v>22</v>
      </c>
      <c r="M2182" s="5">
        <v>2</v>
      </c>
      <c r="N2182" s="5">
        <v>18</v>
      </c>
      <c r="O2182" s="5">
        <v>0</v>
      </c>
      <c r="P2182" s="5">
        <v>2</v>
      </c>
      <c r="Q2182" s="5">
        <v>12</v>
      </c>
      <c r="R2182" s="8">
        <v>3</v>
      </c>
      <c r="S2182" s="8">
        <v>3</v>
      </c>
      <c r="T2182" s="8">
        <v>0</v>
      </c>
      <c r="U2182" s="8">
        <v>3</v>
      </c>
      <c r="V2182" s="8">
        <v>8</v>
      </c>
      <c r="W2182" t="s">
        <v>473</v>
      </c>
      <c r="X2182" t="s">
        <v>473</v>
      </c>
      <c r="Y2182" t="s">
        <v>473</v>
      </c>
      <c r="Z2182" t="s">
        <v>473</v>
      </c>
      <c r="AA2182" t="s">
        <v>473</v>
      </c>
      <c r="AB2182" t="s">
        <v>473</v>
      </c>
      <c r="AC2182" s="10">
        <v>3</v>
      </c>
      <c r="AD2182" s="10">
        <v>11</v>
      </c>
      <c r="AE2182" t="s">
        <v>473</v>
      </c>
    </row>
    <row r="2183" spans="1:31" x14ac:dyDescent="0.25">
      <c r="A2183">
        <v>8858</v>
      </c>
      <c r="B2183">
        <v>1972</v>
      </c>
      <c r="C2183" t="s">
        <v>33</v>
      </c>
      <c r="D2183" t="s">
        <v>34</v>
      </c>
      <c r="E2183" t="str">
        <f>IF(OR(Table1[[#This Row],[marital_status]]="Married", Table1[[#This Row],[marital_status]]="Together"), "Partnered", "Single")</f>
        <v>Partnered</v>
      </c>
      <c r="F2183" s="7">
        <v>44325</v>
      </c>
      <c r="G2183" s="8">
        <v>0</v>
      </c>
      <c r="H2183" s="8">
        <v>1</v>
      </c>
      <c r="I2183" s="8">
        <f>Table1[[#This Row],[kids]]+Table1[[#This Row],[teens]]</f>
        <v>1</v>
      </c>
      <c r="J2183" s="9">
        <v>41340</v>
      </c>
      <c r="K2183" s="8">
        <v>69</v>
      </c>
      <c r="L2183" s="6">
        <v>516</v>
      </c>
      <c r="M2183" s="5">
        <v>0</v>
      </c>
      <c r="N2183" s="5">
        <v>21</v>
      </c>
      <c r="O2183" s="5">
        <v>0</v>
      </c>
      <c r="P2183" s="5">
        <v>0</v>
      </c>
      <c r="Q2183" s="5">
        <v>5</v>
      </c>
      <c r="R2183" s="8">
        <v>4</v>
      </c>
      <c r="S2183" s="8">
        <v>8</v>
      </c>
      <c r="T2183" s="8">
        <v>2</v>
      </c>
      <c r="U2183" s="8">
        <v>7</v>
      </c>
      <c r="V2183" s="8">
        <v>8</v>
      </c>
      <c r="W2183" t="s">
        <v>473</v>
      </c>
      <c r="X2183" t="s">
        <v>474</v>
      </c>
      <c r="Y2183" t="s">
        <v>473</v>
      </c>
      <c r="Z2183" t="s">
        <v>473</v>
      </c>
      <c r="AA2183" t="s">
        <v>473</v>
      </c>
      <c r="AB2183" t="s">
        <v>473</v>
      </c>
      <c r="AC2183" s="10">
        <v>3</v>
      </c>
      <c r="AD2183" s="10">
        <v>11</v>
      </c>
      <c r="AE2183" t="s">
        <v>473</v>
      </c>
    </row>
    <row r="2184" spans="1:31" x14ac:dyDescent="0.25">
      <c r="A2184">
        <v>3266</v>
      </c>
      <c r="B2184">
        <v>1964</v>
      </c>
      <c r="C2184" t="s">
        <v>466</v>
      </c>
      <c r="D2184" t="s">
        <v>34</v>
      </c>
      <c r="E2184" t="str">
        <f>IF(OR(Table1[[#This Row],[marital_status]]="Married", Table1[[#This Row],[marital_status]]="Together"), "Partnered", "Single")</f>
        <v>Partnered</v>
      </c>
      <c r="F2184" s="7">
        <v>42523</v>
      </c>
      <c r="G2184" s="8">
        <v>0</v>
      </c>
      <c r="H2184" s="8">
        <v>0</v>
      </c>
      <c r="I2184" s="8">
        <f>Table1[[#This Row],[kids]]+Table1[[#This Row],[teens]]</f>
        <v>0</v>
      </c>
      <c r="J2184" s="9">
        <v>41752</v>
      </c>
      <c r="K2184" s="8">
        <v>96</v>
      </c>
      <c r="L2184" s="6">
        <v>14</v>
      </c>
      <c r="M2184" s="5">
        <v>36</v>
      </c>
      <c r="N2184" s="5">
        <v>11</v>
      </c>
      <c r="O2184" s="5">
        <v>3</v>
      </c>
      <c r="P2184" s="5">
        <v>26</v>
      </c>
      <c r="Q2184" s="5">
        <v>35</v>
      </c>
      <c r="R2184" s="8">
        <v>1</v>
      </c>
      <c r="S2184" s="8">
        <v>1</v>
      </c>
      <c r="T2184" s="8">
        <v>1</v>
      </c>
      <c r="U2184" s="8">
        <v>4</v>
      </c>
      <c r="V2184" s="8">
        <v>2</v>
      </c>
      <c r="W2184" t="s">
        <v>473</v>
      </c>
      <c r="X2184" t="s">
        <v>473</v>
      </c>
      <c r="Y2184" t="s">
        <v>473</v>
      </c>
      <c r="Z2184" t="s">
        <v>473</v>
      </c>
      <c r="AA2184" t="s">
        <v>473</v>
      </c>
      <c r="AB2184" t="s">
        <v>473</v>
      </c>
      <c r="AC2184" s="10">
        <v>3</v>
      </c>
      <c r="AD2184" s="10">
        <v>11</v>
      </c>
      <c r="AE2184" t="s">
        <v>473</v>
      </c>
    </row>
    <row r="2185" spans="1:31" x14ac:dyDescent="0.25">
      <c r="A2185">
        <v>11187</v>
      </c>
      <c r="B2185">
        <v>1978</v>
      </c>
      <c r="C2185" t="s">
        <v>41</v>
      </c>
      <c r="D2185" t="s">
        <v>30</v>
      </c>
      <c r="E2185" t="str">
        <f>IF(OR(Table1[[#This Row],[marital_status]]="Married", Table1[[#This Row],[marital_status]]="Together"), "Partnered", "Single")</f>
        <v>Single</v>
      </c>
      <c r="F2185" s="7">
        <v>26487</v>
      </c>
      <c r="G2185" s="8">
        <v>1</v>
      </c>
      <c r="H2185" s="8">
        <v>0</v>
      </c>
      <c r="I2185" s="8">
        <f>Table1[[#This Row],[kids]]+Table1[[#This Row],[teens]]</f>
        <v>1</v>
      </c>
      <c r="J2185" s="9">
        <v>41414</v>
      </c>
      <c r="K2185" s="8">
        <v>23</v>
      </c>
      <c r="L2185" s="6">
        <v>2</v>
      </c>
      <c r="M2185" s="5">
        <v>8</v>
      </c>
      <c r="N2185" s="5">
        <v>10</v>
      </c>
      <c r="O2185" s="5">
        <v>12</v>
      </c>
      <c r="P2185" s="5">
        <v>14</v>
      </c>
      <c r="Q2185" s="5">
        <v>23</v>
      </c>
      <c r="R2185" s="8">
        <v>3</v>
      </c>
      <c r="S2185" s="8">
        <v>2</v>
      </c>
      <c r="T2185" s="8">
        <v>1</v>
      </c>
      <c r="U2185" s="8">
        <v>3</v>
      </c>
      <c r="V2185" s="8">
        <v>5</v>
      </c>
      <c r="W2185" t="s">
        <v>473</v>
      </c>
      <c r="X2185" t="s">
        <v>473</v>
      </c>
      <c r="Y2185" t="s">
        <v>473</v>
      </c>
      <c r="Z2185" t="s">
        <v>473</v>
      </c>
      <c r="AA2185" t="s">
        <v>473</v>
      </c>
      <c r="AB2185" t="s">
        <v>473</v>
      </c>
      <c r="AC2185" s="10">
        <v>3</v>
      </c>
      <c r="AD2185" s="10">
        <v>11</v>
      </c>
      <c r="AE2185" t="s">
        <v>473</v>
      </c>
    </row>
    <row r="2186" spans="1:31" x14ac:dyDescent="0.25">
      <c r="A2186">
        <v>8207</v>
      </c>
      <c r="B2186">
        <v>1957</v>
      </c>
      <c r="C2186" t="s">
        <v>46</v>
      </c>
      <c r="D2186" t="s">
        <v>34</v>
      </c>
      <c r="E2186" t="str">
        <f>IF(OR(Table1[[#This Row],[marital_status]]="Married", Table1[[#This Row],[marital_status]]="Together"), "Partnered", "Single")</f>
        <v>Partnered</v>
      </c>
      <c r="F2186" s="7">
        <v>53233</v>
      </c>
      <c r="G2186" s="8">
        <v>0</v>
      </c>
      <c r="H2186" s="8">
        <v>1</v>
      </c>
      <c r="I2186" s="8">
        <f>Table1[[#This Row],[kids]]+Table1[[#This Row],[teens]]</f>
        <v>1</v>
      </c>
      <c r="J2186" s="9">
        <v>41716</v>
      </c>
      <c r="K2186" s="8">
        <v>18</v>
      </c>
      <c r="L2186" s="6">
        <v>28</v>
      </c>
      <c r="M2186" s="5">
        <v>0</v>
      </c>
      <c r="N2186" s="5">
        <v>9</v>
      </c>
      <c r="O2186" s="5">
        <v>3</v>
      </c>
      <c r="P2186" s="5">
        <v>0</v>
      </c>
      <c r="Q2186" s="5">
        <v>0</v>
      </c>
      <c r="R2186" s="8">
        <v>1</v>
      </c>
      <c r="S2186" s="8">
        <v>1</v>
      </c>
      <c r="T2186" s="8">
        <v>0</v>
      </c>
      <c r="U2186" s="8">
        <v>3</v>
      </c>
      <c r="V2186" s="8">
        <v>4</v>
      </c>
      <c r="W2186" t="s">
        <v>473</v>
      </c>
      <c r="X2186" t="s">
        <v>473</v>
      </c>
      <c r="Y2186" t="s">
        <v>473</v>
      </c>
      <c r="Z2186" t="s">
        <v>473</v>
      </c>
      <c r="AA2186" t="s">
        <v>473</v>
      </c>
      <c r="AB2186" t="s">
        <v>473</v>
      </c>
      <c r="AC2186" s="10">
        <v>3</v>
      </c>
      <c r="AD2186" s="10">
        <v>11</v>
      </c>
      <c r="AE2186" t="s">
        <v>473</v>
      </c>
    </row>
    <row r="2187" spans="1:31" x14ac:dyDescent="0.25">
      <c r="A2187">
        <v>9723</v>
      </c>
      <c r="B2187">
        <v>1960</v>
      </c>
      <c r="C2187" t="s">
        <v>466</v>
      </c>
      <c r="D2187" t="s">
        <v>34</v>
      </c>
      <c r="E2187" t="str">
        <f>IF(OR(Table1[[#This Row],[marital_status]]="Married", Table1[[#This Row],[marital_status]]="Together"), "Partnered", "Single")</f>
        <v>Partnered</v>
      </c>
      <c r="F2187" s="7">
        <v>67716</v>
      </c>
      <c r="G2187" s="8">
        <v>0</v>
      </c>
      <c r="H2187" s="8">
        <v>1</v>
      </c>
      <c r="I2187" s="8">
        <f>Table1[[#This Row],[kids]]+Table1[[#This Row],[teens]]</f>
        <v>1</v>
      </c>
      <c r="J2187" s="9">
        <v>41284</v>
      </c>
      <c r="K2187" s="8">
        <v>8</v>
      </c>
      <c r="L2187" s="6">
        <v>530</v>
      </c>
      <c r="M2187" s="5">
        <v>142</v>
      </c>
      <c r="N2187" s="5">
        <v>217</v>
      </c>
      <c r="O2187" s="5">
        <v>62</v>
      </c>
      <c r="P2187" s="5">
        <v>9</v>
      </c>
      <c r="Q2187" s="5">
        <v>56</v>
      </c>
      <c r="R2187" s="8">
        <v>4</v>
      </c>
      <c r="S2187" s="8">
        <v>7</v>
      </c>
      <c r="T2187" s="8">
        <v>4</v>
      </c>
      <c r="U2187" s="8">
        <v>13</v>
      </c>
      <c r="V2187" s="8">
        <v>5</v>
      </c>
      <c r="W2187" t="s">
        <v>473</v>
      </c>
      <c r="X2187" t="s">
        <v>474</v>
      </c>
      <c r="Y2187" t="s">
        <v>473</v>
      </c>
      <c r="Z2187" t="s">
        <v>473</v>
      </c>
      <c r="AA2187" t="s">
        <v>473</v>
      </c>
      <c r="AB2187" t="s">
        <v>473</v>
      </c>
      <c r="AC2187" s="10">
        <v>3</v>
      </c>
      <c r="AD2187" s="10">
        <v>11</v>
      </c>
      <c r="AE2187" t="s">
        <v>473</v>
      </c>
    </row>
    <row r="2188" spans="1:31" x14ac:dyDescent="0.25">
      <c r="A2188">
        <v>2666</v>
      </c>
      <c r="B2188">
        <v>1972</v>
      </c>
      <c r="C2188" t="s">
        <v>36</v>
      </c>
      <c r="D2188" t="s">
        <v>34</v>
      </c>
      <c r="E2188" t="str">
        <f>IF(OR(Table1[[#This Row],[marital_status]]="Married", Table1[[#This Row],[marital_status]]="Together"), "Partnered", "Single")</f>
        <v>Partnered</v>
      </c>
      <c r="F2188" s="7">
        <v>76234</v>
      </c>
      <c r="G2188" s="8">
        <v>0</v>
      </c>
      <c r="H2188" s="8">
        <v>1</v>
      </c>
      <c r="I2188" s="8">
        <f>Table1[[#This Row],[kids]]+Table1[[#This Row],[teens]]</f>
        <v>1</v>
      </c>
      <c r="J2188" s="9">
        <v>41676</v>
      </c>
      <c r="K2188" s="8">
        <v>21</v>
      </c>
      <c r="L2188" s="6">
        <v>519</v>
      </c>
      <c r="M2188" s="5">
        <v>50</v>
      </c>
      <c r="N2188" s="5">
        <v>167</v>
      </c>
      <c r="O2188" s="5">
        <v>130</v>
      </c>
      <c r="P2188" s="5">
        <v>0</v>
      </c>
      <c r="Q2188" s="5">
        <v>41</v>
      </c>
      <c r="R2188" s="8">
        <v>1</v>
      </c>
      <c r="S2188" s="8">
        <v>8</v>
      </c>
      <c r="T2188" s="8">
        <v>3</v>
      </c>
      <c r="U2188" s="8">
        <v>11</v>
      </c>
      <c r="V2188" s="8">
        <v>3</v>
      </c>
      <c r="W2188" t="s">
        <v>473</v>
      </c>
      <c r="X2188" t="s">
        <v>474</v>
      </c>
      <c r="Y2188" t="s">
        <v>473</v>
      </c>
      <c r="Z2188" t="s">
        <v>473</v>
      </c>
      <c r="AA2188" t="s">
        <v>473</v>
      </c>
      <c r="AB2188" t="s">
        <v>473</v>
      </c>
      <c r="AC2188" s="10">
        <v>3</v>
      </c>
      <c r="AD2188" s="10">
        <v>11</v>
      </c>
      <c r="AE2188" t="s">
        <v>473</v>
      </c>
    </row>
    <row r="2189" spans="1:31" x14ac:dyDescent="0.25">
      <c r="A2189">
        <v>5721</v>
      </c>
      <c r="B2189">
        <v>1956</v>
      </c>
      <c r="C2189" t="s">
        <v>33</v>
      </c>
      <c r="D2189" t="s">
        <v>34</v>
      </c>
      <c r="E2189" t="str">
        <f>IF(OR(Table1[[#This Row],[marital_status]]="Married", Table1[[#This Row],[marital_status]]="Together"), "Partnered", "Single")</f>
        <v>Partnered</v>
      </c>
      <c r="F2189" s="7">
        <v>84117</v>
      </c>
      <c r="G2189" s="8">
        <v>0</v>
      </c>
      <c r="H2189" s="8">
        <v>0</v>
      </c>
      <c r="I2189" s="8">
        <f>Table1[[#This Row],[kids]]+Table1[[#This Row],[teens]]</f>
        <v>0</v>
      </c>
      <c r="J2189" s="9">
        <v>41770</v>
      </c>
      <c r="K2189" s="8">
        <v>60</v>
      </c>
      <c r="L2189" s="6">
        <v>611</v>
      </c>
      <c r="M2189" s="5">
        <v>76</v>
      </c>
      <c r="N2189" s="5">
        <v>749</v>
      </c>
      <c r="O2189" s="5">
        <v>59</v>
      </c>
      <c r="P2189" s="5">
        <v>45</v>
      </c>
      <c r="Q2189" s="5">
        <v>26</v>
      </c>
      <c r="R2189" s="8">
        <v>1</v>
      </c>
      <c r="S2189" s="8">
        <v>7</v>
      </c>
      <c r="T2189" s="8">
        <v>10</v>
      </c>
      <c r="U2189" s="8">
        <v>6</v>
      </c>
      <c r="V2189" s="8">
        <v>2</v>
      </c>
      <c r="W2189" t="s">
        <v>473</v>
      </c>
      <c r="X2189" t="s">
        <v>473</v>
      </c>
      <c r="Y2189" t="s">
        <v>474</v>
      </c>
      <c r="Z2189" t="s">
        <v>473</v>
      </c>
      <c r="AA2189" t="s">
        <v>473</v>
      </c>
      <c r="AB2189" t="s">
        <v>473</v>
      </c>
      <c r="AC2189" s="10">
        <v>3</v>
      </c>
      <c r="AD2189" s="10">
        <v>11</v>
      </c>
      <c r="AE2189" t="s">
        <v>473</v>
      </c>
    </row>
    <row r="2190" spans="1:31" x14ac:dyDescent="0.25">
      <c r="A2190">
        <v>10652</v>
      </c>
      <c r="B2190">
        <v>1957</v>
      </c>
      <c r="C2190" t="s">
        <v>36</v>
      </c>
      <c r="D2190" t="s">
        <v>31</v>
      </c>
      <c r="E2190" t="str">
        <f>IF(OR(Table1[[#This Row],[marital_status]]="Married", Table1[[#This Row],[marital_status]]="Together"), "Partnered", "Single")</f>
        <v>Partnered</v>
      </c>
      <c r="F2190" s="7">
        <v>65487</v>
      </c>
      <c r="G2190" s="8">
        <v>0</v>
      </c>
      <c r="H2190" s="8">
        <v>0</v>
      </c>
      <c r="I2190" s="8">
        <f>Table1[[#This Row],[kids]]+Table1[[#This Row],[teens]]</f>
        <v>0</v>
      </c>
      <c r="J2190" s="9">
        <v>41649</v>
      </c>
      <c r="K2190" s="8">
        <v>48</v>
      </c>
      <c r="L2190" s="6">
        <v>240</v>
      </c>
      <c r="M2190" s="5">
        <v>67</v>
      </c>
      <c r="N2190" s="5">
        <v>500</v>
      </c>
      <c r="O2190" s="5">
        <v>199</v>
      </c>
      <c r="P2190" s="5">
        <v>0</v>
      </c>
      <c r="Q2190" s="5">
        <v>163</v>
      </c>
      <c r="R2190" s="8">
        <v>3</v>
      </c>
      <c r="S2190" s="8">
        <v>3</v>
      </c>
      <c r="T2190" s="8">
        <v>5</v>
      </c>
      <c r="U2190" s="8">
        <v>6</v>
      </c>
      <c r="V2190" s="8">
        <v>2</v>
      </c>
      <c r="W2190" t="s">
        <v>473</v>
      </c>
      <c r="X2190" t="s">
        <v>473</v>
      </c>
      <c r="Y2190" t="s">
        <v>473</v>
      </c>
      <c r="Z2190" t="s">
        <v>473</v>
      </c>
      <c r="AA2190" t="s">
        <v>473</v>
      </c>
      <c r="AB2190" t="s">
        <v>473</v>
      </c>
      <c r="AC2190" s="10">
        <v>3</v>
      </c>
      <c r="AD2190" s="10">
        <v>11</v>
      </c>
      <c r="AE2190" t="s">
        <v>473</v>
      </c>
    </row>
    <row r="2191" spans="1:31" x14ac:dyDescent="0.25">
      <c r="A2191">
        <v>1646</v>
      </c>
      <c r="B2191">
        <v>1972</v>
      </c>
      <c r="C2191" t="s">
        <v>41</v>
      </c>
      <c r="D2191" t="s">
        <v>34</v>
      </c>
      <c r="E2191" t="str">
        <f>IF(OR(Table1[[#This Row],[marital_status]]="Married", Table1[[#This Row],[marital_status]]="Together"), "Partnered", "Single")</f>
        <v>Partnered</v>
      </c>
      <c r="F2191" s="7">
        <v>25224</v>
      </c>
      <c r="G2191" s="8">
        <v>1</v>
      </c>
      <c r="H2191" s="8">
        <v>0</v>
      </c>
      <c r="I2191" s="8">
        <f>Table1[[#This Row],[kids]]+Table1[[#This Row],[teens]]</f>
        <v>1</v>
      </c>
      <c r="J2191" s="9">
        <v>41714</v>
      </c>
      <c r="K2191" s="8">
        <v>36</v>
      </c>
      <c r="L2191" s="6">
        <v>4</v>
      </c>
      <c r="M2191" s="5">
        <v>9</v>
      </c>
      <c r="N2191" s="5">
        <v>12</v>
      </c>
      <c r="O2191" s="5">
        <v>11</v>
      </c>
      <c r="P2191" s="5">
        <v>2</v>
      </c>
      <c r="Q2191" s="5">
        <v>8</v>
      </c>
      <c r="R2191" s="8">
        <v>2</v>
      </c>
      <c r="S2191" s="8">
        <v>1</v>
      </c>
      <c r="T2191" s="8">
        <v>1</v>
      </c>
      <c r="U2191" s="8">
        <v>3</v>
      </c>
      <c r="V2191" s="8">
        <v>3</v>
      </c>
      <c r="W2191" t="s">
        <v>473</v>
      </c>
      <c r="X2191" t="s">
        <v>473</v>
      </c>
      <c r="Y2191" t="s">
        <v>473</v>
      </c>
      <c r="Z2191" t="s">
        <v>473</v>
      </c>
      <c r="AA2191" t="s">
        <v>473</v>
      </c>
      <c r="AB2191" t="s">
        <v>473</v>
      </c>
      <c r="AC2191" s="10">
        <v>3</v>
      </c>
      <c r="AD2191" s="10">
        <v>11</v>
      </c>
      <c r="AE2191" t="s">
        <v>473</v>
      </c>
    </row>
    <row r="2192" spans="1:31" x14ac:dyDescent="0.25">
      <c r="A2192">
        <v>4418</v>
      </c>
      <c r="B2192">
        <v>1983</v>
      </c>
      <c r="C2192" t="s">
        <v>36</v>
      </c>
      <c r="D2192" t="s">
        <v>30</v>
      </c>
      <c r="E2192" t="str">
        <f>IF(OR(Table1[[#This Row],[marital_status]]="Married", Table1[[#This Row],[marital_status]]="Together"), "Partnered", "Single")</f>
        <v>Single</v>
      </c>
      <c r="F2192" s="7">
        <v>89616</v>
      </c>
      <c r="G2192" s="8">
        <v>0</v>
      </c>
      <c r="H2192" s="8">
        <v>0</v>
      </c>
      <c r="I2192" s="8">
        <f>Table1[[#This Row],[kids]]+Table1[[#This Row],[teens]]</f>
        <v>0</v>
      </c>
      <c r="J2192" s="9">
        <v>41330</v>
      </c>
      <c r="K2192" s="8">
        <v>36</v>
      </c>
      <c r="L2192" s="6">
        <v>671</v>
      </c>
      <c r="M2192" s="5">
        <v>47</v>
      </c>
      <c r="N2192" s="5">
        <v>655</v>
      </c>
      <c r="O2192" s="5">
        <v>145</v>
      </c>
      <c r="P2192" s="5">
        <v>111</v>
      </c>
      <c r="Q2192" s="5">
        <v>15</v>
      </c>
      <c r="R2192" s="8">
        <v>1</v>
      </c>
      <c r="S2192" s="8">
        <v>7</v>
      </c>
      <c r="T2192" s="8">
        <v>5</v>
      </c>
      <c r="U2192" s="8">
        <v>12</v>
      </c>
      <c r="V2192" s="8">
        <v>2</v>
      </c>
      <c r="W2192" t="s">
        <v>473</v>
      </c>
      <c r="X2192" t="s">
        <v>473</v>
      </c>
      <c r="Y2192" t="s">
        <v>473</v>
      </c>
      <c r="Z2192" t="s">
        <v>473</v>
      </c>
      <c r="AA2192" t="s">
        <v>473</v>
      </c>
      <c r="AB2192" t="s">
        <v>473</v>
      </c>
      <c r="AC2192" s="10">
        <v>3</v>
      </c>
      <c r="AD2192" s="10">
        <v>11</v>
      </c>
      <c r="AE2192" t="s">
        <v>474</v>
      </c>
    </row>
    <row r="2193" spans="1:31" x14ac:dyDescent="0.25">
      <c r="A2193">
        <v>2656</v>
      </c>
      <c r="B2193">
        <v>1971</v>
      </c>
      <c r="C2193" t="s">
        <v>466</v>
      </c>
      <c r="D2193" t="s">
        <v>37</v>
      </c>
      <c r="E2193" t="str">
        <f>IF(OR(Table1[[#This Row],[marital_status]]="Married", Table1[[#This Row],[marital_status]]="Together"), "Partnered", "Single")</f>
        <v>Single</v>
      </c>
      <c r="F2193" s="7">
        <v>40851</v>
      </c>
      <c r="G2193" s="8">
        <v>1</v>
      </c>
      <c r="H2193" s="8">
        <v>1</v>
      </c>
      <c r="I2193" s="8">
        <f>Table1[[#This Row],[kids]]+Table1[[#This Row],[teens]]</f>
        <v>2</v>
      </c>
      <c r="J2193" s="9">
        <v>41326</v>
      </c>
      <c r="K2193" s="8">
        <v>63</v>
      </c>
      <c r="L2193" s="6">
        <v>23</v>
      </c>
      <c r="M2193" s="5">
        <v>1</v>
      </c>
      <c r="N2193" s="5">
        <v>7</v>
      </c>
      <c r="O2193" s="5">
        <v>0</v>
      </c>
      <c r="P2193" s="5">
        <v>4</v>
      </c>
      <c r="Q2193" s="5">
        <v>24</v>
      </c>
      <c r="R2193" s="8">
        <v>1</v>
      </c>
      <c r="S2193" s="8">
        <v>1</v>
      </c>
      <c r="T2193" s="8">
        <v>1</v>
      </c>
      <c r="U2193" s="8">
        <v>2</v>
      </c>
      <c r="V2193" s="8">
        <v>7</v>
      </c>
      <c r="W2193" t="s">
        <v>473</v>
      </c>
      <c r="X2193" t="s">
        <v>473</v>
      </c>
      <c r="Y2193" t="s">
        <v>473</v>
      </c>
      <c r="Z2193" t="s">
        <v>473</v>
      </c>
      <c r="AA2193" t="s">
        <v>473</v>
      </c>
      <c r="AB2193" t="s">
        <v>473</v>
      </c>
      <c r="AC2193" s="10">
        <v>3</v>
      </c>
      <c r="AD2193" s="10">
        <v>11</v>
      </c>
      <c r="AE2193" t="s">
        <v>473</v>
      </c>
    </row>
    <row r="2194" spans="1:31" x14ac:dyDescent="0.25">
      <c r="A2194">
        <v>7990</v>
      </c>
      <c r="B2194">
        <v>1947</v>
      </c>
      <c r="C2194" t="s">
        <v>466</v>
      </c>
      <c r="D2194" t="s">
        <v>34</v>
      </c>
      <c r="E2194" t="str">
        <f>IF(OR(Table1[[#This Row],[marital_status]]="Married", Table1[[#This Row],[marital_status]]="Together"), "Partnered", "Single")</f>
        <v>Partnered</v>
      </c>
      <c r="F2194" s="7">
        <v>27469</v>
      </c>
      <c r="G2194" s="8">
        <v>0</v>
      </c>
      <c r="H2194" s="8">
        <v>0</v>
      </c>
      <c r="I2194" s="8">
        <f>Table1[[#This Row],[kids]]+Table1[[#This Row],[teens]]</f>
        <v>0</v>
      </c>
      <c r="J2194" s="9">
        <v>41123</v>
      </c>
      <c r="K2194" s="8">
        <v>2</v>
      </c>
      <c r="L2194" s="6">
        <v>9</v>
      </c>
      <c r="M2194" s="5">
        <v>1</v>
      </c>
      <c r="N2194" s="5">
        <v>2</v>
      </c>
      <c r="O2194" s="5">
        <v>3</v>
      </c>
      <c r="P2194" s="5">
        <v>2</v>
      </c>
      <c r="Q2194" s="5">
        <v>0</v>
      </c>
      <c r="R2194" s="8">
        <v>1</v>
      </c>
      <c r="S2194" s="8">
        <v>0</v>
      </c>
      <c r="T2194" s="8">
        <v>0</v>
      </c>
      <c r="U2194" s="8">
        <v>3</v>
      </c>
      <c r="V2194" s="8">
        <v>6</v>
      </c>
      <c r="W2194" t="s">
        <v>473</v>
      </c>
      <c r="X2194" t="s">
        <v>473</v>
      </c>
      <c r="Y2194" t="s">
        <v>473</v>
      </c>
      <c r="Z2194" t="s">
        <v>473</v>
      </c>
      <c r="AA2194" t="s">
        <v>473</v>
      </c>
      <c r="AB2194" t="s">
        <v>473</v>
      </c>
      <c r="AC2194" s="10">
        <v>3</v>
      </c>
      <c r="AD2194" s="10">
        <v>11</v>
      </c>
      <c r="AE2194" t="s">
        <v>473</v>
      </c>
    </row>
    <row r="2195" spans="1:31" x14ac:dyDescent="0.25">
      <c r="A2195">
        <v>8722</v>
      </c>
      <c r="B2195">
        <v>1957</v>
      </c>
      <c r="C2195" t="s">
        <v>46</v>
      </c>
      <c r="D2195" t="s">
        <v>34</v>
      </c>
      <c r="E2195" t="str">
        <f>IF(OR(Table1[[#This Row],[marital_status]]="Married", Table1[[#This Row],[marital_status]]="Together"), "Partnered", "Single")</f>
        <v>Partnered</v>
      </c>
      <c r="F2195" s="7">
        <v>82347</v>
      </c>
      <c r="G2195" s="8">
        <v>0</v>
      </c>
      <c r="H2195" s="8">
        <v>0</v>
      </c>
      <c r="I2195" s="8">
        <f>Table1[[#This Row],[kids]]+Table1[[#This Row],[teens]]</f>
        <v>0</v>
      </c>
      <c r="J2195" s="9">
        <v>41219</v>
      </c>
      <c r="K2195" s="8">
        <v>38</v>
      </c>
      <c r="L2195" s="6">
        <v>556</v>
      </c>
      <c r="M2195" s="5">
        <v>54</v>
      </c>
      <c r="N2195" s="5">
        <v>845</v>
      </c>
      <c r="O2195" s="5">
        <v>202</v>
      </c>
      <c r="P2195" s="5">
        <v>133</v>
      </c>
      <c r="Q2195" s="5">
        <v>63</v>
      </c>
      <c r="R2195" s="8">
        <v>1</v>
      </c>
      <c r="S2195" s="8">
        <v>7</v>
      </c>
      <c r="T2195" s="8">
        <v>7</v>
      </c>
      <c r="U2195" s="8">
        <v>10</v>
      </c>
      <c r="V2195" s="8">
        <v>3</v>
      </c>
      <c r="W2195" t="s">
        <v>474</v>
      </c>
      <c r="X2195" t="s">
        <v>473</v>
      </c>
      <c r="Y2195" t="s">
        <v>473</v>
      </c>
      <c r="Z2195" t="s">
        <v>474</v>
      </c>
      <c r="AA2195" t="s">
        <v>473</v>
      </c>
      <c r="AB2195" t="s">
        <v>473</v>
      </c>
      <c r="AC2195" s="10">
        <v>3</v>
      </c>
      <c r="AD2195" s="10">
        <v>11</v>
      </c>
      <c r="AE2195" t="s">
        <v>474</v>
      </c>
    </row>
    <row r="2196" spans="1:31" x14ac:dyDescent="0.25">
      <c r="A2196">
        <v>7118</v>
      </c>
      <c r="B2196">
        <v>1957</v>
      </c>
      <c r="C2196" t="s">
        <v>466</v>
      </c>
      <c r="D2196" t="s">
        <v>34</v>
      </c>
      <c r="E2196" t="str">
        <f>IF(OR(Table1[[#This Row],[marital_status]]="Married", Table1[[#This Row],[marital_status]]="Together"), "Partnered", "Single")</f>
        <v>Partnered</v>
      </c>
      <c r="F2196" s="7">
        <v>73803</v>
      </c>
      <c r="G2196" s="8">
        <v>0</v>
      </c>
      <c r="H2196" s="8">
        <v>1</v>
      </c>
      <c r="I2196" s="8">
        <f>Table1[[#This Row],[kids]]+Table1[[#This Row],[teens]]</f>
        <v>1</v>
      </c>
      <c r="J2196" s="9">
        <v>41122</v>
      </c>
      <c r="K2196" s="8">
        <v>61</v>
      </c>
      <c r="L2196" s="6">
        <v>833</v>
      </c>
      <c r="M2196" s="5">
        <v>80</v>
      </c>
      <c r="N2196" s="5">
        <v>363</v>
      </c>
      <c r="O2196" s="5">
        <v>52</v>
      </c>
      <c r="P2196" s="5">
        <v>26</v>
      </c>
      <c r="Q2196" s="5">
        <v>174</v>
      </c>
      <c r="R2196" s="8">
        <v>2</v>
      </c>
      <c r="S2196" s="8">
        <v>9</v>
      </c>
      <c r="T2196" s="8">
        <v>5</v>
      </c>
      <c r="U2196" s="8">
        <v>6</v>
      </c>
      <c r="V2196" s="8">
        <v>6</v>
      </c>
      <c r="W2196" t="s">
        <v>474</v>
      </c>
      <c r="X2196" t="s">
        <v>473</v>
      </c>
      <c r="Y2196" t="s">
        <v>473</v>
      </c>
      <c r="Z2196" t="s">
        <v>473</v>
      </c>
      <c r="AA2196" t="s">
        <v>473</v>
      </c>
      <c r="AB2196" t="s">
        <v>473</v>
      </c>
      <c r="AC2196" s="10">
        <v>3</v>
      </c>
      <c r="AD2196" s="10">
        <v>11</v>
      </c>
      <c r="AE2196" t="s">
        <v>474</v>
      </c>
    </row>
    <row r="2197" spans="1:31" x14ac:dyDescent="0.25">
      <c r="A2197">
        <v>2980</v>
      </c>
      <c r="B2197">
        <v>1952</v>
      </c>
      <c r="C2197" t="s">
        <v>36</v>
      </c>
      <c r="D2197" t="s">
        <v>30</v>
      </c>
      <c r="E2197" t="str">
        <f>IF(OR(Table1[[#This Row],[marital_status]]="Married", Table1[[#This Row],[marital_status]]="Together"), "Partnered", "Single")</f>
        <v>Single</v>
      </c>
      <c r="F2197" s="7">
        <v>8820</v>
      </c>
      <c r="G2197" s="8">
        <v>1</v>
      </c>
      <c r="H2197" s="8">
        <v>1</v>
      </c>
      <c r="I2197" s="8">
        <f>Table1[[#This Row],[kids]]+Table1[[#This Row],[teens]]</f>
        <v>2</v>
      </c>
      <c r="J2197" s="9">
        <v>41355</v>
      </c>
      <c r="K2197" s="8">
        <v>52</v>
      </c>
      <c r="L2197" s="6">
        <v>12</v>
      </c>
      <c r="M2197" s="5">
        <v>0</v>
      </c>
      <c r="N2197" s="5">
        <v>13</v>
      </c>
      <c r="O2197" s="5">
        <v>4</v>
      </c>
      <c r="P2197" s="5">
        <v>2</v>
      </c>
      <c r="Q2197" s="5">
        <v>4</v>
      </c>
      <c r="R2197" s="8">
        <v>4</v>
      </c>
      <c r="S2197" s="8">
        <v>3</v>
      </c>
      <c r="T2197" s="8">
        <v>0</v>
      </c>
      <c r="U2197" s="8">
        <v>3</v>
      </c>
      <c r="V2197" s="8">
        <v>8</v>
      </c>
      <c r="W2197" t="s">
        <v>473</v>
      </c>
      <c r="X2197" t="s">
        <v>473</v>
      </c>
      <c r="Y2197" t="s">
        <v>473</v>
      </c>
      <c r="Z2197" t="s">
        <v>473</v>
      </c>
      <c r="AA2197" t="s">
        <v>473</v>
      </c>
      <c r="AB2197" t="s">
        <v>473</v>
      </c>
      <c r="AC2197" s="10">
        <v>3</v>
      </c>
      <c r="AD2197" s="10">
        <v>11</v>
      </c>
      <c r="AE2197" t="s">
        <v>473</v>
      </c>
    </row>
    <row r="2198" spans="1:31" x14ac:dyDescent="0.25">
      <c r="A2198">
        <v>1839</v>
      </c>
      <c r="B2198">
        <v>1974</v>
      </c>
      <c r="C2198" t="s">
        <v>466</v>
      </c>
      <c r="D2198" t="s">
        <v>30</v>
      </c>
      <c r="E2198" t="str">
        <f>IF(OR(Table1[[#This Row],[marital_status]]="Married", Table1[[#This Row],[marital_status]]="Together"), "Partnered", "Single")</f>
        <v>Single</v>
      </c>
      <c r="F2198" s="7">
        <v>43322</v>
      </c>
      <c r="G2198" s="8">
        <v>0</v>
      </c>
      <c r="H2198" s="8">
        <v>0</v>
      </c>
      <c r="I2198" s="8">
        <f>Table1[[#This Row],[kids]]+Table1[[#This Row],[teens]]</f>
        <v>0</v>
      </c>
      <c r="J2198" s="9">
        <v>41750</v>
      </c>
      <c r="K2198" s="8">
        <v>25</v>
      </c>
      <c r="L2198" s="6">
        <v>56</v>
      </c>
      <c r="M2198" s="5">
        <v>7</v>
      </c>
      <c r="N2198" s="5">
        <v>48</v>
      </c>
      <c r="O2198" s="5">
        <v>10</v>
      </c>
      <c r="P2198" s="5">
        <v>2</v>
      </c>
      <c r="Q2198" s="5">
        <v>18</v>
      </c>
      <c r="R2198" s="8">
        <v>1</v>
      </c>
      <c r="S2198" s="8">
        <v>3</v>
      </c>
      <c r="T2198" s="8">
        <v>0</v>
      </c>
      <c r="U2198" s="8">
        <v>4</v>
      </c>
      <c r="V2198" s="8">
        <v>7</v>
      </c>
      <c r="W2198" t="s">
        <v>473</v>
      </c>
      <c r="X2198" t="s">
        <v>473</v>
      </c>
      <c r="Y2198" t="s">
        <v>473</v>
      </c>
      <c r="Z2198" t="s">
        <v>473</v>
      </c>
      <c r="AA2198" t="s">
        <v>473</v>
      </c>
      <c r="AB2198" t="s">
        <v>473</v>
      </c>
      <c r="AC2198" s="10">
        <v>3</v>
      </c>
      <c r="AD2198" s="10">
        <v>11</v>
      </c>
      <c r="AE2198" t="s">
        <v>473</v>
      </c>
    </row>
    <row r="2199" spans="1:31" x14ac:dyDescent="0.25">
      <c r="A2199">
        <v>10722</v>
      </c>
      <c r="B2199">
        <v>1973</v>
      </c>
      <c r="C2199" t="s">
        <v>466</v>
      </c>
      <c r="D2199" t="s">
        <v>31</v>
      </c>
      <c r="E2199" t="str">
        <f>IF(OR(Table1[[#This Row],[marital_status]]="Married", Table1[[#This Row],[marital_status]]="Together"), "Partnered", "Single")</f>
        <v>Partnered</v>
      </c>
      <c r="F2199" s="7">
        <v>55593</v>
      </c>
      <c r="G2199" s="8">
        <v>0</v>
      </c>
      <c r="H2199" s="8">
        <v>1</v>
      </c>
      <c r="I2199" s="8">
        <f>Table1[[#This Row],[kids]]+Table1[[#This Row],[teens]]</f>
        <v>1</v>
      </c>
      <c r="J2199" s="9">
        <v>41507</v>
      </c>
      <c r="K2199" s="8">
        <v>63</v>
      </c>
      <c r="L2199" s="6">
        <v>293</v>
      </c>
      <c r="M2199" s="5">
        <v>8</v>
      </c>
      <c r="N2199" s="5">
        <v>124</v>
      </c>
      <c r="O2199" s="5">
        <v>11</v>
      </c>
      <c r="P2199" s="5">
        <v>4</v>
      </c>
      <c r="Q2199" s="5">
        <v>106</v>
      </c>
      <c r="R2199" s="8">
        <v>2</v>
      </c>
      <c r="S2199" s="8">
        <v>6</v>
      </c>
      <c r="T2199" s="8">
        <v>6</v>
      </c>
      <c r="U2199" s="8">
        <v>3</v>
      </c>
      <c r="V2199" s="8">
        <v>6</v>
      </c>
      <c r="W2199" t="s">
        <v>474</v>
      </c>
      <c r="X2199" t="s">
        <v>473</v>
      </c>
      <c r="Y2199" t="s">
        <v>473</v>
      </c>
      <c r="Z2199" t="s">
        <v>473</v>
      </c>
      <c r="AA2199" t="s">
        <v>473</v>
      </c>
      <c r="AB2199" t="s">
        <v>473</v>
      </c>
      <c r="AC2199" s="10">
        <v>3</v>
      </c>
      <c r="AD2199" s="10">
        <v>11</v>
      </c>
      <c r="AE2199" t="s">
        <v>473</v>
      </c>
    </row>
    <row r="2200" spans="1:31" x14ac:dyDescent="0.25">
      <c r="A2200">
        <v>2632</v>
      </c>
      <c r="B2200">
        <v>1954</v>
      </c>
      <c r="C2200" t="s">
        <v>466</v>
      </c>
      <c r="D2200" t="s">
        <v>34</v>
      </c>
      <c r="E2200" t="str">
        <f>IF(OR(Table1[[#This Row],[marital_status]]="Married", Table1[[#This Row],[marital_status]]="Together"), "Partnered", "Single")</f>
        <v>Partnered</v>
      </c>
      <c r="F2200" s="7">
        <v>50501</v>
      </c>
      <c r="G2200" s="8">
        <v>1</v>
      </c>
      <c r="H2200" s="8">
        <v>1</v>
      </c>
      <c r="I2200" s="8">
        <f>Table1[[#This Row],[kids]]+Table1[[#This Row],[teens]]</f>
        <v>2</v>
      </c>
      <c r="J2200" s="9">
        <v>41443</v>
      </c>
      <c r="K2200" s="8">
        <v>10</v>
      </c>
      <c r="L2200" s="6">
        <v>297</v>
      </c>
      <c r="M2200" s="5">
        <v>0</v>
      </c>
      <c r="N2200" s="5">
        <v>38</v>
      </c>
      <c r="O2200" s="5">
        <v>13</v>
      </c>
      <c r="P2200" s="5">
        <v>0</v>
      </c>
      <c r="Q2200" s="5">
        <v>152</v>
      </c>
      <c r="R2200" s="8">
        <v>7</v>
      </c>
      <c r="S2200" s="8">
        <v>5</v>
      </c>
      <c r="T2200" s="8">
        <v>4</v>
      </c>
      <c r="U2200" s="8">
        <v>4</v>
      </c>
      <c r="V2200" s="8">
        <v>6</v>
      </c>
      <c r="W2200" t="s">
        <v>474</v>
      </c>
      <c r="X2200" t="s">
        <v>473</v>
      </c>
      <c r="Y2200" t="s">
        <v>473</v>
      </c>
      <c r="Z2200" t="s">
        <v>473</v>
      </c>
      <c r="AA2200" t="s">
        <v>473</v>
      </c>
      <c r="AB2200" t="s">
        <v>473</v>
      </c>
      <c r="AC2200" s="10">
        <v>3</v>
      </c>
      <c r="AD2200" s="10">
        <v>11</v>
      </c>
      <c r="AE2200" t="s">
        <v>474</v>
      </c>
    </row>
    <row r="2201" spans="1:31" x14ac:dyDescent="0.25">
      <c r="A2201">
        <v>9014</v>
      </c>
      <c r="B2201">
        <v>1975</v>
      </c>
      <c r="C2201" t="s">
        <v>466</v>
      </c>
      <c r="D2201" t="s">
        <v>34</v>
      </c>
      <c r="E2201" t="str">
        <f>IF(OR(Table1[[#This Row],[marital_status]]="Married", Table1[[#This Row],[marital_status]]="Together"), "Partnered", "Single")</f>
        <v>Partnered</v>
      </c>
      <c r="F2201" s="7">
        <v>37085</v>
      </c>
      <c r="G2201" s="8">
        <v>1</v>
      </c>
      <c r="H2201" s="8">
        <v>1</v>
      </c>
      <c r="I2201" s="8">
        <f>Table1[[#This Row],[kids]]+Table1[[#This Row],[teens]]</f>
        <v>2</v>
      </c>
      <c r="J2201" s="9">
        <v>41816</v>
      </c>
      <c r="K2201" s="8">
        <v>65</v>
      </c>
      <c r="L2201" s="6">
        <v>39</v>
      </c>
      <c r="M2201" s="5">
        <v>1</v>
      </c>
      <c r="N2201" s="5">
        <v>16</v>
      </c>
      <c r="O2201" s="5">
        <v>2</v>
      </c>
      <c r="P2201" s="5">
        <v>0</v>
      </c>
      <c r="Q2201" s="5">
        <v>3</v>
      </c>
      <c r="R2201" s="8">
        <v>4</v>
      </c>
      <c r="S2201" s="8">
        <v>3</v>
      </c>
      <c r="T2201" s="8">
        <v>0</v>
      </c>
      <c r="U2201" s="8">
        <v>3</v>
      </c>
      <c r="V2201" s="8">
        <v>8</v>
      </c>
      <c r="W2201" t="s">
        <v>473</v>
      </c>
      <c r="X2201" t="s">
        <v>473</v>
      </c>
      <c r="Y2201" t="s">
        <v>473</v>
      </c>
      <c r="Z2201" t="s">
        <v>473</v>
      </c>
      <c r="AA2201" t="s">
        <v>473</v>
      </c>
      <c r="AB2201" t="s">
        <v>473</v>
      </c>
      <c r="AC2201" s="10">
        <v>3</v>
      </c>
      <c r="AD2201" s="10">
        <v>11</v>
      </c>
      <c r="AE2201" t="s">
        <v>473</v>
      </c>
    </row>
    <row r="2202" spans="1:31" x14ac:dyDescent="0.25">
      <c r="A2202">
        <v>7620</v>
      </c>
      <c r="B2202">
        <v>1990</v>
      </c>
      <c r="C2202" t="s">
        <v>41</v>
      </c>
      <c r="D2202" t="s">
        <v>30</v>
      </c>
      <c r="E2202" t="str">
        <f>IF(OR(Table1[[#This Row],[marital_status]]="Married", Table1[[#This Row],[marital_status]]="Together"), "Partnered", "Single")</f>
        <v>Single</v>
      </c>
      <c r="F2202" s="7">
        <v>16185</v>
      </c>
      <c r="G2202" s="8">
        <v>1</v>
      </c>
      <c r="H2202" s="8">
        <v>0</v>
      </c>
      <c r="I2202" s="8">
        <f>Table1[[#This Row],[kids]]+Table1[[#This Row],[teens]]</f>
        <v>1</v>
      </c>
      <c r="J2202" s="9">
        <v>41491</v>
      </c>
      <c r="K2202" s="8">
        <v>71</v>
      </c>
      <c r="L2202" s="6">
        <v>5</v>
      </c>
      <c r="M2202" s="5">
        <v>11</v>
      </c>
      <c r="N2202" s="5">
        <v>16</v>
      </c>
      <c r="O2202" s="5">
        <v>21</v>
      </c>
      <c r="P2202" s="5">
        <v>8</v>
      </c>
      <c r="Q2202" s="5">
        <v>45</v>
      </c>
      <c r="R2202" s="8">
        <v>2</v>
      </c>
      <c r="S2202" s="8">
        <v>2</v>
      </c>
      <c r="T2202" s="8">
        <v>2</v>
      </c>
      <c r="U2202" s="8">
        <v>2</v>
      </c>
      <c r="V2202" s="8">
        <v>8</v>
      </c>
      <c r="W2202" t="s">
        <v>473</v>
      </c>
      <c r="X2202" t="s">
        <v>473</v>
      </c>
      <c r="Y2202" t="s">
        <v>473</v>
      </c>
      <c r="Z2202" t="s">
        <v>473</v>
      </c>
      <c r="AA2202" t="s">
        <v>473</v>
      </c>
      <c r="AB2202" t="s">
        <v>473</v>
      </c>
      <c r="AC2202" s="10">
        <v>3</v>
      </c>
      <c r="AD2202" s="10">
        <v>11</v>
      </c>
      <c r="AE2202" t="s">
        <v>473</v>
      </c>
    </row>
    <row r="2203" spans="1:31" x14ac:dyDescent="0.25">
      <c r="A2203">
        <v>10968</v>
      </c>
      <c r="B2203">
        <v>1969</v>
      </c>
      <c r="C2203" t="s">
        <v>466</v>
      </c>
      <c r="D2203" t="s">
        <v>30</v>
      </c>
      <c r="E2203" t="str">
        <f>IF(OR(Table1[[#This Row],[marital_status]]="Married", Table1[[#This Row],[marital_status]]="Together"), "Partnered", "Single")</f>
        <v>Single</v>
      </c>
      <c r="F2203" s="7">
        <v>57731</v>
      </c>
      <c r="G2203" s="8">
        <v>0</v>
      </c>
      <c r="H2203" s="8">
        <v>1</v>
      </c>
      <c r="I2203" s="8">
        <f>Table1[[#This Row],[kids]]+Table1[[#This Row],[teens]]</f>
        <v>1</v>
      </c>
      <c r="J2203" s="9">
        <v>41236</v>
      </c>
      <c r="K2203" s="8">
        <v>0</v>
      </c>
      <c r="L2203" s="6">
        <v>266</v>
      </c>
      <c r="M2203" s="5">
        <v>21</v>
      </c>
      <c r="N2203" s="5">
        <v>300</v>
      </c>
      <c r="O2203" s="5">
        <v>65</v>
      </c>
      <c r="P2203" s="5">
        <v>8</v>
      </c>
      <c r="Q2203" s="5">
        <v>44</v>
      </c>
      <c r="R2203" s="8">
        <v>4</v>
      </c>
      <c r="S2203" s="8">
        <v>8</v>
      </c>
      <c r="T2203" s="8">
        <v>8</v>
      </c>
      <c r="U2203" s="8">
        <v>6</v>
      </c>
      <c r="V2203" s="8">
        <v>6</v>
      </c>
      <c r="W2203" t="s">
        <v>473</v>
      </c>
      <c r="X2203" t="s">
        <v>473</v>
      </c>
      <c r="Y2203" t="s">
        <v>473</v>
      </c>
      <c r="Z2203" t="s">
        <v>473</v>
      </c>
      <c r="AA2203" t="s">
        <v>473</v>
      </c>
      <c r="AB2203" t="s">
        <v>473</v>
      </c>
      <c r="AC2203" s="10">
        <v>3</v>
      </c>
      <c r="AD2203" s="10">
        <v>11</v>
      </c>
      <c r="AE2203" t="s">
        <v>473</v>
      </c>
    </row>
    <row r="2204" spans="1:31" x14ac:dyDescent="0.25">
      <c r="A2204">
        <v>11133</v>
      </c>
      <c r="B2204">
        <v>1973</v>
      </c>
      <c r="C2204" t="s">
        <v>33</v>
      </c>
      <c r="D2204" t="s">
        <v>440</v>
      </c>
      <c r="E2204" t="str">
        <f>IF(OR(Table1[[#This Row],[marital_status]]="Married", Table1[[#This Row],[marital_status]]="Together"), "Partnered", "Single")</f>
        <v>Single</v>
      </c>
      <c r="F2204" s="7">
        <v>48432</v>
      </c>
      <c r="G2204" s="8">
        <v>0</v>
      </c>
      <c r="H2204" s="8">
        <v>1</v>
      </c>
      <c r="I2204" s="8">
        <f>Table1[[#This Row],[kids]]+Table1[[#This Row],[teens]]</f>
        <v>1</v>
      </c>
      <c r="J2204" s="9">
        <v>41200</v>
      </c>
      <c r="K2204" s="8">
        <v>3</v>
      </c>
      <c r="L2204" s="6">
        <v>322</v>
      </c>
      <c r="M2204" s="5">
        <v>3</v>
      </c>
      <c r="N2204" s="5">
        <v>50</v>
      </c>
      <c r="O2204" s="5">
        <v>4</v>
      </c>
      <c r="P2204" s="5">
        <v>3</v>
      </c>
      <c r="Q2204" s="5">
        <v>42</v>
      </c>
      <c r="R2204" s="8">
        <v>5</v>
      </c>
      <c r="S2204" s="8">
        <v>7</v>
      </c>
      <c r="T2204" s="8">
        <v>1</v>
      </c>
      <c r="U2204" s="8">
        <v>6</v>
      </c>
      <c r="V2204" s="8">
        <v>8</v>
      </c>
      <c r="W2204" t="s">
        <v>473</v>
      </c>
      <c r="X2204" t="s">
        <v>473</v>
      </c>
      <c r="Y2204" t="s">
        <v>473</v>
      </c>
      <c r="Z2204" t="s">
        <v>473</v>
      </c>
      <c r="AA2204" t="s">
        <v>473</v>
      </c>
      <c r="AB2204" t="s">
        <v>473</v>
      </c>
      <c r="AC2204" s="10">
        <v>3</v>
      </c>
      <c r="AD2204" s="10">
        <v>11</v>
      </c>
      <c r="AE2204" t="s">
        <v>474</v>
      </c>
    </row>
    <row r="2205" spans="1:31" x14ac:dyDescent="0.25">
      <c r="A2205">
        <v>2736</v>
      </c>
      <c r="B2205">
        <v>1978</v>
      </c>
      <c r="C2205" t="s">
        <v>466</v>
      </c>
      <c r="D2205" t="s">
        <v>34</v>
      </c>
      <c r="E2205" t="str">
        <f>IF(OR(Table1[[#This Row],[marital_status]]="Married", Table1[[#This Row],[marital_status]]="Together"), "Partnered", "Single")</f>
        <v>Partnered</v>
      </c>
      <c r="F2205" s="7">
        <v>73807</v>
      </c>
      <c r="G2205" s="8">
        <v>0</v>
      </c>
      <c r="H2205" s="8">
        <v>1</v>
      </c>
      <c r="I2205" s="8">
        <f>Table1[[#This Row],[kids]]+Table1[[#This Row],[teens]]</f>
        <v>1</v>
      </c>
      <c r="J2205" s="9">
        <v>41276</v>
      </c>
      <c r="K2205" s="8">
        <v>88</v>
      </c>
      <c r="L2205" s="6">
        <v>366</v>
      </c>
      <c r="M2205" s="5">
        <v>124</v>
      </c>
      <c r="N2205" s="5">
        <v>156</v>
      </c>
      <c r="O2205" s="5">
        <v>71</v>
      </c>
      <c r="P2205" s="5">
        <v>78</v>
      </c>
      <c r="Q2205" s="5">
        <v>54</v>
      </c>
      <c r="R2205" s="8">
        <v>2</v>
      </c>
      <c r="S2205" s="8">
        <v>5</v>
      </c>
      <c r="T2205" s="8">
        <v>5</v>
      </c>
      <c r="U2205" s="8">
        <v>11</v>
      </c>
      <c r="V2205" s="8">
        <v>2</v>
      </c>
      <c r="W2205" t="s">
        <v>473</v>
      </c>
      <c r="X2205" t="s">
        <v>473</v>
      </c>
      <c r="Y2205" t="s">
        <v>473</v>
      </c>
      <c r="Z2205" t="s">
        <v>473</v>
      </c>
      <c r="AA2205" t="s">
        <v>473</v>
      </c>
      <c r="AB2205" t="s">
        <v>473</v>
      </c>
      <c r="AC2205" s="10">
        <v>3</v>
      </c>
      <c r="AD2205" s="10">
        <v>11</v>
      </c>
      <c r="AE2205" t="s">
        <v>473</v>
      </c>
    </row>
    <row r="2206" spans="1:31" x14ac:dyDescent="0.25">
      <c r="A2206">
        <v>1876</v>
      </c>
      <c r="B2206">
        <v>1990</v>
      </c>
      <c r="C2206" t="s">
        <v>466</v>
      </c>
      <c r="D2206" t="s">
        <v>34</v>
      </c>
      <c r="E2206" t="str">
        <f>IF(OR(Table1[[#This Row],[marital_status]]="Married", Table1[[#This Row],[marital_status]]="Together"), "Partnered", "Single")</f>
        <v>Partnered</v>
      </c>
      <c r="F2206" s="7">
        <v>18929</v>
      </c>
      <c r="G2206" s="8">
        <v>0</v>
      </c>
      <c r="H2206" s="8">
        <v>0</v>
      </c>
      <c r="I2206" s="8">
        <f>Table1[[#This Row],[kids]]+Table1[[#This Row],[teens]]</f>
        <v>0</v>
      </c>
      <c r="J2206" s="9">
        <v>41321</v>
      </c>
      <c r="K2206" s="8">
        <v>15</v>
      </c>
      <c r="L2206" s="6">
        <v>32</v>
      </c>
      <c r="M2206" s="5">
        <v>0</v>
      </c>
      <c r="N2206" s="5">
        <v>8</v>
      </c>
      <c r="O2206" s="5">
        <v>23</v>
      </c>
      <c r="P2206" s="5">
        <v>4</v>
      </c>
      <c r="Q2206" s="5">
        <v>18</v>
      </c>
      <c r="R2206" s="8">
        <v>1</v>
      </c>
      <c r="S2206" s="8">
        <v>1</v>
      </c>
      <c r="T2206" s="8">
        <v>0</v>
      </c>
      <c r="U2206" s="8">
        <v>4</v>
      </c>
      <c r="V2206" s="8">
        <v>6</v>
      </c>
      <c r="W2206" t="s">
        <v>473</v>
      </c>
      <c r="X2206" t="s">
        <v>473</v>
      </c>
      <c r="Y2206" t="s">
        <v>473</v>
      </c>
      <c r="Z2206" t="s">
        <v>473</v>
      </c>
      <c r="AA2206" t="s">
        <v>473</v>
      </c>
      <c r="AB2206" t="s">
        <v>473</v>
      </c>
      <c r="AC2206" s="10">
        <v>3</v>
      </c>
      <c r="AD2206" s="10">
        <v>11</v>
      </c>
      <c r="AE2206" t="s">
        <v>473</v>
      </c>
    </row>
    <row r="2207" spans="1:31" x14ac:dyDescent="0.25">
      <c r="A2207">
        <v>5959</v>
      </c>
      <c r="B2207">
        <v>1968</v>
      </c>
      <c r="C2207" t="s">
        <v>466</v>
      </c>
      <c r="D2207" t="s">
        <v>30</v>
      </c>
      <c r="E2207" t="str">
        <f>IF(OR(Table1[[#This Row],[marital_status]]="Married", Table1[[#This Row],[marital_status]]="Together"), "Partnered", "Single")</f>
        <v>Single</v>
      </c>
      <c r="F2207" s="7">
        <v>35893</v>
      </c>
      <c r="G2207" s="8">
        <v>1</v>
      </c>
      <c r="H2207" s="8">
        <v>1</v>
      </c>
      <c r="I2207" s="8">
        <f>Table1[[#This Row],[kids]]+Table1[[#This Row],[teens]]</f>
        <v>2</v>
      </c>
      <c r="J2207" s="9">
        <v>41197</v>
      </c>
      <c r="K2207" s="8">
        <v>80</v>
      </c>
      <c r="L2207" s="6">
        <v>158</v>
      </c>
      <c r="M2207" s="5">
        <v>0</v>
      </c>
      <c r="N2207" s="5">
        <v>23</v>
      </c>
      <c r="O2207" s="5">
        <v>0</v>
      </c>
      <c r="P2207" s="5">
        <v>0</v>
      </c>
      <c r="Q2207" s="5">
        <v>18</v>
      </c>
      <c r="R2207" s="8">
        <v>6</v>
      </c>
      <c r="S2207" s="8">
        <v>3</v>
      </c>
      <c r="T2207" s="8">
        <v>1</v>
      </c>
      <c r="U2207" s="8">
        <v>5</v>
      </c>
      <c r="V2207" s="8">
        <v>8</v>
      </c>
      <c r="W2207" t="s">
        <v>473</v>
      </c>
      <c r="X2207" t="s">
        <v>473</v>
      </c>
      <c r="Y2207" t="s">
        <v>473</v>
      </c>
      <c r="Z2207" t="s">
        <v>473</v>
      </c>
      <c r="AA2207" t="s">
        <v>473</v>
      </c>
      <c r="AB2207" t="s">
        <v>473</v>
      </c>
      <c r="AC2207" s="10">
        <v>3</v>
      </c>
      <c r="AD2207" s="10">
        <v>11</v>
      </c>
      <c r="AE2207" t="s">
        <v>473</v>
      </c>
    </row>
    <row r="2208" spans="1:31" x14ac:dyDescent="0.25">
      <c r="A2208">
        <v>1092</v>
      </c>
      <c r="B2208">
        <v>1980</v>
      </c>
      <c r="C2208" t="s">
        <v>466</v>
      </c>
      <c r="D2208" t="s">
        <v>34</v>
      </c>
      <c r="E2208" t="str">
        <f>IF(OR(Table1[[#This Row],[marital_status]]="Married", Table1[[#This Row],[marital_status]]="Together"), "Partnered", "Single")</f>
        <v>Partnered</v>
      </c>
      <c r="F2208" s="7">
        <v>61014</v>
      </c>
      <c r="G2208" s="8">
        <v>0</v>
      </c>
      <c r="H2208" s="8">
        <v>1</v>
      </c>
      <c r="I2208" s="8">
        <f>Table1[[#This Row],[kids]]+Table1[[#This Row],[teens]]</f>
        <v>1</v>
      </c>
      <c r="J2208" s="9">
        <v>41132</v>
      </c>
      <c r="K2208" s="8">
        <v>17</v>
      </c>
      <c r="L2208" s="6">
        <v>269</v>
      </c>
      <c r="M2208" s="5">
        <v>129</v>
      </c>
      <c r="N2208" s="5">
        <v>495</v>
      </c>
      <c r="O2208" s="5">
        <v>182</v>
      </c>
      <c r="P2208" s="5">
        <v>43</v>
      </c>
      <c r="Q2208" s="5">
        <v>29</v>
      </c>
      <c r="R2208" s="8">
        <v>4</v>
      </c>
      <c r="S2208" s="8">
        <v>9</v>
      </c>
      <c r="T2208" s="8">
        <v>3</v>
      </c>
      <c r="U2208" s="8">
        <v>4</v>
      </c>
      <c r="V2208" s="8">
        <v>7</v>
      </c>
      <c r="W2208" t="s">
        <v>473</v>
      </c>
      <c r="X2208" t="s">
        <v>473</v>
      </c>
      <c r="Y2208" t="s">
        <v>473</v>
      </c>
      <c r="Z2208" t="s">
        <v>473</v>
      </c>
      <c r="AA2208" t="s">
        <v>473</v>
      </c>
      <c r="AB2208" t="s">
        <v>473</v>
      </c>
      <c r="AC2208" s="10">
        <v>3</v>
      </c>
      <c r="AD2208" s="10">
        <v>11</v>
      </c>
      <c r="AE2208" t="s">
        <v>473</v>
      </c>
    </row>
    <row r="2209" spans="1:31" x14ac:dyDescent="0.25">
      <c r="A2209">
        <v>4333</v>
      </c>
      <c r="B2209">
        <v>1954</v>
      </c>
      <c r="C2209" t="s">
        <v>466</v>
      </c>
      <c r="D2209" t="s">
        <v>31</v>
      </c>
      <c r="E2209" t="str">
        <f>IF(OR(Table1[[#This Row],[marital_status]]="Married", Table1[[#This Row],[marital_status]]="Together"), "Partnered", "Single")</f>
        <v>Partnered</v>
      </c>
      <c r="F2209" s="7">
        <v>32144</v>
      </c>
      <c r="G2209" s="8">
        <v>1</v>
      </c>
      <c r="H2209" s="8">
        <v>1</v>
      </c>
      <c r="I2209" s="8">
        <f>Table1[[#This Row],[kids]]+Table1[[#This Row],[teens]]</f>
        <v>2</v>
      </c>
      <c r="J2209" s="9">
        <v>41721</v>
      </c>
      <c r="K2209" s="8">
        <v>76</v>
      </c>
      <c r="L2209" s="6">
        <v>41</v>
      </c>
      <c r="M2209" s="5">
        <v>0</v>
      </c>
      <c r="N2209" s="5">
        <v>10</v>
      </c>
      <c r="O2209" s="5">
        <v>0</v>
      </c>
      <c r="P2209" s="5">
        <v>0</v>
      </c>
      <c r="Q2209" s="5">
        <v>3</v>
      </c>
      <c r="R2209" s="8">
        <v>4</v>
      </c>
      <c r="S2209" s="8">
        <v>2</v>
      </c>
      <c r="T2209" s="8">
        <v>1</v>
      </c>
      <c r="U2209" s="8">
        <v>3</v>
      </c>
      <c r="V2209" s="8">
        <v>7</v>
      </c>
      <c r="W2209" t="s">
        <v>473</v>
      </c>
      <c r="X2209" t="s">
        <v>474</v>
      </c>
      <c r="Y2209" t="s">
        <v>473</v>
      </c>
      <c r="Z2209" t="s">
        <v>473</v>
      </c>
      <c r="AA2209" t="s">
        <v>473</v>
      </c>
      <c r="AB2209" t="s">
        <v>473</v>
      </c>
      <c r="AC2209" s="10">
        <v>3</v>
      </c>
      <c r="AD2209" s="10">
        <v>11</v>
      </c>
      <c r="AE2209" t="s">
        <v>473</v>
      </c>
    </row>
    <row r="2210" spans="1:31" x14ac:dyDescent="0.25">
      <c r="A2210">
        <v>3850</v>
      </c>
      <c r="B2210">
        <v>1963</v>
      </c>
      <c r="C2210" t="s">
        <v>41</v>
      </c>
      <c r="D2210" t="s">
        <v>31</v>
      </c>
      <c r="E2210" t="str">
        <f>IF(OR(Table1[[#This Row],[marital_status]]="Married", Table1[[#This Row],[marital_status]]="Together"), "Partnered", "Single")</f>
        <v>Partnered</v>
      </c>
      <c r="F2210" s="7">
        <v>14918</v>
      </c>
      <c r="G2210" s="8">
        <v>0</v>
      </c>
      <c r="H2210" s="8">
        <v>1</v>
      </c>
      <c r="I2210" s="8">
        <f>Table1[[#This Row],[kids]]+Table1[[#This Row],[teens]]</f>
        <v>1</v>
      </c>
      <c r="J2210" s="9">
        <v>41250</v>
      </c>
      <c r="K2210" s="8">
        <v>52</v>
      </c>
      <c r="L2210" s="6">
        <v>3</v>
      </c>
      <c r="M2210" s="5">
        <v>3</v>
      </c>
      <c r="N2210" s="5">
        <v>3</v>
      </c>
      <c r="O2210" s="5">
        <v>15</v>
      </c>
      <c r="P2210" s="5">
        <v>4</v>
      </c>
      <c r="Q2210" s="5">
        <v>15</v>
      </c>
      <c r="R2210" s="8">
        <v>1</v>
      </c>
      <c r="S2210" s="8">
        <v>1</v>
      </c>
      <c r="T2210" s="8">
        <v>0</v>
      </c>
      <c r="U2210" s="8">
        <v>3</v>
      </c>
      <c r="V2210" s="8">
        <v>6</v>
      </c>
      <c r="W2210" t="s">
        <v>473</v>
      </c>
      <c r="X2210" t="s">
        <v>473</v>
      </c>
      <c r="Y2210" t="s">
        <v>473</v>
      </c>
      <c r="Z2210" t="s">
        <v>473</v>
      </c>
      <c r="AA2210" t="s">
        <v>473</v>
      </c>
      <c r="AB2210" t="s">
        <v>473</v>
      </c>
      <c r="AC2210" s="10">
        <v>3</v>
      </c>
      <c r="AD2210" s="10">
        <v>11</v>
      </c>
      <c r="AE2210" t="s">
        <v>473</v>
      </c>
    </row>
    <row r="2211" spans="1:31" x14ac:dyDescent="0.25">
      <c r="A2211">
        <v>6168</v>
      </c>
      <c r="B2211">
        <v>1963</v>
      </c>
      <c r="C2211" t="s">
        <v>466</v>
      </c>
      <c r="D2211" t="s">
        <v>37</v>
      </c>
      <c r="E2211" t="str">
        <f>IF(OR(Table1[[#This Row],[marital_status]]="Married", Table1[[#This Row],[marital_status]]="Together"), "Partnered", "Single")</f>
        <v>Single</v>
      </c>
      <c r="F2211" s="7">
        <v>45146</v>
      </c>
      <c r="G2211" s="8">
        <v>1</v>
      </c>
      <c r="H2211" s="8">
        <v>1</v>
      </c>
      <c r="I2211" s="8">
        <f>Table1[[#This Row],[kids]]+Table1[[#This Row],[teens]]</f>
        <v>2</v>
      </c>
      <c r="J2211" s="9">
        <v>41470</v>
      </c>
      <c r="K2211" s="8">
        <v>28</v>
      </c>
      <c r="L2211" s="6">
        <v>33</v>
      </c>
      <c r="M2211" s="5">
        <v>0</v>
      </c>
      <c r="N2211" s="5">
        <v>5</v>
      </c>
      <c r="O2211" s="5">
        <v>0</v>
      </c>
      <c r="P2211" s="5">
        <v>0</v>
      </c>
      <c r="Q2211" s="5">
        <v>15</v>
      </c>
      <c r="R2211" s="8">
        <v>2</v>
      </c>
      <c r="S2211" s="8">
        <v>1</v>
      </c>
      <c r="T2211" s="8">
        <v>1</v>
      </c>
      <c r="U2211" s="8">
        <v>2</v>
      </c>
      <c r="V2211" s="8">
        <v>4</v>
      </c>
      <c r="W2211" t="s">
        <v>473</v>
      </c>
      <c r="X2211" t="s">
        <v>473</v>
      </c>
      <c r="Y2211" t="s">
        <v>473</v>
      </c>
      <c r="Z2211" t="s">
        <v>473</v>
      </c>
      <c r="AA2211" t="s">
        <v>473</v>
      </c>
      <c r="AB2211" t="s">
        <v>473</v>
      </c>
      <c r="AC2211" s="10">
        <v>3</v>
      </c>
      <c r="AD2211" s="10">
        <v>11</v>
      </c>
      <c r="AE2211" t="s">
        <v>473</v>
      </c>
    </row>
    <row r="2212" spans="1:31" x14ac:dyDescent="0.25">
      <c r="A2212">
        <v>607</v>
      </c>
      <c r="B2212">
        <v>1955</v>
      </c>
      <c r="C2212" t="s">
        <v>46</v>
      </c>
      <c r="D2212" t="s">
        <v>37</v>
      </c>
      <c r="E2212" t="str">
        <f>IF(OR(Table1[[#This Row],[marital_status]]="Married", Table1[[#This Row],[marital_status]]="Together"), "Partnered", "Single")</f>
        <v>Single</v>
      </c>
      <c r="F2212" s="7">
        <v>41769</v>
      </c>
      <c r="G2212" s="8">
        <v>0</v>
      </c>
      <c r="H2212" s="8">
        <v>1</v>
      </c>
      <c r="I2212" s="8">
        <f>Table1[[#This Row],[kids]]+Table1[[#This Row],[teens]]</f>
        <v>1</v>
      </c>
      <c r="J2212" s="9">
        <v>41318</v>
      </c>
      <c r="K2212" s="8">
        <v>31</v>
      </c>
      <c r="L2212" s="6">
        <v>302</v>
      </c>
      <c r="M2212" s="5">
        <v>29</v>
      </c>
      <c r="N2212" s="5">
        <v>131</v>
      </c>
      <c r="O2212" s="5">
        <v>32</v>
      </c>
      <c r="P2212" s="5">
        <v>0</v>
      </c>
      <c r="Q2212" s="5">
        <v>27</v>
      </c>
      <c r="R2212" s="8">
        <v>6</v>
      </c>
      <c r="S2212" s="8">
        <v>8</v>
      </c>
      <c r="T2212" s="8">
        <v>1</v>
      </c>
      <c r="U2212" s="8">
        <v>7</v>
      </c>
      <c r="V2212" s="8">
        <v>8</v>
      </c>
      <c r="W2212" t="s">
        <v>473</v>
      </c>
      <c r="X2212" t="s">
        <v>473</v>
      </c>
      <c r="Y2212" t="s">
        <v>473</v>
      </c>
      <c r="Z2212" t="s">
        <v>473</v>
      </c>
      <c r="AA2212" t="s">
        <v>473</v>
      </c>
      <c r="AB2212" t="s">
        <v>473</v>
      </c>
      <c r="AC2212" s="10">
        <v>3</v>
      </c>
      <c r="AD2212" s="10">
        <v>11</v>
      </c>
      <c r="AE2212" t="s">
        <v>473</v>
      </c>
    </row>
    <row r="2213" spans="1:31" x14ac:dyDescent="0.25">
      <c r="A2213">
        <v>10469</v>
      </c>
      <c r="B2213">
        <v>1981</v>
      </c>
      <c r="C2213" t="s">
        <v>466</v>
      </c>
      <c r="D2213" t="s">
        <v>31</v>
      </c>
      <c r="E2213" t="str">
        <f>IF(OR(Table1[[#This Row],[marital_status]]="Married", Table1[[#This Row],[marital_status]]="Together"), "Partnered", "Single")</f>
        <v>Partnered</v>
      </c>
      <c r="F2213" s="7">
        <v>88325</v>
      </c>
      <c r="G2213" s="8">
        <v>0</v>
      </c>
      <c r="H2213" s="8">
        <v>0</v>
      </c>
      <c r="I2213" s="8">
        <f>Table1[[#This Row],[kids]]+Table1[[#This Row],[teens]]</f>
        <v>0</v>
      </c>
      <c r="J2213" s="9">
        <v>41675</v>
      </c>
      <c r="K2213" s="8">
        <v>42</v>
      </c>
      <c r="L2213" s="6">
        <v>519</v>
      </c>
      <c r="M2213" s="5">
        <v>71</v>
      </c>
      <c r="N2213" s="5">
        <v>860</v>
      </c>
      <c r="O2213" s="5">
        <v>93</v>
      </c>
      <c r="P2213" s="5">
        <v>27</v>
      </c>
      <c r="Q2213" s="5">
        <v>53</v>
      </c>
      <c r="R2213" s="8">
        <v>1</v>
      </c>
      <c r="S2213" s="8">
        <v>6</v>
      </c>
      <c r="T2213" s="8">
        <v>2</v>
      </c>
      <c r="U2213" s="8">
        <v>9</v>
      </c>
      <c r="V2213" s="8">
        <v>2</v>
      </c>
      <c r="W2213" t="s">
        <v>473</v>
      </c>
      <c r="X2213" t="s">
        <v>473</v>
      </c>
      <c r="Y2213" t="s">
        <v>473</v>
      </c>
      <c r="Z2213" t="s">
        <v>473</v>
      </c>
      <c r="AA2213" t="s">
        <v>473</v>
      </c>
      <c r="AB2213" t="s">
        <v>473</v>
      </c>
      <c r="AC2213" s="10">
        <v>3</v>
      </c>
      <c r="AD2213" s="10">
        <v>11</v>
      </c>
      <c r="AE2213" t="s">
        <v>473</v>
      </c>
    </row>
    <row r="2214" spans="1:31" x14ac:dyDescent="0.25">
      <c r="A2214">
        <v>6983</v>
      </c>
      <c r="B2214">
        <v>1950</v>
      </c>
      <c r="C2214" t="s">
        <v>36</v>
      </c>
      <c r="D2214" t="s">
        <v>37</v>
      </c>
      <c r="E2214" t="str">
        <f>IF(OR(Table1[[#This Row],[marital_status]]="Married", Table1[[#This Row],[marital_status]]="Together"), "Partnered", "Single")</f>
        <v>Single</v>
      </c>
      <c r="F2214" s="7">
        <v>38054</v>
      </c>
      <c r="G2214" s="8">
        <v>1</v>
      </c>
      <c r="H2214" s="8">
        <v>1</v>
      </c>
      <c r="I2214" s="8">
        <f>Table1[[#This Row],[kids]]+Table1[[#This Row],[teens]]</f>
        <v>2</v>
      </c>
      <c r="J2214" s="9">
        <v>41760</v>
      </c>
      <c r="K2214" s="8">
        <v>24</v>
      </c>
      <c r="L2214" s="6">
        <v>23</v>
      </c>
      <c r="M2214" s="5">
        <v>2</v>
      </c>
      <c r="N2214" s="5">
        <v>17</v>
      </c>
      <c r="O2214" s="5">
        <v>2</v>
      </c>
      <c r="P2214" s="5">
        <v>1</v>
      </c>
      <c r="Q2214" s="5">
        <v>0</v>
      </c>
      <c r="R2214" s="8">
        <v>2</v>
      </c>
      <c r="S2214" s="8">
        <v>2</v>
      </c>
      <c r="T2214" s="8">
        <v>0</v>
      </c>
      <c r="U2214" s="8">
        <v>3</v>
      </c>
      <c r="V2214" s="8">
        <v>7</v>
      </c>
      <c r="W2214" t="s">
        <v>473</v>
      </c>
      <c r="X2214" t="s">
        <v>473</v>
      </c>
      <c r="Y2214" t="s">
        <v>473</v>
      </c>
      <c r="Z2214" t="s">
        <v>473</v>
      </c>
      <c r="AA2214" t="s">
        <v>473</v>
      </c>
      <c r="AB2214" t="s">
        <v>473</v>
      </c>
      <c r="AC2214" s="10">
        <v>3</v>
      </c>
      <c r="AD2214" s="10">
        <v>11</v>
      </c>
      <c r="AE2214" t="s">
        <v>473</v>
      </c>
    </row>
    <row r="2215" spans="1:31" x14ac:dyDescent="0.25">
      <c r="A2215">
        <v>3661</v>
      </c>
      <c r="B2215">
        <v>1995</v>
      </c>
      <c r="C2215" t="s">
        <v>46</v>
      </c>
      <c r="D2215" t="s">
        <v>30</v>
      </c>
      <c r="E2215" t="str">
        <f>IF(OR(Table1[[#This Row],[marital_status]]="Married", Table1[[#This Row],[marital_status]]="Together"), "Partnered", "Single")</f>
        <v>Single</v>
      </c>
      <c r="F2215" s="7">
        <v>80617</v>
      </c>
      <c r="G2215" s="8">
        <v>0</v>
      </c>
      <c r="H2215" s="8">
        <v>0</v>
      </c>
      <c r="I2215" s="8">
        <f>Table1[[#This Row],[kids]]+Table1[[#This Row],[teens]]</f>
        <v>0</v>
      </c>
      <c r="J2215" s="9">
        <v>41194</v>
      </c>
      <c r="K2215" s="8">
        <v>42</v>
      </c>
      <c r="L2215" s="6">
        <v>594</v>
      </c>
      <c r="M2215" s="5">
        <v>51</v>
      </c>
      <c r="N2215" s="5">
        <v>631</v>
      </c>
      <c r="O2215" s="5">
        <v>72</v>
      </c>
      <c r="P2215" s="5">
        <v>55</v>
      </c>
      <c r="Q2215" s="5">
        <v>32</v>
      </c>
      <c r="R2215" s="8">
        <v>1</v>
      </c>
      <c r="S2215" s="8">
        <v>4</v>
      </c>
      <c r="T2215" s="8">
        <v>6</v>
      </c>
      <c r="U2215" s="8">
        <v>8</v>
      </c>
      <c r="V2215" s="8">
        <v>2</v>
      </c>
      <c r="W2215" t="s">
        <v>473</v>
      </c>
      <c r="X2215" t="s">
        <v>473</v>
      </c>
      <c r="Y2215" t="s">
        <v>473</v>
      </c>
      <c r="Z2215" t="s">
        <v>473</v>
      </c>
      <c r="AA2215" t="s">
        <v>473</v>
      </c>
      <c r="AB2215" t="s">
        <v>473</v>
      </c>
      <c r="AC2215" s="10">
        <v>3</v>
      </c>
      <c r="AD2215" s="10">
        <v>11</v>
      </c>
      <c r="AE2215" t="s">
        <v>473</v>
      </c>
    </row>
    <row r="2216" spans="1:31" x14ac:dyDescent="0.25">
      <c r="A2216">
        <v>9303</v>
      </c>
      <c r="B2216">
        <v>1976</v>
      </c>
      <c r="C2216" t="s">
        <v>466</v>
      </c>
      <c r="D2216" t="s">
        <v>34</v>
      </c>
      <c r="E2216" t="str">
        <f>IF(OR(Table1[[#This Row],[marital_status]]="Married", Table1[[#This Row],[marital_status]]="Together"), "Partnered", "Single")</f>
        <v>Partnered</v>
      </c>
      <c r="F2216" s="7">
        <v>5305</v>
      </c>
      <c r="G2216" s="8">
        <v>0</v>
      </c>
      <c r="H2216" s="8">
        <v>1</v>
      </c>
      <c r="I2216" s="8">
        <f>Table1[[#This Row],[kids]]+Table1[[#This Row],[teens]]</f>
        <v>1</v>
      </c>
      <c r="J2216" s="9">
        <v>41485</v>
      </c>
      <c r="K2216" s="8">
        <v>12</v>
      </c>
      <c r="L2216" s="6">
        <v>12</v>
      </c>
      <c r="M2216" s="5">
        <v>4</v>
      </c>
      <c r="N2216" s="5">
        <v>7</v>
      </c>
      <c r="O2216" s="5">
        <v>1</v>
      </c>
      <c r="P2216" s="5">
        <v>3</v>
      </c>
      <c r="Q2216" s="5">
        <v>5</v>
      </c>
      <c r="R2216" s="8">
        <v>0</v>
      </c>
      <c r="S2216" s="8">
        <v>1</v>
      </c>
      <c r="T2216" s="8">
        <v>0</v>
      </c>
      <c r="U2216" s="8">
        <v>0</v>
      </c>
      <c r="V2216" s="8">
        <v>13</v>
      </c>
      <c r="W2216" t="s">
        <v>473</v>
      </c>
      <c r="X2216" t="s">
        <v>473</v>
      </c>
      <c r="Y2216" t="s">
        <v>473</v>
      </c>
      <c r="Z2216" t="s">
        <v>473</v>
      </c>
      <c r="AA2216" t="s">
        <v>473</v>
      </c>
      <c r="AB2216" t="s">
        <v>473</v>
      </c>
      <c r="AC2216" s="10">
        <v>3</v>
      </c>
      <c r="AD2216" s="10">
        <v>11</v>
      </c>
      <c r="AE2216" t="s">
        <v>473</v>
      </c>
    </row>
    <row r="2217" spans="1:31" x14ac:dyDescent="0.25">
      <c r="A2217">
        <v>692</v>
      </c>
      <c r="B2217">
        <v>1954</v>
      </c>
      <c r="C2217" t="s">
        <v>466</v>
      </c>
      <c r="D2217" t="s">
        <v>31</v>
      </c>
      <c r="E2217" t="str">
        <f>IF(OR(Table1[[#This Row],[marital_status]]="Married", Table1[[#This Row],[marital_status]]="Together"), "Partnered", "Single")</f>
        <v>Partnered</v>
      </c>
      <c r="F2217" s="7">
        <v>36807</v>
      </c>
      <c r="G2217" s="8">
        <v>1</v>
      </c>
      <c r="H2217" s="8">
        <v>1</v>
      </c>
      <c r="I2217" s="8">
        <f>Table1[[#This Row],[kids]]+Table1[[#This Row],[teens]]</f>
        <v>2</v>
      </c>
      <c r="J2217" s="9">
        <v>41263</v>
      </c>
      <c r="K2217" s="8">
        <v>88</v>
      </c>
      <c r="L2217" s="6">
        <v>4</v>
      </c>
      <c r="M2217" s="5">
        <v>2</v>
      </c>
      <c r="N2217" s="5">
        <v>5</v>
      </c>
      <c r="O2217" s="5">
        <v>0</v>
      </c>
      <c r="P2217" s="5">
        <v>0</v>
      </c>
      <c r="Q2217" s="5">
        <v>5</v>
      </c>
      <c r="R2217" s="8">
        <v>1</v>
      </c>
      <c r="S2217" s="8">
        <v>1</v>
      </c>
      <c r="T2217" s="8">
        <v>0</v>
      </c>
      <c r="U2217" s="8">
        <v>2</v>
      </c>
      <c r="V2217" s="8">
        <v>6</v>
      </c>
      <c r="W2217" t="s">
        <v>473</v>
      </c>
      <c r="X2217" t="s">
        <v>473</v>
      </c>
      <c r="Y2217" t="s">
        <v>473</v>
      </c>
      <c r="Z2217" t="s">
        <v>473</v>
      </c>
      <c r="AA2217" t="s">
        <v>473</v>
      </c>
      <c r="AB2217" t="s">
        <v>473</v>
      </c>
      <c r="AC2217" s="10">
        <v>3</v>
      </c>
      <c r="AD2217" s="10">
        <v>11</v>
      </c>
      <c r="AE2217" t="s">
        <v>473</v>
      </c>
    </row>
    <row r="2218" spans="1:31" x14ac:dyDescent="0.25">
      <c r="A2218">
        <v>736</v>
      </c>
      <c r="B2218">
        <v>1983</v>
      </c>
      <c r="C2218" t="s">
        <v>466</v>
      </c>
      <c r="D2218" t="s">
        <v>31</v>
      </c>
      <c r="E2218" t="str">
        <f>IF(OR(Table1[[#This Row],[marital_status]]="Married", Table1[[#This Row],[marital_status]]="Together"), "Partnered", "Single")</f>
        <v>Partnered</v>
      </c>
      <c r="F2218" s="7">
        <v>28427</v>
      </c>
      <c r="G2218" s="8">
        <v>1</v>
      </c>
      <c r="H2218" s="8">
        <v>0</v>
      </c>
      <c r="I2218" s="8">
        <f>Table1[[#This Row],[kids]]+Table1[[#This Row],[teens]]</f>
        <v>1</v>
      </c>
      <c r="J2218" s="9">
        <v>41354</v>
      </c>
      <c r="K2218" s="8">
        <v>67</v>
      </c>
      <c r="L2218" s="6">
        <v>18</v>
      </c>
      <c r="M2218" s="5">
        <v>3</v>
      </c>
      <c r="N2218" s="5">
        <v>19</v>
      </c>
      <c r="O2218" s="5">
        <v>3</v>
      </c>
      <c r="P2218" s="5">
        <v>3</v>
      </c>
      <c r="Q2218" s="5">
        <v>6</v>
      </c>
      <c r="R2218" s="8">
        <v>2</v>
      </c>
      <c r="S2218" s="8">
        <v>2</v>
      </c>
      <c r="T2218" s="8">
        <v>0</v>
      </c>
      <c r="U2218" s="8">
        <v>3</v>
      </c>
      <c r="V2218" s="8">
        <v>8</v>
      </c>
      <c r="W2218" t="s">
        <v>473</v>
      </c>
      <c r="X2218" t="s">
        <v>473</v>
      </c>
      <c r="Y2218" t="s">
        <v>473</v>
      </c>
      <c r="Z2218" t="s">
        <v>473</v>
      </c>
      <c r="AA2218" t="s">
        <v>473</v>
      </c>
      <c r="AB2218" t="s">
        <v>473</v>
      </c>
      <c r="AC2218" s="10">
        <v>3</v>
      </c>
      <c r="AD2218" s="10">
        <v>11</v>
      </c>
      <c r="AE2218" t="s">
        <v>473</v>
      </c>
    </row>
    <row r="2219" spans="1:31" x14ac:dyDescent="0.25">
      <c r="A2219">
        <v>9589</v>
      </c>
      <c r="B2219">
        <v>1948</v>
      </c>
      <c r="C2219" t="s">
        <v>33</v>
      </c>
      <c r="D2219" t="s">
        <v>57</v>
      </c>
      <c r="E2219" t="str">
        <f>IF(OR(Table1[[#This Row],[marital_status]]="Married", Table1[[#This Row],[marital_status]]="Together"), "Partnered", "Single")</f>
        <v>Single</v>
      </c>
      <c r="F2219" s="7">
        <v>82032</v>
      </c>
      <c r="G2219" s="8">
        <v>0</v>
      </c>
      <c r="H2219" s="8">
        <v>0</v>
      </c>
      <c r="I2219" s="8">
        <f>Table1[[#This Row],[kids]]+Table1[[#This Row],[teens]]</f>
        <v>0</v>
      </c>
      <c r="J2219" s="9">
        <v>41734</v>
      </c>
      <c r="K2219" s="8">
        <v>54</v>
      </c>
      <c r="L2219" s="6">
        <v>332</v>
      </c>
      <c r="M2219" s="5">
        <v>194</v>
      </c>
      <c r="N2219" s="5">
        <v>377</v>
      </c>
      <c r="O2219" s="5">
        <v>149</v>
      </c>
      <c r="P2219" s="5">
        <v>125</v>
      </c>
      <c r="Q2219" s="5">
        <v>57</v>
      </c>
      <c r="R2219" s="8">
        <v>0</v>
      </c>
      <c r="S2219" s="8">
        <v>4</v>
      </c>
      <c r="T2219" s="8">
        <v>6</v>
      </c>
      <c r="U2219" s="8">
        <v>7</v>
      </c>
      <c r="V2219" s="8">
        <v>1</v>
      </c>
      <c r="W2219" t="s">
        <v>473</v>
      </c>
      <c r="X2219" t="s">
        <v>473</v>
      </c>
      <c r="Y2219" t="s">
        <v>473</v>
      </c>
      <c r="Z2219" t="s">
        <v>473</v>
      </c>
      <c r="AA2219" t="s">
        <v>473</v>
      </c>
      <c r="AB2219" t="s">
        <v>473</v>
      </c>
      <c r="AC2219" s="10">
        <v>3</v>
      </c>
      <c r="AD2219" s="10">
        <v>11</v>
      </c>
      <c r="AE2219" t="s">
        <v>473</v>
      </c>
    </row>
    <row r="2220" spans="1:31" x14ac:dyDescent="0.25">
      <c r="A2220">
        <v>4838</v>
      </c>
      <c r="B2220">
        <v>1978</v>
      </c>
      <c r="C2220" t="s">
        <v>466</v>
      </c>
      <c r="D2220" t="s">
        <v>31</v>
      </c>
      <c r="E2220" t="str">
        <f>IF(OR(Table1[[#This Row],[marital_status]]="Married", Table1[[#This Row],[marital_status]]="Together"), "Partnered", "Single")</f>
        <v>Partnered</v>
      </c>
      <c r="F2220" s="7">
        <v>22775</v>
      </c>
      <c r="G2220" s="8">
        <v>1</v>
      </c>
      <c r="H2220" s="8">
        <v>0</v>
      </c>
      <c r="I2220" s="8">
        <f>Table1[[#This Row],[kids]]+Table1[[#This Row],[teens]]</f>
        <v>1</v>
      </c>
      <c r="J2220" s="9">
        <v>41444</v>
      </c>
      <c r="K2220" s="8">
        <v>40</v>
      </c>
      <c r="L2220" s="6">
        <v>5</v>
      </c>
      <c r="M2220" s="5">
        <v>1</v>
      </c>
      <c r="N2220" s="5">
        <v>8</v>
      </c>
      <c r="O2220" s="5">
        <v>0</v>
      </c>
      <c r="P2220" s="5">
        <v>0</v>
      </c>
      <c r="Q2220" s="5">
        <v>1</v>
      </c>
      <c r="R2220" s="8">
        <v>1</v>
      </c>
      <c r="S2220" s="8">
        <v>1</v>
      </c>
      <c r="T2220" s="8">
        <v>0</v>
      </c>
      <c r="U2220" s="8">
        <v>2</v>
      </c>
      <c r="V2220" s="8">
        <v>8</v>
      </c>
      <c r="W2220" t="s">
        <v>473</v>
      </c>
      <c r="X2220" t="s">
        <v>473</v>
      </c>
      <c r="Y2220" t="s">
        <v>473</v>
      </c>
      <c r="Z2220" t="s">
        <v>473</v>
      </c>
      <c r="AA2220" t="s">
        <v>473</v>
      </c>
      <c r="AB2220" t="s">
        <v>473</v>
      </c>
      <c r="AC2220" s="10">
        <v>3</v>
      </c>
      <c r="AD2220" s="10">
        <v>11</v>
      </c>
      <c r="AE2220" t="s">
        <v>473</v>
      </c>
    </row>
    <row r="2221" spans="1:31" x14ac:dyDescent="0.25">
      <c r="A2221">
        <v>9246</v>
      </c>
      <c r="B2221">
        <v>1985</v>
      </c>
      <c r="C2221" t="s">
        <v>36</v>
      </c>
      <c r="D2221" t="s">
        <v>31</v>
      </c>
      <c r="E2221" t="str">
        <f>IF(OR(Table1[[#This Row],[marital_status]]="Married", Table1[[#This Row],[marital_status]]="Together"), "Partnered", "Single")</f>
        <v>Partnered</v>
      </c>
      <c r="F2221" s="7">
        <v>40101</v>
      </c>
      <c r="G2221" s="8">
        <v>1</v>
      </c>
      <c r="H2221" s="8">
        <v>0</v>
      </c>
      <c r="I2221" s="8">
        <f>Table1[[#This Row],[kids]]+Table1[[#This Row],[teens]]</f>
        <v>1</v>
      </c>
      <c r="J2221" s="9">
        <v>41196</v>
      </c>
      <c r="K2221" s="8">
        <v>73</v>
      </c>
      <c r="L2221" s="6">
        <v>171</v>
      </c>
      <c r="M2221" s="5">
        <v>3</v>
      </c>
      <c r="N2221" s="5">
        <v>129</v>
      </c>
      <c r="O2221" s="5">
        <v>26</v>
      </c>
      <c r="P2221" s="5">
        <v>24</v>
      </c>
      <c r="Q2221" s="5">
        <v>62</v>
      </c>
      <c r="R2221" s="8">
        <v>4</v>
      </c>
      <c r="S2221" s="8">
        <v>6</v>
      </c>
      <c r="T2221" s="8">
        <v>1</v>
      </c>
      <c r="U2221" s="8">
        <v>6</v>
      </c>
      <c r="V2221" s="8">
        <v>7</v>
      </c>
      <c r="W2221" t="s">
        <v>473</v>
      </c>
      <c r="X2221" t="s">
        <v>473</v>
      </c>
      <c r="Y2221" t="s">
        <v>473</v>
      </c>
      <c r="Z2221" t="s">
        <v>473</v>
      </c>
      <c r="AA2221" t="s">
        <v>473</v>
      </c>
      <c r="AB2221" t="s">
        <v>473</v>
      </c>
      <c r="AC2221" s="10">
        <v>3</v>
      </c>
      <c r="AD2221" s="10">
        <v>11</v>
      </c>
      <c r="AE2221" t="s">
        <v>473</v>
      </c>
    </row>
    <row r="2222" spans="1:31" x14ac:dyDescent="0.25">
      <c r="A2222">
        <v>6261</v>
      </c>
      <c r="B2222">
        <v>1979</v>
      </c>
      <c r="C2222" t="s">
        <v>466</v>
      </c>
      <c r="D2222" t="s">
        <v>34</v>
      </c>
      <c r="E2222" t="str">
        <f>IF(OR(Table1[[#This Row],[marital_status]]="Married", Table1[[#This Row],[marital_status]]="Together"), "Partnered", "Single")</f>
        <v>Partnered</v>
      </c>
      <c r="F2222" s="7">
        <v>58025</v>
      </c>
      <c r="G2222" s="8">
        <v>0</v>
      </c>
      <c r="H2222" s="8">
        <v>1</v>
      </c>
      <c r="I2222" s="8">
        <f>Table1[[#This Row],[kids]]+Table1[[#This Row],[teens]]</f>
        <v>1</v>
      </c>
      <c r="J2222" s="9">
        <v>41604</v>
      </c>
      <c r="K2222" s="8">
        <v>81</v>
      </c>
      <c r="L2222" s="6">
        <v>270</v>
      </c>
      <c r="M2222" s="5">
        <v>31</v>
      </c>
      <c r="N2222" s="5">
        <v>88</v>
      </c>
      <c r="O2222" s="5">
        <v>11</v>
      </c>
      <c r="P2222" s="5">
        <v>48</v>
      </c>
      <c r="Q2222" s="5">
        <v>22</v>
      </c>
      <c r="R2222" s="8">
        <v>3</v>
      </c>
      <c r="S2222" s="8">
        <v>3</v>
      </c>
      <c r="T2222" s="8">
        <v>2</v>
      </c>
      <c r="U2222" s="8">
        <v>10</v>
      </c>
      <c r="V2222" s="8">
        <v>4</v>
      </c>
      <c r="W2222" t="s">
        <v>473</v>
      </c>
      <c r="X2222" t="s">
        <v>473</v>
      </c>
      <c r="Y2222" t="s">
        <v>473</v>
      </c>
      <c r="Z2222" t="s">
        <v>473</v>
      </c>
      <c r="AA2222" t="s">
        <v>473</v>
      </c>
      <c r="AB2222" t="s">
        <v>473</v>
      </c>
      <c r="AC2222" s="10">
        <v>3</v>
      </c>
      <c r="AD2222" s="10">
        <v>11</v>
      </c>
      <c r="AE2222" t="s">
        <v>473</v>
      </c>
    </row>
    <row r="2223" spans="1:31" x14ac:dyDescent="0.25">
      <c r="A2223">
        <v>7366</v>
      </c>
      <c r="B2223">
        <v>1982</v>
      </c>
      <c r="C2223" t="s">
        <v>36</v>
      </c>
      <c r="D2223" t="s">
        <v>30</v>
      </c>
      <c r="E2223" t="str">
        <f>IF(OR(Table1[[#This Row],[marital_status]]="Married", Table1[[#This Row],[marital_status]]="Together"), "Partnered", "Single")</f>
        <v>Single</v>
      </c>
      <c r="F2223" s="7">
        <v>75777</v>
      </c>
      <c r="G2223" s="8">
        <v>0</v>
      </c>
      <c r="H2223" s="8">
        <v>0</v>
      </c>
      <c r="I2223" s="8">
        <f>Table1[[#This Row],[kids]]+Table1[[#This Row],[teens]]</f>
        <v>0</v>
      </c>
      <c r="J2223" s="9">
        <v>41459</v>
      </c>
      <c r="K2223" s="8">
        <v>12</v>
      </c>
      <c r="L2223" s="6">
        <v>712</v>
      </c>
      <c r="M2223" s="5">
        <v>26</v>
      </c>
      <c r="N2223" s="5">
        <v>538</v>
      </c>
      <c r="O2223" s="5">
        <v>69</v>
      </c>
      <c r="P2223" s="5">
        <v>13</v>
      </c>
      <c r="Q2223" s="5">
        <v>80</v>
      </c>
      <c r="R2223" s="8">
        <v>1</v>
      </c>
      <c r="S2223" s="8">
        <v>3</v>
      </c>
      <c r="T2223" s="8">
        <v>6</v>
      </c>
      <c r="U2223" s="8">
        <v>11</v>
      </c>
      <c r="V2223" s="8">
        <v>1</v>
      </c>
      <c r="W2223" t="s">
        <v>473</v>
      </c>
      <c r="X2223" t="s">
        <v>474</v>
      </c>
      <c r="Y2223" t="s">
        <v>474</v>
      </c>
      <c r="Z2223" t="s">
        <v>473</v>
      </c>
      <c r="AA2223" t="s">
        <v>473</v>
      </c>
      <c r="AB2223" t="s">
        <v>473</v>
      </c>
      <c r="AC2223" s="10">
        <v>3</v>
      </c>
      <c r="AD2223" s="10">
        <v>11</v>
      </c>
      <c r="AE2223" t="s">
        <v>474</v>
      </c>
    </row>
    <row r="2224" spans="1:31" x14ac:dyDescent="0.25">
      <c r="A2224">
        <v>10659</v>
      </c>
      <c r="B2224">
        <v>1979</v>
      </c>
      <c r="C2224" t="s">
        <v>46</v>
      </c>
      <c r="D2224" t="s">
        <v>31</v>
      </c>
      <c r="E2224" t="str">
        <f>IF(OR(Table1[[#This Row],[marital_status]]="Married", Table1[[#This Row],[marital_status]]="Together"), "Partnered", "Single")</f>
        <v>Partnered</v>
      </c>
      <c r="F2224" s="7">
        <v>7500</v>
      </c>
      <c r="G2224" s="8">
        <v>1</v>
      </c>
      <c r="H2224" s="8">
        <v>0</v>
      </c>
      <c r="I2224" s="8">
        <f>Table1[[#This Row],[kids]]+Table1[[#This Row],[teens]]</f>
        <v>1</v>
      </c>
      <c r="J2224" s="9">
        <v>41401</v>
      </c>
      <c r="K2224" s="8">
        <v>7</v>
      </c>
      <c r="L2224" s="6">
        <v>2</v>
      </c>
      <c r="M2224" s="5">
        <v>8</v>
      </c>
      <c r="N2224" s="5">
        <v>11</v>
      </c>
      <c r="O2224" s="5">
        <v>3</v>
      </c>
      <c r="P2224" s="5">
        <v>8</v>
      </c>
      <c r="Q2224" s="5">
        <v>21</v>
      </c>
      <c r="R2224" s="8">
        <v>4</v>
      </c>
      <c r="S2224" s="8">
        <v>3</v>
      </c>
      <c r="T2224" s="8">
        <v>2</v>
      </c>
      <c r="U2224" s="8">
        <v>2</v>
      </c>
      <c r="V2224" s="8">
        <v>7</v>
      </c>
      <c r="W2224" t="s">
        <v>473</v>
      </c>
      <c r="X2224" t="s">
        <v>473</v>
      </c>
      <c r="Y2224" t="s">
        <v>473</v>
      </c>
      <c r="Z2224" t="s">
        <v>473</v>
      </c>
      <c r="AA2224" t="s">
        <v>473</v>
      </c>
      <c r="AB2224" t="s">
        <v>473</v>
      </c>
      <c r="AC2224" s="10">
        <v>3</v>
      </c>
      <c r="AD2224" s="10">
        <v>11</v>
      </c>
      <c r="AE2224" t="s">
        <v>473</v>
      </c>
    </row>
    <row r="2225" spans="1:31" x14ac:dyDescent="0.25">
      <c r="A2225">
        <v>1448</v>
      </c>
      <c r="B2225">
        <v>1963</v>
      </c>
      <c r="C2225" t="s">
        <v>36</v>
      </c>
      <c r="D2225" t="s">
        <v>34</v>
      </c>
      <c r="E2225" t="str">
        <f>IF(OR(Table1[[#This Row],[marital_status]]="Married", Table1[[#This Row],[marital_status]]="Together"), "Partnered", "Single")</f>
        <v>Partnered</v>
      </c>
      <c r="F2225" s="7">
        <v>33562</v>
      </c>
      <c r="G2225" s="8">
        <v>1</v>
      </c>
      <c r="H2225" s="8">
        <v>2</v>
      </c>
      <c r="I2225" s="8">
        <f>Table1[[#This Row],[kids]]+Table1[[#This Row],[teens]]</f>
        <v>3</v>
      </c>
      <c r="J2225" s="9">
        <v>41815</v>
      </c>
      <c r="K2225" s="8">
        <v>33</v>
      </c>
      <c r="L2225" s="6">
        <v>21</v>
      </c>
      <c r="M2225" s="5">
        <v>12</v>
      </c>
      <c r="N2225" s="5">
        <v>12</v>
      </c>
      <c r="O2225" s="5">
        <v>0</v>
      </c>
      <c r="P2225" s="5">
        <v>3</v>
      </c>
      <c r="Q2225" s="5">
        <v>3</v>
      </c>
      <c r="R2225" s="8">
        <v>3</v>
      </c>
      <c r="S2225" s="8">
        <v>2</v>
      </c>
      <c r="T2225" s="8">
        <v>0</v>
      </c>
      <c r="U2225" s="8">
        <v>4</v>
      </c>
      <c r="V2225" s="8">
        <v>4</v>
      </c>
      <c r="W2225" t="s">
        <v>473</v>
      </c>
      <c r="X2225" t="s">
        <v>473</v>
      </c>
      <c r="Y2225" t="s">
        <v>473</v>
      </c>
      <c r="Z2225" t="s">
        <v>473</v>
      </c>
      <c r="AA2225" t="s">
        <v>473</v>
      </c>
      <c r="AB2225" t="s">
        <v>473</v>
      </c>
      <c r="AC2225" s="10">
        <v>3</v>
      </c>
      <c r="AD2225" s="10">
        <v>11</v>
      </c>
      <c r="AE2225" t="s">
        <v>473</v>
      </c>
    </row>
    <row r="2226" spans="1:31" x14ac:dyDescent="0.25">
      <c r="A2226">
        <v>4286</v>
      </c>
      <c r="B2226">
        <v>1970</v>
      </c>
      <c r="C2226" t="s">
        <v>33</v>
      </c>
      <c r="D2226" t="s">
        <v>30</v>
      </c>
      <c r="E2226" t="str">
        <f>IF(OR(Table1[[#This Row],[marital_status]]="Married", Table1[[#This Row],[marital_status]]="Together"), "Partnered", "Single")</f>
        <v>Single</v>
      </c>
      <c r="F2226" s="7">
        <v>57642</v>
      </c>
      <c r="G2226" s="8">
        <v>0</v>
      </c>
      <c r="H2226" s="8">
        <v>1</v>
      </c>
      <c r="I2226" s="8">
        <f>Table1[[#This Row],[kids]]+Table1[[#This Row],[teens]]</f>
        <v>1</v>
      </c>
      <c r="J2226" s="9">
        <v>41648</v>
      </c>
      <c r="K2226" s="8">
        <v>24</v>
      </c>
      <c r="L2226" s="6">
        <v>580</v>
      </c>
      <c r="M2226" s="5">
        <v>6</v>
      </c>
      <c r="N2226" s="5">
        <v>58</v>
      </c>
      <c r="O2226" s="5">
        <v>8</v>
      </c>
      <c r="P2226" s="5">
        <v>0</v>
      </c>
      <c r="Q2226" s="5">
        <v>27</v>
      </c>
      <c r="R2226" s="8">
        <v>3</v>
      </c>
      <c r="S2226" s="8">
        <v>7</v>
      </c>
      <c r="T2226" s="8">
        <v>6</v>
      </c>
      <c r="U2226" s="8">
        <v>6</v>
      </c>
      <c r="V2226" s="8">
        <v>4</v>
      </c>
      <c r="W2226" t="s">
        <v>474</v>
      </c>
      <c r="X2226" t="s">
        <v>473</v>
      </c>
      <c r="Y2226" t="s">
        <v>473</v>
      </c>
      <c r="Z2226" t="s">
        <v>473</v>
      </c>
      <c r="AA2226" t="s">
        <v>473</v>
      </c>
      <c r="AB2226" t="s">
        <v>473</v>
      </c>
      <c r="AC2226" s="10">
        <v>3</v>
      </c>
      <c r="AD2226" s="10">
        <v>11</v>
      </c>
      <c r="AE2226" t="s">
        <v>473</v>
      </c>
    </row>
    <row r="2227" spans="1:31" x14ac:dyDescent="0.25">
      <c r="A2227">
        <v>4749</v>
      </c>
      <c r="B2227">
        <v>1968</v>
      </c>
      <c r="C2227" t="s">
        <v>466</v>
      </c>
      <c r="D2227" t="s">
        <v>31</v>
      </c>
      <c r="E2227" t="str">
        <f>IF(OR(Table1[[#This Row],[marital_status]]="Married", Table1[[#This Row],[marital_status]]="Together"), "Partnered", "Single")</f>
        <v>Partnered</v>
      </c>
      <c r="F2227" s="7">
        <v>58554</v>
      </c>
      <c r="G2227" s="8">
        <v>1</v>
      </c>
      <c r="H2227" s="8">
        <v>1</v>
      </c>
      <c r="I2227" s="8">
        <f>Table1[[#This Row],[kids]]+Table1[[#This Row],[teens]]</f>
        <v>2</v>
      </c>
      <c r="J2227" s="9">
        <v>41178</v>
      </c>
      <c r="K2227" s="8">
        <v>55</v>
      </c>
      <c r="L2227" s="6">
        <v>368</v>
      </c>
      <c r="M2227" s="5">
        <v>24</v>
      </c>
      <c r="N2227" s="5">
        <v>68</v>
      </c>
      <c r="O2227" s="5">
        <v>38</v>
      </c>
      <c r="P2227" s="5">
        <v>0</v>
      </c>
      <c r="Q2227" s="5">
        <v>88</v>
      </c>
      <c r="R2227" s="8">
        <v>6</v>
      </c>
      <c r="S2227" s="8">
        <v>8</v>
      </c>
      <c r="T2227" s="8">
        <v>2</v>
      </c>
      <c r="U2227" s="8">
        <v>6</v>
      </c>
      <c r="V2227" s="8">
        <v>7</v>
      </c>
      <c r="W2227" t="s">
        <v>473</v>
      </c>
      <c r="X2227" t="s">
        <v>473</v>
      </c>
      <c r="Y2227" t="s">
        <v>473</v>
      </c>
      <c r="Z2227" t="s">
        <v>473</v>
      </c>
      <c r="AA2227" t="s">
        <v>473</v>
      </c>
      <c r="AB2227" t="s">
        <v>473</v>
      </c>
      <c r="AC2227" s="10">
        <v>3</v>
      </c>
      <c r="AD2227" s="10">
        <v>11</v>
      </c>
      <c r="AE2227" t="s">
        <v>473</v>
      </c>
    </row>
    <row r="2228" spans="1:31" x14ac:dyDescent="0.25">
      <c r="A2228">
        <v>4478</v>
      </c>
      <c r="B2228">
        <v>1979</v>
      </c>
      <c r="C2228" t="s">
        <v>466</v>
      </c>
      <c r="D2228" t="s">
        <v>34</v>
      </c>
      <c r="E2228" t="str">
        <f>IF(OR(Table1[[#This Row],[marital_status]]="Married", Table1[[#This Row],[marital_status]]="Together"), "Partnered", "Single")</f>
        <v>Partnered</v>
      </c>
      <c r="F2228" s="7">
        <v>63777</v>
      </c>
      <c r="G2228" s="8">
        <v>1</v>
      </c>
      <c r="H2228" s="8">
        <v>1</v>
      </c>
      <c r="I2228" s="8">
        <f>Table1[[#This Row],[kids]]+Table1[[#This Row],[teens]]</f>
        <v>2</v>
      </c>
      <c r="J2228" s="9">
        <v>41357</v>
      </c>
      <c r="K2228" s="8">
        <v>87</v>
      </c>
      <c r="L2228" s="6">
        <v>457</v>
      </c>
      <c r="M2228" s="5">
        <v>5</v>
      </c>
      <c r="N2228" s="5">
        <v>106</v>
      </c>
      <c r="O2228" s="5">
        <v>15</v>
      </c>
      <c r="P2228" s="5">
        <v>17</v>
      </c>
      <c r="Q2228" s="5">
        <v>53</v>
      </c>
      <c r="R2228" s="8">
        <v>8</v>
      </c>
      <c r="S2228" s="8">
        <v>11</v>
      </c>
      <c r="T2228" s="8">
        <v>1</v>
      </c>
      <c r="U2228" s="8">
        <v>6</v>
      </c>
      <c r="V2228" s="8">
        <v>8</v>
      </c>
      <c r="W2228" t="s">
        <v>473</v>
      </c>
      <c r="X2228" t="s">
        <v>473</v>
      </c>
      <c r="Y2228" t="s">
        <v>473</v>
      </c>
      <c r="Z2228" t="s">
        <v>473</v>
      </c>
      <c r="AA2228" t="s">
        <v>473</v>
      </c>
      <c r="AB2228" t="s">
        <v>473</v>
      </c>
      <c r="AC2228" s="10">
        <v>3</v>
      </c>
      <c r="AD2228" s="10">
        <v>11</v>
      </c>
      <c r="AE2228" t="s">
        <v>473</v>
      </c>
    </row>
    <row r="2229" spans="1:31" x14ac:dyDescent="0.25">
      <c r="A2229">
        <v>4201</v>
      </c>
      <c r="B2229">
        <v>1962</v>
      </c>
      <c r="C2229" t="s">
        <v>466</v>
      </c>
      <c r="D2229" t="s">
        <v>30</v>
      </c>
      <c r="E2229" t="str">
        <f>IF(OR(Table1[[#This Row],[marital_status]]="Married", Table1[[#This Row],[marital_status]]="Together"), "Partnered", "Single")</f>
        <v>Single</v>
      </c>
      <c r="F2229" s="7">
        <v>57967</v>
      </c>
      <c r="G2229" s="8">
        <v>0</v>
      </c>
      <c r="H2229" s="8">
        <v>1</v>
      </c>
      <c r="I2229" s="8">
        <f>Table1[[#This Row],[kids]]+Table1[[#This Row],[teens]]</f>
        <v>1</v>
      </c>
      <c r="J2229" s="9">
        <v>41336</v>
      </c>
      <c r="K2229" s="8">
        <v>39</v>
      </c>
      <c r="L2229" s="6">
        <v>229</v>
      </c>
      <c r="M2229" s="5">
        <v>7</v>
      </c>
      <c r="N2229" s="5">
        <v>137</v>
      </c>
      <c r="O2229" s="5">
        <v>4</v>
      </c>
      <c r="P2229" s="5">
        <v>0</v>
      </c>
      <c r="Q2229" s="5">
        <v>91</v>
      </c>
      <c r="R2229" s="8">
        <v>5</v>
      </c>
      <c r="S2229" s="8">
        <v>4</v>
      </c>
      <c r="T2229" s="8">
        <v>2</v>
      </c>
      <c r="U2229" s="8">
        <v>8</v>
      </c>
      <c r="V2229" s="8">
        <v>5</v>
      </c>
      <c r="W2229" t="s">
        <v>473</v>
      </c>
      <c r="X2229" t="s">
        <v>473</v>
      </c>
      <c r="Y2229" t="s">
        <v>473</v>
      </c>
      <c r="Z2229" t="s">
        <v>473</v>
      </c>
      <c r="AA2229" t="s">
        <v>473</v>
      </c>
      <c r="AB2229" t="s">
        <v>473</v>
      </c>
      <c r="AC2229" s="10">
        <v>3</v>
      </c>
      <c r="AD2229" s="10">
        <v>11</v>
      </c>
      <c r="AE2229" t="s">
        <v>473</v>
      </c>
    </row>
    <row r="2230" spans="1:31" x14ac:dyDescent="0.25">
      <c r="A2230">
        <v>8720</v>
      </c>
      <c r="B2230">
        <v>1978</v>
      </c>
      <c r="C2230" t="s">
        <v>46</v>
      </c>
      <c r="D2230" t="s">
        <v>31</v>
      </c>
      <c r="E2230" t="str">
        <f>IF(OR(Table1[[#This Row],[marital_status]]="Married", Table1[[#This Row],[marital_status]]="Together"), "Partnered", "Single")</f>
        <v>Partnered</v>
      </c>
      <c r="F2230" s="7" t="s">
        <v>464</v>
      </c>
      <c r="G2230" s="8">
        <v>0</v>
      </c>
      <c r="H2230" s="8">
        <v>0</v>
      </c>
      <c r="I2230" s="8">
        <f>Table1[[#This Row],[kids]]+Table1[[#This Row],[teens]]</f>
        <v>0</v>
      </c>
      <c r="J2230" s="9">
        <v>41133</v>
      </c>
      <c r="K2230" s="8">
        <v>53</v>
      </c>
      <c r="L2230" s="6">
        <v>32</v>
      </c>
      <c r="M2230" s="5">
        <v>2</v>
      </c>
      <c r="N2230" s="5">
        <v>1607</v>
      </c>
      <c r="O2230" s="5">
        <v>12</v>
      </c>
      <c r="P2230" s="5">
        <v>4</v>
      </c>
      <c r="Q2230" s="5">
        <v>22</v>
      </c>
      <c r="R2230" s="8">
        <v>0</v>
      </c>
      <c r="S2230" s="8">
        <v>0</v>
      </c>
      <c r="T2230" s="8">
        <v>0</v>
      </c>
      <c r="U2230" s="8">
        <v>1</v>
      </c>
      <c r="V2230" s="8">
        <v>0</v>
      </c>
      <c r="W2230" t="s">
        <v>473</v>
      </c>
      <c r="X2230" t="s">
        <v>474</v>
      </c>
      <c r="Y2230" t="s">
        <v>473</v>
      </c>
      <c r="Z2230" t="s">
        <v>473</v>
      </c>
      <c r="AA2230" t="s">
        <v>473</v>
      </c>
      <c r="AB2230" t="s">
        <v>473</v>
      </c>
      <c r="AC2230" s="10">
        <v>3</v>
      </c>
      <c r="AD2230" s="10">
        <v>11</v>
      </c>
      <c r="AE2230" t="s">
        <v>473</v>
      </c>
    </row>
    <row r="2231" spans="1:31" x14ac:dyDescent="0.25">
      <c r="A2231">
        <v>10084</v>
      </c>
      <c r="B2231">
        <v>1972</v>
      </c>
      <c r="C2231" t="s">
        <v>466</v>
      </c>
      <c r="D2231" t="s">
        <v>34</v>
      </c>
      <c r="E2231" t="str">
        <f>IF(OR(Table1[[#This Row],[marital_status]]="Married", Table1[[#This Row],[marital_status]]="Together"), "Partnered", "Single")</f>
        <v>Partnered</v>
      </c>
      <c r="F2231" s="7">
        <v>24434</v>
      </c>
      <c r="G2231" s="8">
        <v>2</v>
      </c>
      <c r="H2231" s="8">
        <v>0</v>
      </c>
      <c r="I2231" s="8">
        <f>Table1[[#This Row],[kids]]+Table1[[#This Row],[teens]]</f>
        <v>2</v>
      </c>
      <c r="J2231" s="9">
        <v>41777</v>
      </c>
      <c r="K2231" s="8">
        <v>9</v>
      </c>
      <c r="L2231" s="6">
        <v>3</v>
      </c>
      <c r="M2231" s="5">
        <v>2</v>
      </c>
      <c r="N2231" s="5">
        <v>8</v>
      </c>
      <c r="O2231" s="5">
        <v>20</v>
      </c>
      <c r="P2231" s="5">
        <v>0</v>
      </c>
      <c r="Q2231" s="5">
        <v>17</v>
      </c>
      <c r="R2231" s="8">
        <v>2</v>
      </c>
      <c r="S2231" s="8">
        <v>2</v>
      </c>
      <c r="T2231" s="8">
        <v>1</v>
      </c>
      <c r="U2231" s="8">
        <v>2</v>
      </c>
      <c r="V2231" s="8">
        <v>7</v>
      </c>
      <c r="W2231" t="s">
        <v>473</v>
      </c>
      <c r="X2231" t="s">
        <v>473</v>
      </c>
      <c r="Y2231" t="s">
        <v>473</v>
      </c>
      <c r="Z2231" t="s">
        <v>473</v>
      </c>
      <c r="AA2231" t="s">
        <v>473</v>
      </c>
      <c r="AB2231" t="s">
        <v>473</v>
      </c>
      <c r="AC2231" s="10">
        <v>3</v>
      </c>
      <c r="AD2231" s="10">
        <v>11</v>
      </c>
      <c r="AE2231" t="s">
        <v>473</v>
      </c>
    </row>
    <row r="2232" spans="1:31" x14ac:dyDescent="0.25">
      <c r="A2232">
        <v>7004</v>
      </c>
      <c r="B2232">
        <v>1984</v>
      </c>
      <c r="C2232" t="s">
        <v>466</v>
      </c>
      <c r="D2232" t="s">
        <v>30</v>
      </c>
      <c r="E2232" t="str">
        <f>IF(OR(Table1[[#This Row],[marital_status]]="Married", Table1[[#This Row],[marital_status]]="Together"), "Partnered", "Single")</f>
        <v>Single</v>
      </c>
      <c r="F2232" s="7">
        <v>11012</v>
      </c>
      <c r="G2232" s="8">
        <v>1</v>
      </c>
      <c r="H2232" s="8">
        <v>0</v>
      </c>
      <c r="I2232" s="8">
        <f>Table1[[#This Row],[kids]]+Table1[[#This Row],[teens]]</f>
        <v>1</v>
      </c>
      <c r="J2232" s="9">
        <v>41349</v>
      </c>
      <c r="K2232" s="8">
        <v>82</v>
      </c>
      <c r="L2232" s="6">
        <v>24</v>
      </c>
      <c r="M2232" s="5">
        <v>3</v>
      </c>
      <c r="N2232" s="5">
        <v>26</v>
      </c>
      <c r="O2232" s="5">
        <v>7</v>
      </c>
      <c r="P2232" s="5">
        <v>1</v>
      </c>
      <c r="Q2232" s="5">
        <v>23</v>
      </c>
      <c r="R2232" s="8">
        <v>3</v>
      </c>
      <c r="S2232" s="8">
        <v>3</v>
      </c>
      <c r="T2232" s="8">
        <v>1</v>
      </c>
      <c r="U2232" s="8">
        <v>2</v>
      </c>
      <c r="V2232" s="8">
        <v>9</v>
      </c>
      <c r="W2232" t="s">
        <v>474</v>
      </c>
      <c r="X2232" t="s">
        <v>473</v>
      </c>
      <c r="Y2232" t="s">
        <v>473</v>
      </c>
      <c r="Z2232" t="s">
        <v>473</v>
      </c>
      <c r="AA2232" t="s">
        <v>473</v>
      </c>
      <c r="AB2232" t="s">
        <v>473</v>
      </c>
      <c r="AC2232" s="10">
        <v>3</v>
      </c>
      <c r="AD2232" s="10">
        <v>11</v>
      </c>
      <c r="AE2232" t="s">
        <v>473</v>
      </c>
    </row>
    <row r="2233" spans="1:31" x14ac:dyDescent="0.25">
      <c r="A2233">
        <v>9817</v>
      </c>
      <c r="B2233">
        <v>1970</v>
      </c>
      <c r="C2233" t="s">
        <v>36</v>
      </c>
      <c r="D2233" t="s">
        <v>30</v>
      </c>
      <c r="E2233" t="str">
        <f>IF(OR(Table1[[#This Row],[marital_status]]="Married", Table1[[#This Row],[marital_status]]="Together"), "Partnered", "Single")</f>
        <v>Single</v>
      </c>
      <c r="F2233" s="7">
        <v>44802</v>
      </c>
      <c r="G2233" s="8">
        <v>0</v>
      </c>
      <c r="H2233" s="8">
        <v>0</v>
      </c>
      <c r="I2233" s="8">
        <f>Table1[[#This Row],[kids]]+Table1[[#This Row],[teens]]</f>
        <v>0</v>
      </c>
      <c r="J2233" s="9">
        <v>41142</v>
      </c>
      <c r="K2233" s="8">
        <v>71</v>
      </c>
      <c r="L2233" s="6">
        <v>853</v>
      </c>
      <c r="M2233" s="5">
        <v>10</v>
      </c>
      <c r="N2233" s="5">
        <v>143</v>
      </c>
      <c r="O2233" s="5">
        <v>13</v>
      </c>
      <c r="P2233" s="5">
        <v>10</v>
      </c>
      <c r="Q2233" s="5">
        <v>20</v>
      </c>
      <c r="R2233" s="8">
        <v>2</v>
      </c>
      <c r="S2233" s="8">
        <v>9</v>
      </c>
      <c r="T2233" s="8">
        <v>4</v>
      </c>
      <c r="U2233" s="8">
        <v>12</v>
      </c>
      <c r="V2233" s="8">
        <v>8</v>
      </c>
      <c r="W2233" t="s">
        <v>473</v>
      </c>
      <c r="X2233" t="s">
        <v>473</v>
      </c>
      <c r="Y2233" t="s">
        <v>473</v>
      </c>
      <c r="Z2233" t="s">
        <v>473</v>
      </c>
      <c r="AA2233" t="s">
        <v>473</v>
      </c>
      <c r="AB2233" t="s">
        <v>473</v>
      </c>
      <c r="AC2233" s="10">
        <v>3</v>
      </c>
      <c r="AD2233" s="10">
        <v>11</v>
      </c>
      <c r="AE2233" t="s">
        <v>473</v>
      </c>
    </row>
    <row r="2234" spans="1:31" x14ac:dyDescent="0.25">
      <c r="A2234">
        <v>8080</v>
      </c>
      <c r="B2234">
        <v>1986</v>
      </c>
      <c r="C2234" t="s">
        <v>466</v>
      </c>
      <c r="D2234" t="s">
        <v>30</v>
      </c>
      <c r="E2234" t="str">
        <f>IF(OR(Table1[[#This Row],[marital_status]]="Married", Table1[[#This Row],[marital_status]]="Together"), "Partnered", "Single")</f>
        <v>Single</v>
      </c>
      <c r="F2234" s="7">
        <v>26816</v>
      </c>
      <c r="G2234" s="8">
        <v>0</v>
      </c>
      <c r="H2234" s="8">
        <v>0</v>
      </c>
      <c r="I2234" s="8">
        <f>Table1[[#This Row],[kids]]+Table1[[#This Row],[teens]]</f>
        <v>0</v>
      </c>
      <c r="J2234" s="9">
        <v>41138</v>
      </c>
      <c r="K2234" s="8">
        <v>50</v>
      </c>
      <c r="L2234" s="6">
        <v>5</v>
      </c>
      <c r="M2234" s="5">
        <v>1</v>
      </c>
      <c r="N2234" s="5">
        <v>6</v>
      </c>
      <c r="O2234" s="5">
        <v>3</v>
      </c>
      <c r="P2234" s="5">
        <v>4</v>
      </c>
      <c r="Q2234" s="5">
        <v>3</v>
      </c>
      <c r="R2234" s="8">
        <v>1</v>
      </c>
      <c r="S2234" s="8">
        <v>0</v>
      </c>
      <c r="T2234" s="8">
        <v>0</v>
      </c>
      <c r="U2234" s="8">
        <v>3</v>
      </c>
      <c r="V2234" s="8">
        <v>4</v>
      </c>
      <c r="W2234" t="s">
        <v>473</v>
      </c>
      <c r="X2234" t="s">
        <v>473</v>
      </c>
      <c r="Y2234" t="s">
        <v>473</v>
      </c>
      <c r="Z2234" t="s">
        <v>473</v>
      </c>
      <c r="AA2234" t="s">
        <v>473</v>
      </c>
      <c r="AB2234" t="s">
        <v>473</v>
      </c>
      <c r="AC2234" s="10">
        <v>3</v>
      </c>
      <c r="AD2234" s="10">
        <v>11</v>
      </c>
      <c r="AE2234" t="s">
        <v>473</v>
      </c>
    </row>
    <row r="2235" spans="1:31" x14ac:dyDescent="0.25">
      <c r="A2235">
        <v>9432</v>
      </c>
      <c r="B2235">
        <v>1977</v>
      </c>
      <c r="C2235" t="s">
        <v>466</v>
      </c>
      <c r="D2235" t="s">
        <v>31</v>
      </c>
      <c r="E2235" t="str">
        <f>IF(OR(Table1[[#This Row],[marital_status]]="Married", Table1[[#This Row],[marital_status]]="Together"), "Partnered", "Single")</f>
        <v>Partnered</v>
      </c>
      <c r="F2235" s="7">
        <v>666666</v>
      </c>
      <c r="G2235" s="8">
        <v>1</v>
      </c>
      <c r="H2235" s="8">
        <v>0</v>
      </c>
      <c r="I2235" s="8">
        <f>Table1[[#This Row],[kids]]+Table1[[#This Row],[teens]]</f>
        <v>1</v>
      </c>
      <c r="J2235" s="9">
        <v>41427</v>
      </c>
      <c r="K2235" s="8">
        <v>23</v>
      </c>
      <c r="L2235" s="6">
        <v>9</v>
      </c>
      <c r="M2235" s="5">
        <v>14</v>
      </c>
      <c r="N2235" s="5">
        <v>18</v>
      </c>
      <c r="O2235" s="5">
        <v>8</v>
      </c>
      <c r="P2235" s="5">
        <v>1</v>
      </c>
      <c r="Q2235" s="5">
        <v>12</v>
      </c>
      <c r="R2235" s="8">
        <v>4</v>
      </c>
      <c r="S2235" s="8">
        <v>3</v>
      </c>
      <c r="T2235" s="8">
        <v>1</v>
      </c>
      <c r="U2235" s="8">
        <v>3</v>
      </c>
      <c r="V2235" s="8">
        <v>6</v>
      </c>
      <c r="W2235" t="s">
        <v>473</v>
      </c>
      <c r="X2235" t="s">
        <v>473</v>
      </c>
      <c r="Y2235" t="s">
        <v>473</v>
      </c>
      <c r="Z2235" t="s">
        <v>473</v>
      </c>
      <c r="AA2235" t="s">
        <v>473</v>
      </c>
      <c r="AB2235" t="s">
        <v>473</v>
      </c>
      <c r="AC2235" s="10">
        <v>3</v>
      </c>
      <c r="AD2235" s="10">
        <v>11</v>
      </c>
      <c r="AE2235" t="s">
        <v>473</v>
      </c>
    </row>
    <row r="2236" spans="1:31" x14ac:dyDescent="0.25">
      <c r="A2236">
        <v>8372</v>
      </c>
      <c r="B2236">
        <v>1974</v>
      </c>
      <c r="C2236" t="s">
        <v>466</v>
      </c>
      <c r="D2236" t="s">
        <v>34</v>
      </c>
      <c r="E2236" t="str">
        <f>IF(OR(Table1[[#This Row],[marital_status]]="Married", Table1[[#This Row],[marital_status]]="Together"), "Partnered", "Single")</f>
        <v>Partnered</v>
      </c>
      <c r="F2236" s="7">
        <v>34421</v>
      </c>
      <c r="G2236" s="8">
        <v>1</v>
      </c>
      <c r="H2236" s="8">
        <v>0</v>
      </c>
      <c r="I2236" s="8">
        <f>Table1[[#This Row],[kids]]+Table1[[#This Row],[teens]]</f>
        <v>1</v>
      </c>
      <c r="J2236" s="9">
        <v>41456</v>
      </c>
      <c r="K2236" s="8">
        <v>81</v>
      </c>
      <c r="L2236" s="6">
        <v>3</v>
      </c>
      <c r="M2236" s="5">
        <v>3</v>
      </c>
      <c r="N2236" s="5">
        <v>7</v>
      </c>
      <c r="O2236" s="5">
        <v>6</v>
      </c>
      <c r="P2236" s="5">
        <v>2</v>
      </c>
      <c r="Q2236" s="5">
        <v>9</v>
      </c>
      <c r="R2236" s="8">
        <v>1</v>
      </c>
      <c r="S2236" s="8">
        <v>1</v>
      </c>
      <c r="T2236" s="8">
        <v>0</v>
      </c>
      <c r="U2236" s="8">
        <v>2</v>
      </c>
      <c r="V2236" s="8">
        <v>7</v>
      </c>
      <c r="W2236" t="s">
        <v>473</v>
      </c>
      <c r="X2236" t="s">
        <v>473</v>
      </c>
      <c r="Y2236" t="s">
        <v>473</v>
      </c>
      <c r="Z2236" t="s">
        <v>473</v>
      </c>
      <c r="AA2236" t="s">
        <v>473</v>
      </c>
      <c r="AB2236" t="s">
        <v>473</v>
      </c>
      <c r="AC2236" s="10">
        <v>3</v>
      </c>
      <c r="AD2236" s="10">
        <v>11</v>
      </c>
      <c r="AE2236" t="s">
        <v>473</v>
      </c>
    </row>
    <row r="2237" spans="1:31" x14ac:dyDescent="0.25">
      <c r="A2237">
        <v>10870</v>
      </c>
      <c r="B2237">
        <v>1967</v>
      </c>
      <c r="C2237" t="s">
        <v>466</v>
      </c>
      <c r="D2237" t="s">
        <v>34</v>
      </c>
      <c r="E2237" t="str">
        <f>IF(OR(Table1[[#This Row],[marital_status]]="Married", Table1[[#This Row],[marital_status]]="Together"), "Partnered", "Single")</f>
        <v>Partnered</v>
      </c>
      <c r="F2237" s="7">
        <v>61223</v>
      </c>
      <c r="G2237" s="8">
        <v>0</v>
      </c>
      <c r="H2237" s="8">
        <v>1</v>
      </c>
      <c r="I2237" s="8">
        <f>Table1[[#This Row],[kids]]+Table1[[#This Row],[teens]]</f>
        <v>1</v>
      </c>
      <c r="J2237" s="9">
        <v>41438</v>
      </c>
      <c r="K2237" s="8">
        <v>46</v>
      </c>
      <c r="L2237" s="6">
        <v>709</v>
      </c>
      <c r="M2237" s="5">
        <v>43</v>
      </c>
      <c r="N2237" s="5">
        <v>182</v>
      </c>
      <c r="O2237" s="5">
        <v>42</v>
      </c>
      <c r="P2237" s="5">
        <v>118</v>
      </c>
      <c r="Q2237" s="5">
        <v>247</v>
      </c>
      <c r="R2237" s="8">
        <v>2</v>
      </c>
      <c r="S2237" s="8">
        <v>9</v>
      </c>
      <c r="T2237" s="8">
        <v>3</v>
      </c>
      <c r="U2237" s="8">
        <v>4</v>
      </c>
      <c r="V2237" s="8">
        <v>5</v>
      </c>
      <c r="W2237" t="s">
        <v>473</v>
      </c>
      <c r="X2237" t="s">
        <v>473</v>
      </c>
      <c r="Y2237" t="s">
        <v>473</v>
      </c>
      <c r="Z2237" t="s">
        <v>473</v>
      </c>
      <c r="AA2237" t="s">
        <v>473</v>
      </c>
      <c r="AB2237" t="s">
        <v>473</v>
      </c>
      <c r="AC2237" s="10">
        <v>3</v>
      </c>
      <c r="AD2237" s="10">
        <v>11</v>
      </c>
      <c r="AE2237" t="s">
        <v>473</v>
      </c>
    </row>
    <row r="2238" spans="1:31" x14ac:dyDescent="0.25">
      <c r="A2238">
        <v>4001</v>
      </c>
      <c r="B2238">
        <v>1946</v>
      </c>
      <c r="C2238" t="s">
        <v>33</v>
      </c>
      <c r="D2238" t="s">
        <v>31</v>
      </c>
      <c r="E2238" t="str">
        <f>IF(OR(Table1[[#This Row],[marital_status]]="Married", Table1[[#This Row],[marital_status]]="Together"), "Partnered", "Single")</f>
        <v>Partnered</v>
      </c>
      <c r="F2238" s="7">
        <v>64014</v>
      </c>
      <c r="G2238" s="8">
        <v>2</v>
      </c>
      <c r="H2238" s="8">
        <v>1</v>
      </c>
      <c r="I2238" s="8">
        <f>Table1[[#This Row],[kids]]+Table1[[#This Row],[teens]]</f>
        <v>3</v>
      </c>
      <c r="J2238" s="9">
        <v>41800</v>
      </c>
      <c r="K2238" s="8">
        <v>56</v>
      </c>
      <c r="L2238" s="6">
        <v>406</v>
      </c>
      <c r="M2238" s="5">
        <v>0</v>
      </c>
      <c r="N2238" s="5">
        <v>30</v>
      </c>
      <c r="O2238" s="5">
        <v>0</v>
      </c>
      <c r="P2238" s="5">
        <v>0</v>
      </c>
      <c r="Q2238" s="5">
        <v>8</v>
      </c>
      <c r="R2238" s="8">
        <v>7</v>
      </c>
      <c r="S2238" s="8">
        <v>8</v>
      </c>
      <c r="T2238" s="8">
        <v>2</v>
      </c>
      <c r="U2238" s="8">
        <v>5</v>
      </c>
      <c r="V2238" s="8">
        <v>7</v>
      </c>
      <c r="W2238" t="s">
        <v>473</v>
      </c>
      <c r="X2238" t="s">
        <v>473</v>
      </c>
      <c r="Y2238" t="s">
        <v>473</v>
      </c>
      <c r="Z2238" t="s">
        <v>474</v>
      </c>
      <c r="AA2238" t="s">
        <v>473</v>
      </c>
      <c r="AB2238" t="s">
        <v>473</v>
      </c>
      <c r="AC2238" s="10">
        <v>3</v>
      </c>
      <c r="AD2238" s="10">
        <v>11</v>
      </c>
      <c r="AE2238" t="s">
        <v>473</v>
      </c>
    </row>
    <row r="2239" spans="1:31" x14ac:dyDescent="0.25">
      <c r="A2239">
        <v>7270</v>
      </c>
      <c r="B2239">
        <v>1981</v>
      </c>
      <c r="C2239" t="s">
        <v>466</v>
      </c>
      <c r="D2239" t="s">
        <v>37</v>
      </c>
      <c r="E2239" t="str">
        <f>IF(OR(Table1[[#This Row],[marital_status]]="Married", Table1[[#This Row],[marital_status]]="Together"), "Partnered", "Single")</f>
        <v>Single</v>
      </c>
      <c r="F2239" s="7">
        <v>56981</v>
      </c>
      <c r="G2239" s="8">
        <v>0</v>
      </c>
      <c r="H2239" s="8">
        <v>0</v>
      </c>
      <c r="I2239" s="8">
        <f>Table1[[#This Row],[kids]]+Table1[[#This Row],[teens]]</f>
        <v>0</v>
      </c>
      <c r="J2239" s="9">
        <v>41664</v>
      </c>
      <c r="K2239" s="8">
        <v>91</v>
      </c>
      <c r="L2239" s="6">
        <v>908</v>
      </c>
      <c r="M2239" s="5">
        <v>48</v>
      </c>
      <c r="N2239" s="5">
        <v>217</v>
      </c>
      <c r="O2239" s="5">
        <v>32</v>
      </c>
      <c r="P2239" s="5">
        <v>12</v>
      </c>
      <c r="Q2239" s="5">
        <v>24</v>
      </c>
      <c r="R2239" s="8">
        <v>1</v>
      </c>
      <c r="S2239" s="8">
        <v>2</v>
      </c>
      <c r="T2239" s="8">
        <v>3</v>
      </c>
      <c r="U2239" s="8">
        <v>13</v>
      </c>
      <c r="V2239" s="8">
        <v>6</v>
      </c>
      <c r="W2239" t="s">
        <v>473</v>
      </c>
      <c r="X2239" t="s">
        <v>474</v>
      </c>
      <c r="Y2239" t="s">
        <v>473</v>
      </c>
      <c r="Z2239" t="s">
        <v>473</v>
      </c>
      <c r="AA2239" t="s">
        <v>473</v>
      </c>
      <c r="AB2239" t="s">
        <v>473</v>
      </c>
      <c r="AC2239" s="10">
        <v>3</v>
      </c>
      <c r="AD2239" s="10">
        <v>11</v>
      </c>
      <c r="AE2239" t="s">
        <v>473</v>
      </c>
    </row>
    <row r="2240" spans="1:31" x14ac:dyDescent="0.25">
      <c r="A2240">
        <v>8235</v>
      </c>
      <c r="B2240">
        <v>1956</v>
      </c>
      <c r="C2240" t="s">
        <v>36</v>
      </c>
      <c r="D2240" t="s">
        <v>31</v>
      </c>
      <c r="E2240" t="str">
        <f>IF(OR(Table1[[#This Row],[marital_status]]="Married", Table1[[#This Row],[marital_status]]="Together"), "Partnered", "Single")</f>
        <v>Partnered</v>
      </c>
      <c r="F2240" s="7">
        <v>69245</v>
      </c>
      <c r="G2240" s="8">
        <v>0</v>
      </c>
      <c r="H2240" s="8">
        <v>1</v>
      </c>
      <c r="I2240" s="8">
        <f>Table1[[#This Row],[kids]]+Table1[[#This Row],[teens]]</f>
        <v>1</v>
      </c>
      <c r="J2240" s="9">
        <v>41663</v>
      </c>
      <c r="K2240" s="8">
        <v>8</v>
      </c>
      <c r="L2240" s="6">
        <v>428</v>
      </c>
      <c r="M2240" s="5">
        <v>30</v>
      </c>
      <c r="N2240" s="5">
        <v>214</v>
      </c>
      <c r="O2240" s="5">
        <v>80</v>
      </c>
      <c r="P2240" s="5">
        <v>30</v>
      </c>
      <c r="Q2240" s="5">
        <v>61</v>
      </c>
      <c r="R2240" s="8">
        <v>2</v>
      </c>
      <c r="S2240" s="8">
        <v>6</v>
      </c>
      <c r="T2240" s="8">
        <v>5</v>
      </c>
      <c r="U2240" s="8">
        <v>10</v>
      </c>
      <c r="V2240" s="8">
        <v>3</v>
      </c>
      <c r="W2240" t="s">
        <v>473</v>
      </c>
      <c r="X2240" t="s">
        <v>473</v>
      </c>
      <c r="Y2240" t="s">
        <v>473</v>
      </c>
      <c r="Z2240" t="s">
        <v>473</v>
      </c>
      <c r="AA2240" t="s">
        <v>473</v>
      </c>
      <c r="AB2240" t="s">
        <v>473</v>
      </c>
      <c r="AC2240" s="10">
        <v>3</v>
      </c>
      <c r="AD2240" s="10">
        <v>11</v>
      </c>
      <c r="AE2240" t="s">
        <v>473</v>
      </c>
    </row>
    <row r="2241" spans="1:31" x14ac:dyDescent="0.25">
      <c r="A2241">
        <v>9405</v>
      </c>
      <c r="B2241">
        <v>1954</v>
      </c>
      <c r="C2241" t="s">
        <v>33</v>
      </c>
      <c r="D2241" t="s">
        <v>34</v>
      </c>
      <c r="E2241" t="str">
        <f>IF(OR(Table1[[#This Row],[marital_status]]="Married", Table1[[#This Row],[marital_status]]="Together"), "Partnered", "Single")</f>
        <v>Partnered</v>
      </c>
      <c r="F2241" s="7">
        <v>52869</v>
      </c>
      <c r="G2241" s="8">
        <v>1</v>
      </c>
      <c r="H2241" s="8">
        <v>1</v>
      </c>
      <c r="I2241" s="8">
        <f>Table1[[#This Row],[kids]]+Table1[[#This Row],[teens]]</f>
        <v>2</v>
      </c>
      <c r="J2241" s="9">
        <v>41197</v>
      </c>
      <c r="K2241" s="8">
        <v>40</v>
      </c>
      <c r="L2241" s="6">
        <v>84</v>
      </c>
      <c r="M2241" s="5">
        <v>3</v>
      </c>
      <c r="N2241" s="5">
        <v>61</v>
      </c>
      <c r="O2241" s="5">
        <v>2</v>
      </c>
      <c r="P2241" s="5">
        <v>1</v>
      </c>
      <c r="Q2241" s="5">
        <v>21</v>
      </c>
      <c r="R2241" s="8">
        <v>3</v>
      </c>
      <c r="S2241" s="8">
        <v>3</v>
      </c>
      <c r="T2241" s="8">
        <v>1</v>
      </c>
      <c r="U2241" s="8">
        <v>4</v>
      </c>
      <c r="V2241" s="8">
        <v>7</v>
      </c>
      <c r="W2241" t="s">
        <v>473</v>
      </c>
      <c r="X2241" t="s">
        <v>473</v>
      </c>
      <c r="Y2241" t="s">
        <v>473</v>
      </c>
      <c r="Z2241" t="s">
        <v>473</v>
      </c>
      <c r="AA2241" t="s">
        <v>473</v>
      </c>
      <c r="AB2241" t="s">
        <v>473</v>
      </c>
      <c r="AC2241" s="10">
        <v>3</v>
      </c>
      <c r="AD2241" s="10">
        <v>11</v>
      </c>
      <c r="AE2241" t="s">
        <v>474</v>
      </c>
    </row>
  </sheetData>
  <conditionalFormatting sqref="A2:A2241">
    <cfRule type="duplicateValues" dxfId="8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BE0D-A8CA-4CCD-9D72-BE5BCF6DDFF9}">
  <dimension ref="A4:C13"/>
  <sheetViews>
    <sheetView showGridLines="0" tabSelected="1" workbookViewId="0">
      <selection activeCell="H1" sqref="H1"/>
    </sheetView>
  </sheetViews>
  <sheetFormatPr defaultRowHeight="15" x14ac:dyDescent="0.25"/>
  <cols>
    <col min="1" max="1" width="23" bestFit="1" customWidth="1"/>
    <col min="2" max="2" width="42.140625" bestFit="1" customWidth="1"/>
    <col min="3" max="3" width="43.5703125" bestFit="1" customWidth="1"/>
  </cols>
  <sheetData>
    <row r="4" spans="1:3" ht="15.75" thickBot="1" x14ac:dyDescent="0.3">
      <c r="A4" s="14" t="s">
        <v>477</v>
      </c>
      <c r="B4" s="15" t="s">
        <v>478</v>
      </c>
      <c r="C4" s="16" t="s">
        <v>479</v>
      </c>
    </row>
    <row r="5" spans="1:3" ht="15.75" thickBot="1" x14ac:dyDescent="0.3">
      <c r="A5" s="12" t="s">
        <v>480</v>
      </c>
      <c r="B5" s="11" t="s">
        <v>481</v>
      </c>
      <c r="C5" s="13" t="s">
        <v>482</v>
      </c>
    </row>
    <row r="6" spans="1:3" ht="15.75" thickBot="1" x14ac:dyDescent="0.3">
      <c r="A6" s="12" t="s">
        <v>483</v>
      </c>
      <c r="B6" s="11" t="s">
        <v>484</v>
      </c>
      <c r="C6" s="13" t="s">
        <v>485</v>
      </c>
    </row>
    <row r="7" spans="1:3" ht="15.75" thickBot="1" x14ac:dyDescent="0.3">
      <c r="A7" s="12" t="s">
        <v>486</v>
      </c>
      <c r="B7" s="11" t="s">
        <v>487</v>
      </c>
      <c r="C7" s="13" t="s">
        <v>488</v>
      </c>
    </row>
    <row r="8" spans="1:3" ht="15.75" thickBot="1" x14ac:dyDescent="0.3">
      <c r="A8" s="12" t="s">
        <v>489</v>
      </c>
      <c r="B8" s="11" t="s">
        <v>490</v>
      </c>
      <c r="C8" s="13" t="s">
        <v>491</v>
      </c>
    </row>
    <row r="9" spans="1:3" ht="15.75" thickBot="1" x14ac:dyDescent="0.3">
      <c r="A9" s="12" t="s">
        <v>492</v>
      </c>
      <c r="B9" s="11" t="s">
        <v>493</v>
      </c>
      <c r="C9" s="13" t="s">
        <v>494</v>
      </c>
    </row>
    <row r="10" spans="1:3" ht="15.75" thickBot="1" x14ac:dyDescent="0.3">
      <c r="A10" s="12" t="s">
        <v>495</v>
      </c>
      <c r="B10" s="11" t="s">
        <v>496</v>
      </c>
      <c r="C10" s="13" t="s">
        <v>497</v>
      </c>
    </row>
    <row r="11" spans="1:3" ht="15.75" thickBot="1" x14ac:dyDescent="0.3">
      <c r="A11" s="12" t="s">
        <v>498</v>
      </c>
      <c r="B11" s="11" t="s">
        <v>499</v>
      </c>
      <c r="C11" s="13" t="s">
        <v>500</v>
      </c>
    </row>
    <row r="12" spans="1:3" ht="15.75" thickBot="1" x14ac:dyDescent="0.3">
      <c r="A12" s="12" t="s">
        <v>501</v>
      </c>
      <c r="B12" s="11" t="s">
        <v>502</v>
      </c>
      <c r="C12" s="13" t="s">
        <v>503</v>
      </c>
    </row>
    <row r="13" spans="1:3" x14ac:dyDescent="0.25">
      <c r="A13" s="17" t="s">
        <v>504</v>
      </c>
      <c r="B13" s="18" t="s">
        <v>505</v>
      </c>
      <c r="C13" s="19" t="s">
        <v>506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Personality Data</vt:lpstr>
      <vt:lpstr>Cleaned Data</vt:lpstr>
      <vt:lpstr>Data Cleaning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Mustapha Rokibat</cp:lastModifiedBy>
  <dcterms:created xsi:type="dcterms:W3CDTF">2026-05-30T21:31:54Z</dcterms:created>
  <dcterms:modified xsi:type="dcterms:W3CDTF">2026-05-31T08:41:45Z</dcterms:modified>
</cp:coreProperties>
</file>